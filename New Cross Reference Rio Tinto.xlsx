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Rio Tinto\"/>
    </mc:Choice>
  </mc:AlternateContent>
  <xr:revisionPtr revIDLastSave="0" documentId="8_{5D54D0A8-B96B-485F-AD51-5BAD48879D50}" xr6:coauthVersionLast="47" xr6:coauthVersionMax="47" xr10:uidLastSave="{00000000-0000-0000-0000-000000000000}"/>
  <bookViews>
    <workbookView xWindow="-120" yWindow="-120" windowWidth="29040" windowHeight="15720" xr2:uid="{462F487C-B88C-4968-AFE4-607D31A33BE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1793" i="1" l="1"/>
  <c r="P1793" i="1"/>
  <c r="M1793" i="1"/>
  <c r="N1793" i="1" s="1"/>
  <c r="O1793" i="1" s="1"/>
  <c r="V1792" i="1"/>
  <c r="P1792" i="1"/>
  <c r="M1792" i="1"/>
  <c r="N1792" i="1" s="1"/>
  <c r="O1792" i="1" s="1"/>
  <c r="V1791" i="1"/>
  <c r="P1791" i="1"/>
  <c r="M1791" i="1"/>
  <c r="N1791" i="1" s="1"/>
  <c r="O1791" i="1" s="1"/>
  <c r="V1790" i="1"/>
  <c r="P1790" i="1"/>
  <c r="M1790" i="1"/>
  <c r="N1790" i="1" s="1"/>
  <c r="O1790" i="1" s="1"/>
  <c r="V1789" i="1"/>
  <c r="P1789" i="1"/>
  <c r="M1789" i="1"/>
  <c r="N1789" i="1" s="1"/>
  <c r="O1789" i="1" s="1"/>
  <c r="V1788" i="1"/>
  <c r="P1788" i="1"/>
  <c r="M1788" i="1"/>
  <c r="N1788" i="1" s="1"/>
  <c r="O1788" i="1" s="1"/>
  <c r="V1787" i="1"/>
  <c r="P1787" i="1"/>
  <c r="M1787" i="1"/>
  <c r="N1787" i="1" s="1"/>
  <c r="O1787" i="1" s="1"/>
  <c r="V1786" i="1"/>
  <c r="P1786" i="1"/>
  <c r="M1786" i="1"/>
  <c r="N1786" i="1" s="1"/>
  <c r="O1786" i="1" s="1"/>
  <c r="V1785" i="1"/>
  <c r="P1785" i="1"/>
  <c r="M1785" i="1"/>
  <c r="N1785" i="1" s="1"/>
  <c r="O1785" i="1" s="1"/>
  <c r="V1784" i="1"/>
  <c r="P1784" i="1"/>
  <c r="M1784" i="1"/>
  <c r="N1784" i="1" s="1"/>
  <c r="O1784" i="1" s="1"/>
  <c r="V1783" i="1"/>
  <c r="P1783" i="1"/>
  <c r="M1783" i="1"/>
  <c r="N1783" i="1" s="1"/>
  <c r="O1783" i="1" s="1"/>
  <c r="V1782" i="1"/>
  <c r="P1782" i="1"/>
  <c r="M1782" i="1"/>
  <c r="N1782" i="1" s="1"/>
  <c r="O1782" i="1" s="1"/>
  <c r="V1781" i="1"/>
  <c r="P1781" i="1"/>
  <c r="M1781" i="1"/>
  <c r="N1781" i="1" s="1"/>
  <c r="O1781" i="1" s="1"/>
  <c r="V1780" i="1"/>
  <c r="P1780" i="1"/>
  <c r="M1780" i="1"/>
  <c r="N1780" i="1" s="1"/>
  <c r="O1780" i="1" s="1"/>
  <c r="V1779" i="1"/>
  <c r="P1779" i="1"/>
  <c r="M1779" i="1"/>
  <c r="N1779" i="1" s="1"/>
  <c r="O1779" i="1" s="1"/>
  <c r="V1778" i="1"/>
  <c r="P1778" i="1"/>
  <c r="M1778" i="1"/>
  <c r="N1778" i="1" s="1"/>
  <c r="O1778" i="1" s="1"/>
  <c r="V1777" i="1"/>
  <c r="P1777" i="1"/>
  <c r="M1777" i="1"/>
  <c r="N1777" i="1" s="1"/>
  <c r="O1777" i="1" s="1"/>
  <c r="V1776" i="1"/>
  <c r="P1776" i="1"/>
  <c r="M1776" i="1"/>
  <c r="N1776" i="1" s="1"/>
  <c r="O1776" i="1" s="1"/>
  <c r="V1775" i="1"/>
  <c r="P1775" i="1"/>
  <c r="M1775" i="1"/>
  <c r="N1775" i="1" s="1"/>
  <c r="O1775" i="1" s="1"/>
  <c r="V1774" i="1"/>
  <c r="P1774" i="1"/>
  <c r="M1774" i="1"/>
  <c r="N1774" i="1" s="1"/>
  <c r="O1774" i="1" s="1"/>
  <c r="V1773" i="1"/>
  <c r="P1773" i="1"/>
  <c r="M1773" i="1"/>
  <c r="N1773" i="1" s="1"/>
  <c r="O1773" i="1" s="1"/>
  <c r="V1772" i="1"/>
  <c r="P1772" i="1"/>
  <c r="M1772" i="1"/>
  <c r="N1772" i="1" s="1"/>
  <c r="O1772" i="1" s="1"/>
  <c r="V1771" i="1"/>
  <c r="P1771" i="1"/>
  <c r="M1771" i="1"/>
  <c r="N1771" i="1" s="1"/>
  <c r="O1771" i="1" s="1"/>
  <c r="V1770" i="1"/>
  <c r="P1770" i="1"/>
  <c r="M1770" i="1"/>
  <c r="N1770" i="1" s="1"/>
  <c r="O1770" i="1" s="1"/>
  <c r="V1769" i="1"/>
  <c r="P1769" i="1"/>
  <c r="M1769" i="1"/>
  <c r="N1769" i="1" s="1"/>
  <c r="O1769" i="1" s="1"/>
  <c r="V1768" i="1"/>
  <c r="P1768" i="1"/>
  <c r="M1768" i="1"/>
  <c r="N1768" i="1" s="1"/>
  <c r="O1768" i="1" s="1"/>
  <c r="V1767" i="1"/>
  <c r="P1767" i="1"/>
  <c r="M1767" i="1"/>
  <c r="N1767" i="1" s="1"/>
  <c r="O1767" i="1" s="1"/>
  <c r="V1766" i="1"/>
  <c r="P1766" i="1"/>
  <c r="M1766" i="1"/>
  <c r="N1766" i="1" s="1"/>
  <c r="O1766" i="1" s="1"/>
  <c r="V1765" i="1"/>
  <c r="P1765" i="1"/>
  <c r="M1765" i="1"/>
  <c r="N1765" i="1" s="1"/>
  <c r="O1765" i="1" s="1"/>
  <c r="V1764" i="1"/>
  <c r="P1764" i="1"/>
  <c r="M1764" i="1"/>
  <c r="N1764" i="1" s="1"/>
  <c r="O1764" i="1" s="1"/>
  <c r="V1763" i="1"/>
  <c r="P1763" i="1"/>
  <c r="M1763" i="1"/>
  <c r="N1763" i="1" s="1"/>
  <c r="O1763" i="1" s="1"/>
  <c r="V1762" i="1"/>
  <c r="P1762" i="1"/>
  <c r="M1762" i="1"/>
  <c r="N1762" i="1" s="1"/>
  <c r="O1762" i="1" s="1"/>
  <c r="V1761" i="1"/>
  <c r="P1761" i="1"/>
  <c r="O1761" i="1"/>
  <c r="M1761" i="1"/>
  <c r="N1761" i="1" s="1"/>
  <c r="V1760" i="1"/>
  <c r="P1760" i="1"/>
  <c r="O1760" i="1"/>
  <c r="M1760" i="1"/>
  <c r="N1760" i="1" s="1"/>
  <c r="V1759" i="1"/>
  <c r="R1759" i="1"/>
  <c r="P1759" i="1"/>
  <c r="O1759" i="1"/>
  <c r="M1759" i="1"/>
  <c r="N1759" i="1" s="1"/>
  <c r="V1758" i="1"/>
  <c r="R1758" i="1"/>
  <c r="P1758" i="1"/>
  <c r="M1758" i="1"/>
  <c r="N1758" i="1" s="1"/>
  <c r="O1758" i="1" s="1"/>
  <c r="V1757" i="1"/>
  <c r="R1757" i="1"/>
  <c r="P1757" i="1"/>
  <c r="O1757" i="1"/>
  <c r="M1757" i="1"/>
  <c r="N1757" i="1" s="1"/>
  <c r="V1756" i="1"/>
  <c r="P1756" i="1"/>
  <c r="O1756" i="1"/>
  <c r="M1756" i="1"/>
  <c r="N1756" i="1" s="1"/>
  <c r="V1755" i="1"/>
  <c r="R1755" i="1"/>
  <c r="P1755" i="1"/>
  <c r="M1755" i="1"/>
  <c r="N1755" i="1" s="1"/>
  <c r="O1755" i="1" s="1"/>
  <c r="V1754" i="1"/>
  <c r="R1754" i="1"/>
  <c r="P1754" i="1"/>
  <c r="M1754" i="1"/>
  <c r="N1754" i="1" s="1"/>
  <c r="O1754" i="1" s="1"/>
  <c r="V1753" i="1"/>
  <c r="P1753" i="1"/>
  <c r="O1753" i="1"/>
  <c r="M1753" i="1"/>
  <c r="N1753" i="1" s="1"/>
  <c r="V1752" i="1"/>
  <c r="P1752" i="1"/>
  <c r="O1752" i="1"/>
  <c r="M1752" i="1"/>
  <c r="N1752" i="1" s="1"/>
  <c r="V1751" i="1"/>
  <c r="R1751" i="1"/>
  <c r="P1751" i="1"/>
  <c r="O1751" i="1"/>
  <c r="M1751" i="1"/>
  <c r="N1751" i="1" s="1"/>
  <c r="V1750" i="1"/>
  <c r="R1750" i="1"/>
  <c r="P1750" i="1"/>
  <c r="M1750" i="1"/>
  <c r="N1750" i="1" s="1"/>
  <c r="O1750" i="1" s="1"/>
  <c r="V1749" i="1"/>
  <c r="R1749" i="1"/>
  <c r="P1749" i="1"/>
  <c r="O1749" i="1"/>
  <c r="M1749" i="1"/>
  <c r="N1749" i="1" s="1"/>
  <c r="V1748" i="1"/>
  <c r="P1748" i="1"/>
  <c r="O1748" i="1"/>
  <c r="M1748" i="1"/>
  <c r="N1748" i="1" s="1"/>
  <c r="V1747" i="1"/>
  <c r="R1747" i="1"/>
  <c r="P1747" i="1"/>
  <c r="M1747" i="1"/>
  <c r="N1747" i="1" s="1"/>
  <c r="O1747" i="1" s="1"/>
  <c r="V1746" i="1"/>
  <c r="R1746" i="1"/>
  <c r="P1746" i="1"/>
  <c r="M1746" i="1"/>
  <c r="N1746" i="1" s="1"/>
  <c r="O1746" i="1" s="1"/>
  <c r="V1745" i="1"/>
  <c r="P1745" i="1"/>
  <c r="M1745" i="1"/>
  <c r="N1745" i="1" s="1"/>
  <c r="O1745" i="1" s="1"/>
  <c r="V1744" i="1"/>
  <c r="P1744" i="1"/>
  <c r="O1744" i="1"/>
  <c r="M1744" i="1"/>
  <c r="N1744" i="1" s="1"/>
  <c r="V1743" i="1"/>
  <c r="R1743" i="1"/>
  <c r="P1743" i="1"/>
  <c r="O1743" i="1"/>
  <c r="M1743" i="1"/>
  <c r="N1743" i="1" s="1"/>
  <c r="V1742" i="1"/>
  <c r="R1742" i="1"/>
  <c r="P1742" i="1"/>
  <c r="M1742" i="1"/>
  <c r="N1742" i="1" s="1"/>
  <c r="O1742" i="1" s="1"/>
  <c r="V1741" i="1"/>
  <c r="R1741" i="1"/>
  <c r="P1741" i="1"/>
  <c r="O1741" i="1"/>
  <c r="M1741" i="1"/>
  <c r="N1741" i="1" s="1"/>
  <c r="V1740" i="1"/>
  <c r="P1740" i="1"/>
  <c r="O1740" i="1"/>
  <c r="M1740" i="1"/>
  <c r="N1740" i="1" s="1"/>
  <c r="V1739" i="1"/>
  <c r="R1739" i="1"/>
  <c r="P1739" i="1"/>
  <c r="M1739" i="1"/>
  <c r="N1739" i="1" s="1"/>
  <c r="O1739" i="1" s="1"/>
  <c r="V1738" i="1"/>
  <c r="R1738" i="1"/>
  <c r="P1738" i="1"/>
  <c r="M1738" i="1"/>
  <c r="N1738" i="1" s="1"/>
  <c r="O1738" i="1" s="1"/>
  <c r="V1737" i="1"/>
  <c r="P1737" i="1"/>
  <c r="M1737" i="1"/>
  <c r="N1737" i="1" s="1"/>
  <c r="O1737" i="1" s="1"/>
  <c r="V1736" i="1"/>
  <c r="P1736" i="1"/>
  <c r="O1736" i="1"/>
  <c r="M1736" i="1"/>
  <c r="N1736" i="1" s="1"/>
  <c r="V1735" i="1"/>
  <c r="R1735" i="1"/>
  <c r="P1735" i="1"/>
  <c r="O1735" i="1"/>
  <c r="M1735" i="1"/>
  <c r="N1735" i="1" s="1"/>
  <c r="V1734" i="1"/>
  <c r="R1734" i="1"/>
  <c r="P1734" i="1"/>
  <c r="M1734" i="1"/>
  <c r="N1734" i="1" s="1"/>
  <c r="O1734" i="1" s="1"/>
  <c r="V1733" i="1"/>
  <c r="R1733" i="1"/>
  <c r="P1733" i="1"/>
  <c r="M1733" i="1"/>
  <c r="N1733" i="1" s="1"/>
  <c r="O1733" i="1" s="1"/>
  <c r="V1732" i="1"/>
  <c r="P1732" i="1"/>
  <c r="M1732" i="1"/>
  <c r="N1732" i="1" s="1"/>
  <c r="O1732" i="1" s="1"/>
  <c r="V1731" i="1"/>
  <c r="R1731" i="1"/>
  <c r="P1731" i="1"/>
  <c r="M1731" i="1"/>
  <c r="N1731" i="1" s="1"/>
  <c r="O1731" i="1" s="1"/>
  <c r="V1730" i="1"/>
  <c r="R1730" i="1"/>
  <c r="P1730" i="1"/>
  <c r="M1730" i="1"/>
  <c r="N1730" i="1" s="1"/>
  <c r="O1730" i="1" s="1"/>
  <c r="V1729" i="1"/>
  <c r="P1729" i="1"/>
  <c r="M1729" i="1"/>
  <c r="N1729" i="1" s="1"/>
  <c r="O1729" i="1" s="1"/>
  <c r="V1728" i="1"/>
  <c r="P1728" i="1"/>
  <c r="O1728" i="1"/>
  <c r="M1728" i="1"/>
  <c r="N1728" i="1" s="1"/>
  <c r="V1727" i="1"/>
  <c r="R1727" i="1"/>
  <c r="P1727" i="1"/>
  <c r="O1727" i="1"/>
  <c r="M1727" i="1"/>
  <c r="N1727" i="1" s="1"/>
  <c r="V1726" i="1"/>
  <c r="R1726" i="1"/>
  <c r="P1726" i="1"/>
  <c r="M1726" i="1"/>
  <c r="N1726" i="1" s="1"/>
  <c r="O1726" i="1" s="1"/>
  <c r="V1725" i="1"/>
  <c r="R1725" i="1"/>
  <c r="P1725" i="1"/>
  <c r="M1725" i="1"/>
  <c r="N1725" i="1" s="1"/>
  <c r="O1725" i="1" s="1"/>
  <c r="V1724" i="1"/>
  <c r="P1724" i="1"/>
  <c r="M1724" i="1"/>
  <c r="N1724" i="1" s="1"/>
  <c r="O1724" i="1" s="1"/>
  <c r="V1723" i="1"/>
  <c r="R1723" i="1"/>
  <c r="P1723" i="1"/>
  <c r="M1723" i="1"/>
  <c r="N1723" i="1" s="1"/>
  <c r="O1723" i="1" s="1"/>
  <c r="V1722" i="1"/>
  <c r="R1722" i="1"/>
  <c r="P1722" i="1"/>
  <c r="N1722" i="1"/>
  <c r="O1722" i="1" s="1"/>
  <c r="M1722" i="1"/>
  <c r="V1721" i="1"/>
  <c r="P1721" i="1"/>
  <c r="O1721" i="1"/>
  <c r="N1721" i="1"/>
  <c r="M1721" i="1"/>
  <c r="V1720" i="1"/>
  <c r="R1720" i="1"/>
  <c r="P1720" i="1"/>
  <c r="N1720" i="1"/>
  <c r="O1720" i="1" s="1"/>
  <c r="M1720" i="1"/>
  <c r="V1719" i="1"/>
  <c r="P1719" i="1"/>
  <c r="O1719" i="1"/>
  <c r="M1719" i="1"/>
  <c r="N1719" i="1" s="1"/>
  <c r="V1718" i="1"/>
  <c r="P1718" i="1"/>
  <c r="M1718" i="1"/>
  <c r="N1718" i="1" s="1"/>
  <c r="O1718" i="1" s="1"/>
  <c r="V1717" i="1"/>
  <c r="P1717" i="1"/>
  <c r="N1717" i="1"/>
  <c r="O1717" i="1" s="1"/>
  <c r="M1717" i="1"/>
  <c r="V1716" i="1"/>
  <c r="R1716" i="1"/>
  <c r="P1716" i="1"/>
  <c r="M1716" i="1"/>
  <c r="N1716" i="1" s="1"/>
  <c r="O1716" i="1" s="1"/>
  <c r="V1715" i="1"/>
  <c r="P1715" i="1"/>
  <c r="M1715" i="1"/>
  <c r="N1715" i="1" s="1"/>
  <c r="O1715" i="1" s="1"/>
  <c r="V1714" i="1"/>
  <c r="R1714" i="1"/>
  <c r="P1714" i="1"/>
  <c r="N1714" i="1"/>
  <c r="O1714" i="1" s="1"/>
  <c r="M1714" i="1"/>
  <c r="V1713" i="1"/>
  <c r="P1713" i="1"/>
  <c r="O1713" i="1"/>
  <c r="N1713" i="1"/>
  <c r="M1713" i="1"/>
  <c r="V1712" i="1"/>
  <c r="R1712" i="1"/>
  <c r="P1712" i="1"/>
  <c r="N1712" i="1"/>
  <c r="O1712" i="1" s="1"/>
  <c r="M1712" i="1"/>
  <c r="V1711" i="1"/>
  <c r="P1711" i="1"/>
  <c r="O1711" i="1"/>
  <c r="M1711" i="1"/>
  <c r="N1711" i="1" s="1"/>
  <c r="V1710" i="1"/>
  <c r="P1710" i="1"/>
  <c r="M1710" i="1"/>
  <c r="N1710" i="1" s="1"/>
  <c r="O1710" i="1" s="1"/>
  <c r="V1709" i="1"/>
  <c r="P1709" i="1"/>
  <c r="N1709" i="1"/>
  <c r="O1709" i="1" s="1"/>
  <c r="M1709" i="1"/>
  <c r="V1708" i="1"/>
  <c r="P1708" i="1"/>
  <c r="N1708" i="1"/>
  <c r="O1708" i="1" s="1"/>
  <c r="M1708" i="1"/>
  <c r="V1707" i="1"/>
  <c r="P1707" i="1"/>
  <c r="N1707" i="1"/>
  <c r="O1707" i="1" s="1"/>
  <c r="M1707" i="1"/>
  <c r="V1706" i="1"/>
  <c r="P1706" i="1"/>
  <c r="N1706" i="1"/>
  <c r="O1706" i="1" s="1"/>
  <c r="M1706" i="1"/>
  <c r="V1705" i="1"/>
  <c r="P1705" i="1"/>
  <c r="N1705" i="1"/>
  <c r="O1705" i="1" s="1"/>
  <c r="M1705" i="1"/>
  <c r="V1704" i="1"/>
  <c r="P1704" i="1"/>
  <c r="N1704" i="1"/>
  <c r="O1704" i="1" s="1"/>
  <c r="M1704" i="1"/>
  <c r="V1703" i="1"/>
  <c r="P1703" i="1"/>
  <c r="N1703" i="1"/>
  <c r="O1703" i="1" s="1"/>
  <c r="M1703" i="1"/>
  <c r="V1702" i="1"/>
  <c r="P1702" i="1"/>
  <c r="N1702" i="1"/>
  <c r="O1702" i="1" s="1"/>
  <c r="M1702" i="1"/>
  <c r="V1701" i="1"/>
  <c r="P1701" i="1"/>
  <c r="N1701" i="1"/>
  <c r="O1701" i="1" s="1"/>
  <c r="M1701" i="1"/>
  <c r="V1700" i="1"/>
  <c r="P1700" i="1"/>
  <c r="N1700" i="1"/>
  <c r="O1700" i="1" s="1"/>
  <c r="M1700" i="1"/>
  <c r="V1699" i="1"/>
  <c r="P1699" i="1"/>
  <c r="N1699" i="1"/>
  <c r="O1699" i="1" s="1"/>
  <c r="M1699" i="1"/>
  <c r="V1698" i="1"/>
  <c r="P1698" i="1"/>
  <c r="N1698" i="1"/>
  <c r="O1698" i="1" s="1"/>
  <c r="M1698" i="1"/>
  <c r="V1697" i="1"/>
  <c r="P1697" i="1"/>
  <c r="N1697" i="1"/>
  <c r="O1697" i="1" s="1"/>
  <c r="M1697" i="1"/>
  <c r="V1696" i="1"/>
  <c r="P1696" i="1"/>
  <c r="N1696" i="1"/>
  <c r="O1696" i="1" s="1"/>
  <c r="M1696" i="1"/>
  <c r="V1695" i="1"/>
  <c r="P1695" i="1"/>
  <c r="N1695" i="1"/>
  <c r="O1695" i="1" s="1"/>
  <c r="M1695" i="1"/>
  <c r="V1694" i="1"/>
  <c r="P1694" i="1"/>
  <c r="N1694" i="1"/>
  <c r="O1694" i="1" s="1"/>
  <c r="M1694" i="1"/>
  <c r="V1693" i="1"/>
  <c r="P1693" i="1"/>
  <c r="N1693" i="1"/>
  <c r="O1693" i="1" s="1"/>
  <c r="M1693" i="1"/>
  <c r="V1692" i="1"/>
  <c r="P1692" i="1"/>
  <c r="N1692" i="1"/>
  <c r="O1692" i="1" s="1"/>
  <c r="M1692" i="1"/>
  <c r="V1691" i="1"/>
  <c r="P1691" i="1"/>
  <c r="N1691" i="1"/>
  <c r="O1691" i="1" s="1"/>
  <c r="M1691" i="1"/>
  <c r="V1690" i="1"/>
  <c r="P1690" i="1"/>
  <c r="N1690" i="1"/>
  <c r="O1690" i="1" s="1"/>
  <c r="M1690" i="1"/>
  <c r="V1689" i="1"/>
  <c r="P1689" i="1"/>
  <c r="N1689" i="1"/>
  <c r="O1689" i="1" s="1"/>
  <c r="M1689" i="1"/>
  <c r="V1688" i="1"/>
  <c r="P1688" i="1"/>
  <c r="N1688" i="1"/>
  <c r="O1688" i="1" s="1"/>
  <c r="M1688" i="1"/>
  <c r="V1687" i="1"/>
  <c r="P1687" i="1"/>
  <c r="N1687" i="1"/>
  <c r="O1687" i="1" s="1"/>
  <c r="M1687" i="1"/>
  <c r="V1686" i="1"/>
  <c r="P1686" i="1"/>
  <c r="N1686" i="1"/>
  <c r="O1686" i="1" s="1"/>
  <c r="M1686" i="1"/>
  <c r="V1685" i="1"/>
  <c r="P1685" i="1"/>
  <c r="N1685" i="1"/>
  <c r="O1685" i="1" s="1"/>
  <c r="M1685" i="1"/>
  <c r="V1684" i="1"/>
  <c r="R1684" i="1"/>
  <c r="P1684" i="1"/>
  <c r="M1684" i="1"/>
  <c r="N1684" i="1" s="1"/>
  <c r="O1684" i="1" s="1"/>
  <c r="V1683" i="1"/>
  <c r="S1683" i="1"/>
  <c r="P1683" i="1"/>
  <c r="N1683" i="1"/>
  <c r="O1683" i="1" s="1"/>
  <c r="M1683" i="1"/>
  <c r="V1682" i="1"/>
  <c r="R1682" i="1"/>
  <c r="P1682" i="1"/>
  <c r="O1682" i="1"/>
  <c r="S1682" i="1" s="1"/>
  <c r="M1682" i="1"/>
  <c r="N1682" i="1" s="1"/>
  <c r="V1681" i="1"/>
  <c r="P1681" i="1"/>
  <c r="N1681" i="1"/>
  <c r="O1681" i="1" s="1"/>
  <c r="S1681" i="1" s="1"/>
  <c r="M1681" i="1"/>
  <c r="V1680" i="1"/>
  <c r="R1680" i="1"/>
  <c r="P1680" i="1"/>
  <c r="M1680" i="1"/>
  <c r="N1680" i="1" s="1"/>
  <c r="O1680" i="1" s="1"/>
  <c r="S1680" i="1" s="1"/>
  <c r="V1679" i="1"/>
  <c r="P1679" i="1"/>
  <c r="N1679" i="1"/>
  <c r="O1679" i="1" s="1"/>
  <c r="S1679" i="1" s="1"/>
  <c r="M1679" i="1"/>
  <c r="V1678" i="1"/>
  <c r="R1678" i="1"/>
  <c r="P1678" i="1"/>
  <c r="M1678" i="1"/>
  <c r="N1678" i="1" s="1"/>
  <c r="O1678" i="1" s="1"/>
  <c r="S1678" i="1" s="1"/>
  <c r="V1677" i="1"/>
  <c r="P1677" i="1"/>
  <c r="N1677" i="1"/>
  <c r="O1677" i="1" s="1"/>
  <c r="M1677" i="1"/>
  <c r="V1676" i="1"/>
  <c r="R1676" i="1"/>
  <c r="P1676" i="1"/>
  <c r="M1676" i="1"/>
  <c r="N1676" i="1" s="1"/>
  <c r="O1676" i="1" s="1"/>
  <c r="V1675" i="1"/>
  <c r="S1675" i="1"/>
  <c r="P1675" i="1"/>
  <c r="N1675" i="1"/>
  <c r="O1675" i="1" s="1"/>
  <c r="M1675" i="1"/>
  <c r="V1674" i="1"/>
  <c r="R1674" i="1"/>
  <c r="P1674" i="1"/>
  <c r="O1674" i="1"/>
  <c r="S1674" i="1" s="1"/>
  <c r="M1674" i="1"/>
  <c r="N1674" i="1" s="1"/>
  <c r="V1673" i="1"/>
  <c r="P1673" i="1"/>
  <c r="N1673" i="1"/>
  <c r="O1673" i="1" s="1"/>
  <c r="S1673" i="1" s="1"/>
  <c r="M1673" i="1"/>
  <c r="V1672" i="1"/>
  <c r="R1672" i="1"/>
  <c r="P1672" i="1"/>
  <c r="M1672" i="1"/>
  <c r="N1672" i="1" s="1"/>
  <c r="O1672" i="1" s="1"/>
  <c r="S1672" i="1" s="1"/>
  <c r="V1671" i="1"/>
  <c r="P1671" i="1"/>
  <c r="N1671" i="1"/>
  <c r="O1671" i="1" s="1"/>
  <c r="S1671" i="1" s="1"/>
  <c r="M1671" i="1"/>
  <c r="V1670" i="1"/>
  <c r="R1670" i="1"/>
  <c r="P1670" i="1"/>
  <c r="M1670" i="1"/>
  <c r="N1670" i="1" s="1"/>
  <c r="O1670" i="1" s="1"/>
  <c r="S1670" i="1" s="1"/>
  <c r="V1669" i="1"/>
  <c r="P1669" i="1"/>
  <c r="N1669" i="1"/>
  <c r="O1669" i="1" s="1"/>
  <c r="M1669" i="1"/>
  <c r="V1668" i="1"/>
  <c r="R1668" i="1"/>
  <c r="P1668" i="1"/>
  <c r="M1668" i="1"/>
  <c r="N1668" i="1" s="1"/>
  <c r="O1668" i="1" s="1"/>
  <c r="V1667" i="1"/>
  <c r="S1667" i="1"/>
  <c r="P1667" i="1"/>
  <c r="N1667" i="1"/>
  <c r="O1667" i="1" s="1"/>
  <c r="M1667" i="1"/>
  <c r="V1666" i="1"/>
  <c r="R1666" i="1"/>
  <c r="P1666" i="1"/>
  <c r="O1666" i="1"/>
  <c r="S1666" i="1" s="1"/>
  <c r="M1666" i="1"/>
  <c r="N1666" i="1" s="1"/>
  <c r="V1665" i="1"/>
  <c r="P1665" i="1"/>
  <c r="N1665" i="1"/>
  <c r="O1665" i="1" s="1"/>
  <c r="S1665" i="1" s="1"/>
  <c r="M1665" i="1"/>
  <c r="V1664" i="1"/>
  <c r="R1664" i="1"/>
  <c r="P1664" i="1"/>
  <c r="M1664" i="1"/>
  <c r="N1664" i="1" s="1"/>
  <c r="O1664" i="1" s="1"/>
  <c r="S1664" i="1" s="1"/>
  <c r="V1663" i="1"/>
  <c r="P1663" i="1"/>
  <c r="N1663" i="1"/>
  <c r="O1663" i="1" s="1"/>
  <c r="S1663" i="1" s="1"/>
  <c r="M1663" i="1"/>
  <c r="V1662" i="1"/>
  <c r="R1662" i="1"/>
  <c r="P1662" i="1"/>
  <c r="M1662" i="1"/>
  <c r="N1662" i="1" s="1"/>
  <c r="O1662" i="1" s="1"/>
  <c r="S1662" i="1" s="1"/>
  <c r="V1661" i="1"/>
  <c r="P1661" i="1"/>
  <c r="N1661" i="1"/>
  <c r="O1661" i="1" s="1"/>
  <c r="M1661" i="1"/>
  <c r="V1660" i="1"/>
  <c r="R1660" i="1"/>
  <c r="P1660" i="1"/>
  <c r="M1660" i="1"/>
  <c r="N1660" i="1" s="1"/>
  <c r="O1660" i="1" s="1"/>
  <c r="V1659" i="1"/>
  <c r="S1659" i="1"/>
  <c r="P1659" i="1"/>
  <c r="N1659" i="1"/>
  <c r="O1659" i="1" s="1"/>
  <c r="M1659" i="1"/>
  <c r="V1658" i="1"/>
  <c r="P1658" i="1"/>
  <c r="N1658" i="1"/>
  <c r="O1658" i="1" s="1"/>
  <c r="M1658" i="1"/>
  <c r="V1657" i="1"/>
  <c r="R1657" i="1"/>
  <c r="P1657" i="1"/>
  <c r="N1657" i="1"/>
  <c r="O1657" i="1" s="1"/>
  <c r="M1657" i="1"/>
  <c r="V1656" i="1"/>
  <c r="R1656" i="1"/>
  <c r="P1656" i="1"/>
  <c r="N1656" i="1"/>
  <c r="O1656" i="1" s="1"/>
  <c r="M1656" i="1"/>
  <c r="V1655" i="1"/>
  <c r="R1655" i="1"/>
  <c r="P1655" i="1"/>
  <c r="N1655" i="1"/>
  <c r="O1655" i="1" s="1"/>
  <c r="M1655" i="1"/>
  <c r="V1654" i="1"/>
  <c r="P1654" i="1"/>
  <c r="N1654" i="1"/>
  <c r="O1654" i="1" s="1"/>
  <c r="M1654" i="1"/>
  <c r="V1653" i="1"/>
  <c r="R1653" i="1"/>
  <c r="P1653" i="1"/>
  <c r="N1653" i="1"/>
  <c r="O1653" i="1" s="1"/>
  <c r="M1653" i="1"/>
  <c r="V1652" i="1"/>
  <c r="P1652" i="1"/>
  <c r="M1652" i="1"/>
  <c r="N1652" i="1" s="1"/>
  <c r="O1652" i="1" s="1"/>
  <c r="V1651" i="1"/>
  <c r="R1651" i="1"/>
  <c r="P1651" i="1"/>
  <c r="N1651" i="1"/>
  <c r="O1651" i="1" s="1"/>
  <c r="M1651" i="1"/>
  <c r="V1650" i="1"/>
  <c r="P1650" i="1"/>
  <c r="M1650" i="1"/>
  <c r="N1650" i="1" s="1"/>
  <c r="O1650" i="1" s="1"/>
  <c r="V1649" i="1"/>
  <c r="R1649" i="1"/>
  <c r="P1649" i="1"/>
  <c r="N1649" i="1"/>
  <c r="O1649" i="1" s="1"/>
  <c r="M1649" i="1"/>
  <c r="V1648" i="1"/>
  <c r="P1648" i="1"/>
  <c r="M1648" i="1"/>
  <c r="N1648" i="1" s="1"/>
  <c r="O1648" i="1" s="1"/>
  <c r="V1647" i="1"/>
  <c r="R1647" i="1"/>
  <c r="P1647" i="1"/>
  <c r="N1647" i="1"/>
  <c r="O1647" i="1" s="1"/>
  <c r="M1647" i="1"/>
  <c r="V1646" i="1"/>
  <c r="R1646" i="1"/>
  <c r="P1646" i="1"/>
  <c r="M1646" i="1"/>
  <c r="N1646" i="1" s="1"/>
  <c r="O1646" i="1" s="1"/>
  <c r="V1645" i="1"/>
  <c r="R1645" i="1"/>
  <c r="P1645" i="1"/>
  <c r="M1645" i="1"/>
  <c r="N1645" i="1" s="1"/>
  <c r="O1645" i="1" s="1"/>
  <c r="V1644" i="1"/>
  <c r="P1644" i="1"/>
  <c r="M1644" i="1"/>
  <c r="N1644" i="1" s="1"/>
  <c r="O1644" i="1" s="1"/>
  <c r="V1643" i="1"/>
  <c r="R1643" i="1"/>
  <c r="P1643" i="1"/>
  <c r="M1643" i="1"/>
  <c r="N1643" i="1" s="1"/>
  <c r="O1643" i="1" s="1"/>
  <c r="V1642" i="1"/>
  <c r="R1642" i="1"/>
  <c r="P1642" i="1"/>
  <c r="M1642" i="1"/>
  <c r="N1642" i="1" s="1"/>
  <c r="O1642" i="1" s="1"/>
  <c r="V1641" i="1"/>
  <c r="R1641" i="1"/>
  <c r="P1641" i="1"/>
  <c r="M1641" i="1"/>
  <c r="N1641" i="1" s="1"/>
  <c r="O1641" i="1" s="1"/>
  <c r="V1640" i="1"/>
  <c r="R1640" i="1"/>
  <c r="P1640" i="1"/>
  <c r="M1640" i="1"/>
  <c r="N1640" i="1" s="1"/>
  <c r="O1640" i="1" s="1"/>
  <c r="V1639" i="1"/>
  <c r="R1639" i="1"/>
  <c r="P1639" i="1"/>
  <c r="N1639" i="1"/>
  <c r="O1639" i="1" s="1"/>
  <c r="M1639" i="1"/>
  <c r="V1638" i="1"/>
  <c r="R1638" i="1"/>
  <c r="P1638" i="1"/>
  <c r="M1638" i="1"/>
  <c r="N1638" i="1" s="1"/>
  <c r="O1638" i="1" s="1"/>
  <c r="V1637" i="1"/>
  <c r="R1637" i="1"/>
  <c r="P1637" i="1"/>
  <c r="M1637" i="1"/>
  <c r="N1637" i="1" s="1"/>
  <c r="O1637" i="1" s="1"/>
  <c r="V1636" i="1"/>
  <c r="P1636" i="1"/>
  <c r="O1636" i="1"/>
  <c r="M1636" i="1"/>
  <c r="N1636" i="1" s="1"/>
  <c r="V1635" i="1"/>
  <c r="R1635" i="1"/>
  <c r="P1635" i="1"/>
  <c r="M1635" i="1"/>
  <c r="N1635" i="1" s="1"/>
  <c r="O1635" i="1" s="1"/>
  <c r="V1634" i="1"/>
  <c r="R1634" i="1"/>
  <c r="P1634" i="1"/>
  <c r="M1634" i="1"/>
  <c r="N1634" i="1" s="1"/>
  <c r="O1634" i="1" s="1"/>
  <c r="V1633" i="1"/>
  <c r="R1633" i="1"/>
  <c r="P1633" i="1"/>
  <c r="M1633" i="1"/>
  <c r="N1633" i="1" s="1"/>
  <c r="O1633" i="1" s="1"/>
  <c r="V1632" i="1"/>
  <c r="R1632" i="1"/>
  <c r="P1632" i="1"/>
  <c r="M1632" i="1"/>
  <c r="N1632" i="1" s="1"/>
  <c r="O1632" i="1" s="1"/>
  <c r="V1631" i="1"/>
  <c r="R1631" i="1"/>
  <c r="P1631" i="1"/>
  <c r="N1631" i="1"/>
  <c r="O1631" i="1" s="1"/>
  <c r="M1631" i="1"/>
  <c r="V1630" i="1"/>
  <c r="R1630" i="1"/>
  <c r="P1630" i="1"/>
  <c r="M1630" i="1"/>
  <c r="N1630" i="1" s="1"/>
  <c r="O1630" i="1" s="1"/>
  <c r="V1629" i="1"/>
  <c r="R1629" i="1"/>
  <c r="P1629" i="1"/>
  <c r="M1629" i="1"/>
  <c r="N1629" i="1" s="1"/>
  <c r="O1629" i="1" s="1"/>
  <c r="V1628" i="1"/>
  <c r="P1628" i="1"/>
  <c r="M1628" i="1"/>
  <c r="N1628" i="1" s="1"/>
  <c r="O1628" i="1" s="1"/>
  <c r="V1627" i="1"/>
  <c r="R1627" i="1"/>
  <c r="P1627" i="1"/>
  <c r="M1627" i="1"/>
  <c r="N1627" i="1" s="1"/>
  <c r="O1627" i="1" s="1"/>
  <c r="V1626" i="1"/>
  <c r="R1626" i="1"/>
  <c r="P1626" i="1"/>
  <c r="M1626" i="1"/>
  <c r="N1626" i="1" s="1"/>
  <c r="O1626" i="1" s="1"/>
  <c r="V1625" i="1"/>
  <c r="R1625" i="1"/>
  <c r="P1625" i="1"/>
  <c r="M1625" i="1"/>
  <c r="N1625" i="1" s="1"/>
  <c r="O1625" i="1" s="1"/>
  <c r="V1624" i="1"/>
  <c r="P1624" i="1"/>
  <c r="M1624" i="1"/>
  <c r="N1624" i="1" s="1"/>
  <c r="O1624" i="1" s="1"/>
  <c r="V1623" i="1"/>
  <c r="R1623" i="1"/>
  <c r="P1623" i="1"/>
  <c r="M1623" i="1"/>
  <c r="N1623" i="1" s="1"/>
  <c r="O1623" i="1" s="1"/>
  <c r="V1622" i="1"/>
  <c r="R1622" i="1"/>
  <c r="P1622" i="1"/>
  <c r="M1622" i="1"/>
  <c r="N1622" i="1" s="1"/>
  <c r="O1622" i="1" s="1"/>
  <c r="V1621" i="1"/>
  <c r="R1621" i="1"/>
  <c r="P1621" i="1"/>
  <c r="M1621" i="1"/>
  <c r="N1621" i="1" s="1"/>
  <c r="O1621" i="1" s="1"/>
  <c r="V1620" i="1"/>
  <c r="P1620" i="1"/>
  <c r="M1620" i="1"/>
  <c r="N1620" i="1" s="1"/>
  <c r="O1620" i="1" s="1"/>
  <c r="V1619" i="1"/>
  <c r="R1619" i="1"/>
  <c r="P1619" i="1"/>
  <c r="M1619" i="1"/>
  <c r="N1619" i="1" s="1"/>
  <c r="O1619" i="1" s="1"/>
  <c r="V1618" i="1"/>
  <c r="R1618" i="1"/>
  <c r="P1618" i="1"/>
  <c r="M1618" i="1"/>
  <c r="N1618" i="1" s="1"/>
  <c r="O1618" i="1" s="1"/>
  <c r="V1617" i="1"/>
  <c r="R1617" i="1"/>
  <c r="P1617" i="1"/>
  <c r="M1617" i="1"/>
  <c r="N1617" i="1" s="1"/>
  <c r="O1617" i="1" s="1"/>
  <c r="V1616" i="1"/>
  <c r="P1616" i="1"/>
  <c r="O1616" i="1"/>
  <c r="M1616" i="1"/>
  <c r="N1616" i="1" s="1"/>
  <c r="V1615" i="1"/>
  <c r="R1615" i="1"/>
  <c r="P1615" i="1"/>
  <c r="M1615" i="1"/>
  <c r="N1615" i="1" s="1"/>
  <c r="O1615" i="1" s="1"/>
  <c r="V1614" i="1"/>
  <c r="R1614" i="1"/>
  <c r="P1614" i="1"/>
  <c r="M1614" i="1"/>
  <c r="N1614" i="1" s="1"/>
  <c r="O1614" i="1" s="1"/>
  <c r="V1613" i="1"/>
  <c r="R1613" i="1"/>
  <c r="P1613" i="1"/>
  <c r="O1613" i="1"/>
  <c r="M1613" i="1"/>
  <c r="N1613" i="1" s="1"/>
  <c r="V1612" i="1"/>
  <c r="P1612" i="1"/>
  <c r="O1612" i="1"/>
  <c r="M1612" i="1"/>
  <c r="N1612" i="1" s="1"/>
  <c r="V1611" i="1"/>
  <c r="R1611" i="1"/>
  <c r="P1611" i="1"/>
  <c r="M1611" i="1"/>
  <c r="N1611" i="1" s="1"/>
  <c r="O1611" i="1" s="1"/>
  <c r="V1610" i="1"/>
  <c r="R1610" i="1"/>
  <c r="P1610" i="1"/>
  <c r="O1610" i="1"/>
  <c r="M1610" i="1"/>
  <c r="N1610" i="1" s="1"/>
  <c r="V1609" i="1"/>
  <c r="R1609" i="1"/>
  <c r="P1609" i="1"/>
  <c r="O1609" i="1"/>
  <c r="M1609" i="1"/>
  <c r="N1609" i="1" s="1"/>
  <c r="V1608" i="1"/>
  <c r="R1608" i="1"/>
  <c r="P1608" i="1"/>
  <c r="O1608" i="1"/>
  <c r="M1608" i="1"/>
  <c r="N1608" i="1" s="1"/>
  <c r="V1607" i="1"/>
  <c r="R1607" i="1"/>
  <c r="P1607" i="1"/>
  <c r="N1607" i="1"/>
  <c r="O1607" i="1" s="1"/>
  <c r="M1607" i="1"/>
  <c r="V1606" i="1"/>
  <c r="R1606" i="1"/>
  <c r="P1606" i="1"/>
  <c r="O1606" i="1"/>
  <c r="M1606" i="1"/>
  <c r="N1606" i="1" s="1"/>
  <c r="V1605" i="1"/>
  <c r="P1605" i="1"/>
  <c r="N1605" i="1"/>
  <c r="O1605" i="1" s="1"/>
  <c r="S1605" i="1" s="1"/>
  <c r="M1605" i="1"/>
  <c r="V1604" i="1"/>
  <c r="S1604" i="1"/>
  <c r="R1604" i="1"/>
  <c r="P1604" i="1"/>
  <c r="M1604" i="1"/>
  <c r="N1604" i="1" s="1"/>
  <c r="O1604" i="1" s="1"/>
  <c r="V1603" i="1"/>
  <c r="P1603" i="1"/>
  <c r="N1603" i="1"/>
  <c r="O1603" i="1" s="1"/>
  <c r="M1603" i="1"/>
  <c r="V1602" i="1"/>
  <c r="P1602" i="1"/>
  <c r="M1602" i="1"/>
  <c r="N1602" i="1" s="1"/>
  <c r="O1602" i="1" s="1"/>
  <c r="V1601" i="1"/>
  <c r="P1601" i="1"/>
  <c r="N1601" i="1"/>
  <c r="O1601" i="1" s="1"/>
  <c r="M1601" i="1"/>
  <c r="V1600" i="1"/>
  <c r="R1600" i="1"/>
  <c r="P1600" i="1"/>
  <c r="M1600" i="1"/>
  <c r="N1600" i="1" s="1"/>
  <c r="O1600" i="1" s="1"/>
  <c r="S1600" i="1" s="1"/>
  <c r="V1599" i="1"/>
  <c r="P1599" i="1"/>
  <c r="M1599" i="1"/>
  <c r="N1599" i="1" s="1"/>
  <c r="O1599" i="1" s="1"/>
  <c r="V1598" i="1"/>
  <c r="P1598" i="1"/>
  <c r="M1598" i="1"/>
  <c r="N1598" i="1" s="1"/>
  <c r="O1598" i="1" s="1"/>
  <c r="V1597" i="1"/>
  <c r="P1597" i="1"/>
  <c r="N1597" i="1"/>
  <c r="O1597" i="1" s="1"/>
  <c r="M1597" i="1"/>
  <c r="V1596" i="1"/>
  <c r="R1596" i="1"/>
  <c r="P1596" i="1"/>
  <c r="M1596" i="1"/>
  <c r="N1596" i="1" s="1"/>
  <c r="O1596" i="1" s="1"/>
  <c r="S1596" i="1" s="1"/>
  <c r="V1595" i="1"/>
  <c r="P1595" i="1"/>
  <c r="M1595" i="1"/>
  <c r="N1595" i="1" s="1"/>
  <c r="O1595" i="1" s="1"/>
  <c r="V1594" i="1"/>
  <c r="P1594" i="1"/>
  <c r="M1594" i="1"/>
  <c r="N1594" i="1" s="1"/>
  <c r="O1594" i="1" s="1"/>
  <c r="V1593" i="1"/>
  <c r="P1593" i="1"/>
  <c r="N1593" i="1"/>
  <c r="O1593" i="1" s="1"/>
  <c r="M1593" i="1"/>
  <c r="V1592" i="1"/>
  <c r="R1592" i="1"/>
  <c r="P1592" i="1"/>
  <c r="N1592" i="1"/>
  <c r="O1592" i="1" s="1"/>
  <c r="S1592" i="1" s="1"/>
  <c r="M1592" i="1"/>
  <c r="V1591" i="1"/>
  <c r="P1591" i="1"/>
  <c r="N1591" i="1"/>
  <c r="O1591" i="1" s="1"/>
  <c r="M1591" i="1"/>
  <c r="V1590" i="1"/>
  <c r="P1590" i="1"/>
  <c r="O1590" i="1"/>
  <c r="N1590" i="1"/>
  <c r="M1590" i="1"/>
  <c r="V1589" i="1"/>
  <c r="R1589" i="1"/>
  <c r="P1589" i="1"/>
  <c r="N1589" i="1"/>
  <c r="O1589" i="1" s="1"/>
  <c r="S1589" i="1" s="1"/>
  <c r="M1589" i="1"/>
  <c r="V1588" i="1"/>
  <c r="P1588" i="1"/>
  <c r="N1588" i="1"/>
  <c r="O1588" i="1" s="1"/>
  <c r="M1588" i="1"/>
  <c r="V1587" i="1"/>
  <c r="P1587" i="1"/>
  <c r="O1587" i="1"/>
  <c r="N1587" i="1"/>
  <c r="M1587" i="1"/>
  <c r="V1586" i="1"/>
  <c r="P1586" i="1"/>
  <c r="N1586" i="1"/>
  <c r="O1586" i="1" s="1"/>
  <c r="M1586" i="1"/>
  <c r="V1585" i="1"/>
  <c r="S1585" i="1"/>
  <c r="P1585" i="1"/>
  <c r="N1585" i="1"/>
  <c r="O1585" i="1" s="1"/>
  <c r="M1585" i="1"/>
  <c r="V1584" i="1"/>
  <c r="R1584" i="1"/>
  <c r="P1584" i="1"/>
  <c r="N1584" i="1"/>
  <c r="O1584" i="1" s="1"/>
  <c r="S1584" i="1" s="1"/>
  <c r="M1584" i="1"/>
  <c r="V1583" i="1"/>
  <c r="P1583" i="1"/>
  <c r="N1583" i="1"/>
  <c r="O1583" i="1" s="1"/>
  <c r="M1583" i="1"/>
  <c r="V1582" i="1"/>
  <c r="P1582" i="1"/>
  <c r="Q1582" i="1" s="1"/>
  <c r="O1582" i="1"/>
  <c r="N1582" i="1"/>
  <c r="M1582" i="1"/>
  <c r="V1581" i="1"/>
  <c r="R1581" i="1"/>
  <c r="P1581" i="1"/>
  <c r="N1581" i="1"/>
  <c r="O1581" i="1" s="1"/>
  <c r="S1581" i="1" s="1"/>
  <c r="M1581" i="1"/>
  <c r="V1580" i="1"/>
  <c r="P1580" i="1"/>
  <c r="N1580" i="1"/>
  <c r="O1580" i="1" s="1"/>
  <c r="M1580" i="1"/>
  <c r="V1579" i="1"/>
  <c r="P1579" i="1"/>
  <c r="O1579" i="1"/>
  <c r="N1579" i="1"/>
  <c r="M1579" i="1"/>
  <c r="V1578" i="1"/>
  <c r="P1578" i="1"/>
  <c r="N1578" i="1"/>
  <c r="O1578" i="1" s="1"/>
  <c r="M1578" i="1"/>
  <c r="V1577" i="1"/>
  <c r="S1577" i="1"/>
  <c r="P1577" i="1"/>
  <c r="N1577" i="1"/>
  <c r="O1577" i="1" s="1"/>
  <c r="M1577" i="1"/>
  <c r="V1576" i="1"/>
  <c r="R1576" i="1"/>
  <c r="P1576" i="1"/>
  <c r="M1576" i="1"/>
  <c r="N1576" i="1" s="1"/>
  <c r="O1576" i="1" s="1"/>
  <c r="S1576" i="1" s="1"/>
  <c r="V1575" i="1"/>
  <c r="R1575" i="1"/>
  <c r="P1575" i="1"/>
  <c r="M1575" i="1"/>
  <c r="N1575" i="1" s="1"/>
  <c r="O1575" i="1" s="1"/>
  <c r="V1574" i="1"/>
  <c r="P1574" i="1"/>
  <c r="M1574" i="1"/>
  <c r="N1574" i="1" s="1"/>
  <c r="O1574" i="1" s="1"/>
  <c r="V1573" i="1"/>
  <c r="R1573" i="1"/>
  <c r="P1573" i="1"/>
  <c r="O1573" i="1"/>
  <c r="S1573" i="1" s="1"/>
  <c r="N1573" i="1"/>
  <c r="M1573" i="1"/>
  <c r="V1572" i="1"/>
  <c r="P1572" i="1"/>
  <c r="M1572" i="1"/>
  <c r="N1572" i="1" s="1"/>
  <c r="O1572" i="1" s="1"/>
  <c r="V1571" i="1"/>
  <c r="P1571" i="1"/>
  <c r="M1571" i="1"/>
  <c r="N1571" i="1" s="1"/>
  <c r="O1571" i="1" s="1"/>
  <c r="V1570" i="1"/>
  <c r="P1570" i="1"/>
  <c r="N1570" i="1"/>
  <c r="O1570" i="1" s="1"/>
  <c r="M1570" i="1"/>
  <c r="V1569" i="1"/>
  <c r="P1569" i="1"/>
  <c r="M1569" i="1"/>
  <c r="N1569" i="1" s="1"/>
  <c r="O1569" i="1" s="1"/>
  <c r="S1569" i="1" s="1"/>
  <c r="V1568" i="1"/>
  <c r="R1568" i="1"/>
  <c r="P1568" i="1"/>
  <c r="M1568" i="1"/>
  <c r="N1568" i="1" s="1"/>
  <c r="O1568" i="1" s="1"/>
  <c r="S1568" i="1" s="1"/>
  <c r="V1567" i="1"/>
  <c r="P1567" i="1"/>
  <c r="M1567" i="1"/>
  <c r="N1567" i="1" s="1"/>
  <c r="O1567" i="1" s="1"/>
  <c r="V1566" i="1"/>
  <c r="P1566" i="1"/>
  <c r="M1566" i="1"/>
  <c r="N1566" i="1" s="1"/>
  <c r="O1566" i="1" s="1"/>
  <c r="V1565" i="1"/>
  <c r="R1565" i="1"/>
  <c r="P1565" i="1"/>
  <c r="O1565" i="1"/>
  <c r="S1565" i="1" s="1"/>
  <c r="N1565" i="1"/>
  <c r="M1565" i="1"/>
  <c r="V1564" i="1"/>
  <c r="P1564" i="1"/>
  <c r="M1564" i="1"/>
  <c r="N1564" i="1" s="1"/>
  <c r="O1564" i="1" s="1"/>
  <c r="V1563" i="1"/>
  <c r="P1563" i="1"/>
  <c r="M1563" i="1"/>
  <c r="N1563" i="1" s="1"/>
  <c r="O1563" i="1" s="1"/>
  <c r="V1562" i="1"/>
  <c r="P1562" i="1"/>
  <c r="N1562" i="1"/>
  <c r="O1562" i="1" s="1"/>
  <c r="M1562" i="1"/>
  <c r="V1561" i="1"/>
  <c r="P1561" i="1"/>
  <c r="M1561" i="1"/>
  <c r="N1561" i="1" s="1"/>
  <c r="O1561" i="1" s="1"/>
  <c r="S1561" i="1" s="1"/>
  <c r="V1560" i="1"/>
  <c r="R1560" i="1"/>
  <c r="P1560" i="1"/>
  <c r="M1560" i="1"/>
  <c r="N1560" i="1" s="1"/>
  <c r="O1560" i="1" s="1"/>
  <c r="S1560" i="1" s="1"/>
  <c r="V1559" i="1"/>
  <c r="P1559" i="1"/>
  <c r="M1559" i="1"/>
  <c r="N1559" i="1" s="1"/>
  <c r="O1559" i="1" s="1"/>
  <c r="V1558" i="1"/>
  <c r="P1558" i="1"/>
  <c r="M1558" i="1"/>
  <c r="N1558" i="1" s="1"/>
  <c r="O1558" i="1" s="1"/>
  <c r="V1557" i="1"/>
  <c r="R1557" i="1"/>
  <c r="P1557" i="1"/>
  <c r="O1557" i="1"/>
  <c r="S1557" i="1" s="1"/>
  <c r="N1557" i="1"/>
  <c r="M1557" i="1"/>
  <c r="V1556" i="1"/>
  <c r="P1556" i="1"/>
  <c r="M1556" i="1"/>
  <c r="N1556" i="1" s="1"/>
  <c r="O1556" i="1" s="1"/>
  <c r="V1555" i="1"/>
  <c r="P1555" i="1"/>
  <c r="M1555" i="1"/>
  <c r="N1555" i="1" s="1"/>
  <c r="O1555" i="1" s="1"/>
  <c r="V1554" i="1"/>
  <c r="P1554" i="1"/>
  <c r="N1554" i="1"/>
  <c r="O1554" i="1" s="1"/>
  <c r="M1554" i="1"/>
  <c r="V1553" i="1"/>
  <c r="S1553" i="1"/>
  <c r="P1553" i="1"/>
  <c r="M1553" i="1"/>
  <c r="N1553" i="1" s="1"/>
  <c r="O1553" i="1" s="1"/>
  <c r="V1552" i="1"/>
  <c r="R1552" i="1"/>
  <c r="P1552" i="1"/>
  <c r="M1552" i="1"/>
  <c r="N1552" i="1" s="1"/>
  <c r="O1552" i="1" s="1"/>
  <c r="S1552" i="1" s="1"/>
  <c r="V1551" i="1"/>
  <c r="R1551" i="1"/>
  <c r="P1551" i="1"/>
  <c r="M1551" i="1"/>
  <c r="N1551" i="1" s="1"/>
  <c r="O1551" i="1" s="1"/>
  <c r="V1550" i="1"/>
  <c r="P1550" i="1"/>
  <c r="M1550" i="1"/>
  <c r="N1550" i="1" s="1"/>
  <c r="O1550" i="1" s="1"/>
  <c r="V1549" i="1"/>
  <c r="R1549" i="1"/>
  <c r="P1549" i="1"/>
  <c r="O1549" i="1"/>
  <c r="S1549" i="1" s="1"/>
  <c r="N1549" i="1"/>
  <c r="M1549" i="1"/>
  <c r="V1548" i="1"/>
  <c r="P1548" i="1"/>
  <c r="M1548" i="1"/>
  <c r="N1548" i="1" s="1"/>
  <c r="O1548" i="1" s="1"/>
  <c r="V1547" i="1"/>
  <c r="P1547" i="1"/>
  <c r="M1547" i="1"/>
  <c r="N1547" i="1" s="1"/>
  <c r="O1547" i="1" s="1"/>
  <c r="V1546" i="1"/>
  <c r="P1546" i="1"/>
  <c r="N1546" i="1"/>
  <c r="O1546" i="1" s="1"/>
  <c r="M1546" i="1"/>
  <c r="V1545" i="1"/>
  <c r="S1545" i="1"/>
  <c r="P1545" i="1"/>
  <c r="M1545" i="1"/>
  <c r="N1545" i="1" s="1"/>
  <c r="O1545" i="1" s="1"/>
  <c r="V1544" i="1"/>
  <c r="R1544" i="1"/>
  <c r="P1544" i="1"/>
  <c r="M1544" i="1"/>
  <c r="N1544" i="1" s="1"/>
  <c r="O1544" i="1" s="1"/>
  <c r="S1544" i="1" s="1"/>
  <c r="V1543" i="1"/>
  <c r="R1543" i="1"/>
  <c r="P1543" i="1"/>
  <c r="M1543" i="1"/>
  <c r="N1543" i="1" s="1"/>
  <c r="O1543" i="1" s="1"/>
  <c r="V1542" i="1"/>
  <c r="P1542" i="1"/>
  <c r="O1542" i="1"/>
  <c r="S1542" i="1" s="1"/>
  <c r="M1542" i="1"/>
  <c r="N1542" i="1" s="1"/>
  <c r="V1541" i="1"/>
  <c r="R1541" i="1"/>
  <c r="P1541" i="1"/>
  <c r="N1541" i="1"/>
  <c r="O1541" i="1" s="1"/>
  <c r="S1541" i="1" s="1"/>
  <c r="M1541" i="1"/>
  <c r="V1540" i="1"/>
  <c r="P1540" i="1"/>
  <c r="N1540" i="1"/>
  <c r="O1540" i="1" s="1"/>
  <c r="M1540" i="1"/>
  <c r="V1539" i="1"/>
  <c r="P1539" i="1"/>
  <c r="O1539" i="1"/>
  <c r="M1539" i="1"/>
  <c r="N1539" i="1" s="1"/>
  <c r="V1538" i="1"/>
  <c r="P1538" i="1"/>
  <c r="N1538" i="1"/>
  <c r="O1538" i="1" s="1"/>
  <c r="M1538" i="1"/>
  <c r="V1537" i="1"/>
  <c r="P1537" i="1"/>
  <c r="R1537" i="1" s="1"/>
  <c r="N1537" i="1"/>
  <c r="O1537" i="1" s="1"/>
  <c r="S1537" i="1" s="1"/>
  <c r="M1537" i="1"/>
  <c r="V1536" i="1"/>
  <c r="S1536" i="1"/>
  <c r="P1536" i="1"/>
  <c r="R1536" i="1" s="1"/>
  <c r="N1536" i="1"/>
  <c r="O1536" i="1" s="1"/>
  <c r="M1536" i="1"/>
  <c r="V1535" i="1"/>
  <c r="S1535" i="1"/>
  <c r="P1535" i="1"/>
  <c r="R1535" i="1" s="1"/>
  <c r="N1535" i="1"/>
  <c r="O1535" i="1" s="1"/>
  <c r="M1535" i="1"/>
  <c r="V1534" i="1"/>
  <c r="P1534" i="1"/>
  <c r="R1534" i="1" s="1"/>
  <c r="N1534" i="1"/>
  <c r="O1534" i="1" s="1"/>
  <c r="S1534" i="1" s="1"/>
  <c r="M1534" i="1"/>
  <c r="V1533" i="1"/>
  <c r="S1533" i="1"/>
  <c r="P1533" i="1"/>
  <c r="R1533" i="1" s="1"/>
  <c r="N1533" i="1"/>
  <c r="O1533" i="1" s="1"/>
  <c r="M1533" i="1"/>
  <c r="V1532" i="1"/>
  <c r="P1532" i="1"/>
  <c r="R1532" i="1" s="1"/>
  <c r="N1532" i="1"/>
  <c r="O1532" i="1" s="1"/>
  <c r="S1532" i="1" s="1"/>
  <c r="M1532" i="1"/>
  <c r="V1531" i="1"/>
  <c r="S1531" i="1"/>
  <c r="P1531" i="1"/>
  <c r="R1531" i="1" s="1"/>
  <c r="N1531" i="1"/>
  <c r="O1531" i="1" s="1"/>
  <c r="M1531" i="1"/>
  <c r="V1530" i="1"/>
  <c r="S1530" i="1"/>
  <c r="P1530" i="1"/>
  <c r="R1530" i="1" s="1"/>
  <c r="N1530" i="1"/>
  <c r="O1530" i="1" s="1"/>
  <c r="M1530" i="1"/>
  <c r="V1529" i="1"/>
  <c r="P1529" i="1"/>
  <c r="N1529" i="1"/>
  <c r="O1529" i="1" s="1"/>
  <c r="M1529" i="1"/>
  <c r="V1528" i="1"/>
  <c r="S1528" i="1"/>
  <c r="P1528" i="1"/>
  <c r="N1528" i="1"/>
  <c r="O1528" i="1" s="1"/>
  <c r="M1528" i="1"/>
  <c r="V1527" i="1"/>
  <c r="P1527" i="1"/>
  <c r="N1527" i="1"/>
  <c r="O1527" i="1" s="1"/>
  <c r="M1527" i="1"/>
  <c r="V1526" i="1"/>
  <c r="P1526" i="1"/>
  <c r="N1526" i="1"/>
  <c r="O1526" i="1" s="1"/>
  <c r="S1526" i="1" s="1"/>
  <c r="M1526" i="1"/>
  <c r="V1525" i="1"/>
  <c r="P1525" i="1"/>
  <c r="N1525" i="1"/>
  <c r="O1525" i="1" s="1"/>
  <c r="M1525" i="1"/>
  <c r="V1524" i="1"/>
  <c r="P1524" i="1"/>
  <c r="N1524" i="1"/>
  <c r="O1524" i="1" s="1"/>
  <c r="S1524" i="1" s="1"/>
  <c r="M1524" i="1"/>
  <c r="V1523" i="1"/>
  <c r="P1523" i="1"/>
  <c r="N1523" i="1"/>
  <c r="O1523" i="1" s="1"/>
  <c r="M1523" i="1"/>
  <c r="V1522" i="1"/>
  <c r="S1522" i="1"/>
  <c r="P1522" i="1"/>
  <c r="N1522" i="1"/>
  <c r="O1522" i="1" s="1"/>
  <c r="M1522" i="1"/>
  <c r="V1521" i="1"/>
  <c r="P1521" i="1"/>
  <c r="N1521" i="1"/>
  <c r="O1521" i="1" s="1"/>
  <c r="M1521" i="1"/>
  <c r="V1520" i="1"/>
  <c r="S1520" i="1"/>
  <c r="P1520" i="1"/>
  <c r="N1520" i="1"/>
  <c r="O1520" i="1" s="1"/>
  <c r="M1520" i="1"/>
  <c r="V1519" i="1"/>
  <c r="P1519" i="1"/>
  <c r="N1519" i="1"/>
  <c r="O1519" i="1" s="1"/>
  <c r="M1519" i="1"/>
  <c r="V1518" i="1"/>
  <c r="P1518" i="1"/>
  <c r="N1518" i="1"/>
  <c r="O1518" i="1" s="1"/>
  <c r="S1518" i="1" s="1"/>
  <c r="M1518" i="1"/>
  <c r="V1517" i="1"/>
  <c r="P1517" i="1"/>
  <c r="M1517" i="1"/>
  <c r="N1517" i="1" s="1"/>
  <c r="O1517" i="1" s="1"/>
  <c r="V1516" i="1"/>
  <c r="P1516" i="1"/>
  <c r="N1516" i="1"/>
  <c r="O1516" i="1" s="1"/>
  <c r="S1516" i="1" s="1"/>
  <c r="M1516" i="1"/>
  <c r="V1515" i="1"/>
  <c r="P1515" i="1"/>
  <c r="M1515" i="1"/>
  <c r="N1515" i="1" s="1"/>
  <c r="O1515" i="1" s="1"/>
  <c r="V1514" i="1"/>
  <c r="S1514" i="1"/>
  <c r="P1514" i="1"/>
  <c r="N1514" i="1"/>
  <c r="O1514" i="1" s="1"/>
  <c r="M1514" i="1"/>
  <c r="V1513" i="1"/>
  <c r="P1513" i="1"/>
  <c r="N1513" i="1"/>
  <c r="O1513" i="1" s="1"/>
  <c r="M1513" i="1"/>
  <c r="V1512" i="1"/>
  <c r="P1512" i="1"/>
  <c r="N1512" i="1"/>
  <c r="O1512" i="1" s="1"/>
  <c r="M1512" i="1"/>
  <c r="V1511" i="1"/>
  <c r="P1511" i="1"/>
  <c r="N1511" i="1"/>
  <c r="O1511" i="1" s="1"/>
  <c r="M1511" i="1"/>
  <c r="V1510" i="1"/>
  <c r="P1510" i="1"/>
  <c r="N1510" i="1"/>
  <c r="O1510" i="1" s="1"/>
  <c r="M1510" i="1"/>
  <c r="V1509" i="1"/>
  <c r="P1509" i="1"/>
  <c r="N1509" i="1"/>
  <c r="O1509" i="1" s="1"/>
  <c r="M1509" i="1"/>
  <c r="V1508" i="1"/>
  <c r="P1508" i="1"/>
  <c r="N1508" i="1"/>
  <c r="O1508" i="1" s="1"/>
  <c r="M1508" i="1"/>
  <c r="V1507" i="1"/>
  <c r="P1507" i="1"/>
  <c r="N1507" i="1"/>
  <c r="O1507" i="1" s="1"/>
  <c r="M1507" i="1"/>
  <c r="V1506" i="1"/>
  <c r="P1506" i="1"/>
  <c r="N1506" i="1"/>
  <c r="O1506" i="1" s="1"/>
  <c r="M1506" i="1"/>
  <c r="V1505" i="1"/>
  <c r="P1505" i="1"/>
  <c r="N1505" i="1"/>
  <c r="O1505" i="1" s="1"/>
  <c r="M1505" i="1"/>
  <c r="V1504" i="1"/>
  <c r="P1504" i="1"/>
  <c r="N1504" i="1"/>
  <c r="O1504" i="1" s="1"/>
  <c r="M1504" i="1"/>
  <c r="V1503" i="1"/>
  <c r="P1503" i="1"/>
  <c r="N1503" i="1"/>
  <c r="O1503" i="1" s="1"/>
  <c r="M1503" i="1"/>
  <c r="V1502" i="1"/>
  <c r="P1502" i="1"/>
  <c r="N1502" i="1"/>
  <c r="O1502" i="1" s="1"/>
  <c r="M1502" i="1"/>
  <c r="V1501" i="1"/>
  <c r="P1501" i="1"/>
  <c r="N1501" i="1"/>
  <c r="O1501" i="1" s="1"/>
  <c r="M1501" i="1"/>
  <c r="V1500" i="1"/>
  <c r="P1500" i="1"/>
  <c r="N1500" i="1"/>
  <c r="O1500" i="1" s="1"/>
  <c r="M1500" i="1"/>
  <c r="V1499" i="1"/>
  <c r="P1499" i="1"/>
  <c r="N1499" i="1"/>
  <c r="O1499" i="1" s="1"/>
  <c r="M1499" i="1"/>
  <c r="V1498" i="1"/>
  <c r="P1498" i="1"/>
  <c r="N1498" i="1"/>
  <c r="O1498" i="1" s="1"/>
  <c r="M1498" i="1"/>
  <c r="V1497" i="1"/>
  <c r="P1497" i="1"/>
  <c r="N1497" i="1"/>
  <c r="O1497" i="1" s="1"/>
  <c r="M1497" i="1"/>
  <c r="V1496" i="1"/>
  <c r="P1496" i="1"/>
  <c r="N1496" i="1"/>
  <c r="O1496" i="1" s="1"/>
  <c r="M1496" i="1"/>
  <c r="V1495" i="1"/>
  <c r="P1495" i="1"/>
  <c r="N1495" i="1"/>
  <c r="O1495" i="1" s="1"/>
  <c r="M1495" i="1"/>
  <c r="V1494" i="1"/>
  <c r="P1494" i="1"/>
  <c r="N1494" i="1"/>
  <c r="O1494" i="1" s="1"/>
  <c r="M1494" i="1"/>
  <c r="V1493" i="1"/>
  <c r="P1493" i="1"/>
  <c r="N1493" i="1"/>
  <c r="O1493" i="1" s="1"/>
  <c r="M1493" i="1"/>
  <c r="V1492" i="1"/>
  <c r="P1492" i="1"/>
  <c r="N1492" i="1"/>
  <c r="O1492" i="1" s="1"/>
  <c r="M1492" i="1"/>
  <c r="V1491" i="1"/>
  <c r="P1491" i="1"/>
  <c r="N1491" i="1"/>
  <c r="O1491" i="1" s="1"/>
  <c r="M1491" i="1"/>
  <c r="V1490" i="1"/>
  <c r="P1490" i="1"/>
  <c r="N1490" i="1"/>
  <c r="O1490" i="1" s="1"/>
  <c r="M1490" i="1"/>
  <c r="V1489" i="1"/>
  <c r="P1489" i="1"/>
  <c r="N1489" i="1"/>
  <c r="O1489" i="1" s="1"/>
  <c r="M1489" i="1"/>
  <c r="V1488" i="1"/>
  <c r="P1488" i="1"/>
  <c r="N1488" i="1"/>
  <c r="O1488" i="1" s="1"/>
  <c r="M1488" i="1"/>
  <c r="V1487" i="1"/>
  <c r="P1487" i="1"/>
  <c r="N1487" i="1"/>
  <c r="O1487" i="1" s="1"/>
  <c r="M1487" i="1"/>
  <c r="V1486" i="1"/>
  <c r="P1486" i="1"/>
  <c r="N1486" i="1"/>
  <c r="O1486" i="1" s="1"/>
  <c r="M1486" i="1"/>
  <c r="V1485" i="1"/>
  <c r="P1485" i="1"/>
  <c r="N1485" i="1"/>
  <c r="O1485" i="1" s="1"/>
  <c r="M1485" i="1"/>
  <c r="V1484" i="1"/>
  <c r="P1484" i="1"/>
  <c r="N1484" i="1"/>
  <c r="O1484" i="1" s="1"/>
  <c r="M1484" i="1"/>
  <c r="V1483" i="1"/>
  <c r="P1483" i="1"/>
  <c r="N1483" i="1"/>
  <c r="O1483" i="1" s="1"/>
  <c r="M1483" i="1"/>
  <c r="V1482" i="1"/>
  <c r="P1482" i="1"/>
  <c r="N1482" i="1"/>
  <c r="O1482" i="1" s="1"/>
  <c r="M1482" i="1"/>
  <c r="V1481" i="1"/>
  <c r="P1481" i="1"/>
  <c r="N1481" i="1"/>
  <c r="O1481" i="1" s="1"/>
  <c r="M1481" i="1"/>
  <c r="V1480" i="1"/>
  <c r="P1480" i="1"/>
  <c r="N1480" i="1"/>
  <c r="O1480" i="1" s="1"/>
  <c r="M1480" i="1"/>
  <c r="V1479" i="1"/>
  <c r="P1479" i="1"/>
  <c r="N1479" i="1"/>
  <c r="O1479" i="1" s="1"/>
  <c r="M1479" i="1"/>
  <c r="V1478" i="1"/>
  <c r="P1478" i="1"/>
  <c r="N1478" i="1"/>
  <c r="O1478" i="1" s="1"/>
  <c r="M1478" i="1"/>
  <c r="V1477" i="1"/>
  <c r="P1477" i="1"/>
  <c r="N1477" i="1"/>
  <c r="O1477" i="1" s="1"/>
  <c r="M1477" i="1"/>
  <c r="V1476" i="1"/>
  <c r="P1476" i="1"/>
  <c r="N1476" i="1"/>
  <c r="O1476" i="1" s="1"/>
  <c r="M1476" i="1"/>
  <c r="V1475" i="1"/>
  <c r="P1475" i="1"/>
  <c r="N1475" i="1"/>
  <c r="O1475" i="1" s="1"/>
  <c r="M1475" i="1"/>
  <c r="V1474" i="1"/>
  <c r="P1474" i="1"/>
  <c r="N1474" i="1"/>
  <c r="O1474" i="1" s="1"/>
  <c r="M1474" i="1"/>
  <c r="V1473" i="1"/>
  <c r="P1473" i="1"/>
  <c r="N1473" i="1"/>
  <c r="O1473" i="1" s="1"/>
  <c r="M1473" i="1"/>
  <c r="V1472" i="1"/>
  <c r="P1472" i="1"/>
  <c r="N1472" i="1"/>
  <c r="O1472" i="1" s="1"/>
  <c r="M1472" i="1"/>
  <c r="V1471" i="1"/>
  <c r="P1471" i="1"/>
  <c r="N1471" i="1"/>
  <c r="O1471" i="1" s="1"/>
  <c r="M1471" i="1"/>
  <c r="V1470" i="1"/>
  <c r="R1470" i="1"/>
  <c r="P1470" i="1"/>
  <c r="O1470" i="1"/>
  <c r="S1470" i="1" s="1"/>
  <c r="M1470" i="1"/>
  <c r="N1470" i="1" s="1"/>
  <c r="V1469" i="1"/>
  <c r="R1469" i="1"/>
  <c r="P1469" i="1"/>
  <c r="S1469" i="1" s="1"/>
  <c r="N1469" i="1"/>
  <c r="O1469" i="1" s="1"/>
  <c r="M1469" i="1"/>
  <c r="V1468" i="1"/>
  <c r="P1468" i="1"/>
  <c r="M1468" i="1"/>
  <c r="N1468" i="1" s="1"/>
  <c r="O1468" i="1" s="1"/>
  <c r="V1467" i="1"/>
  <c r="P1467" i="1"/>
  <c r="O1467" i="1"/>
  <c r="S1467" i="1" s="1"/>
  <c r="N1467" i="1"/>
  <c r="M1467" i="1"/>
  <c r="V1466" i="1"/>
  <c r="R1466" i="1"/>
  <c r="P1466" i="1"/>
  <c r="M1466" i="1"/>
  <c r="N1466" i="1" s="1"/>
  <c r="O1466" i="1" s="1"/>
  <c r="S1466" i="1" s="1"/>
  <c r="V1465" i="1"/>
  <c r="S1465" i="1"/>
  <c r="P1465" i="1"/>
  <c r="N1465" i="1"/>
  <c r="O1465" i="1" s="1"/>
  <c r="M1465" i="1"/>
  <c r="V1464" i="1"/>
  <c r="R1464" i="1"/>
  <c r="P1464" i="1"/>
  <c r="M1464" i="1"/>
  <c r="N1464" i="1" s="1"/>
  <c r="O1464" i="1" s="1"/>
  <c r="S1464" i="1" s="1"/>
  <c r="V1463" i="1"/>
  <c r="S1463" i="1"/>
  <c r="P1463" i="1"/>
  <c r="N1463" i="1"/>
  <c r="O1463" i="1" s="1"/>
  <c r="M1463" i="1"/>
  <c r="V1462" i="1"/>
  <c r="R1462" i="1"/>
  <c r="P1462" i="1"/>
  <c r="O1462" i="1"/>
  <c r="S1462" i="1" s="1"/>
  <c r="M1462" i="1"/>
  <c r="N1462" i="1" s="1"/>
  <c r="V1461" i="1"/>
  <c r="R1461" i="1"/>
  <c r="P1461" i="1"/>
  <c r="N1461" i="1"/>
  <c r="O1461" i="1" s="1"/>
  <c r="M1461" i="1"/>
  <c r="V1460" i="1"/>
  <c r="P1460" i="1"/>
  <c r="M1460" i="1"/>
  <c r="N1460" i="1" s="1"/>
  <c r="O1460" i="1" s="1"/>
  <c r="V1459" i="1"/>
  <c r="P1459" i="1"/>
  <c r="O1459" i="1"/>
  <c r="S1459" i="1" s="1"/>
  <c r="N1459" i="1"/>
  <c r="M1459" i="1"/>
  <c r="V1458" i="1"/>
  <c r="R1458" i="1"/>
  <c r="P1458" i="1"/>
  <c r="M1458" i="1"/>
  <c r="N1458" i="1" s="1"/>
  <c r="O1458" i="1" s="1"/>
  <c r="S1458" i="1" s="1"/>
  <c r="V1457" i="1"/>
  <c r="P1457" i="1"/>
  <c r="N1457" i="1"/>
  <c r="O1457" i="1" s="1"/>
  <c r="S1457" i="1" s="1"/>
  <c r="M1457" i="1"/>
  <c r="V1456" i="1"/>
  <c r="R1456" i="1"/>
  <c r="P1456" i="1"/>
  <c r="M1456" i="1"/>
  <c r="N1456" i="1" s="1"/>
  <c r="O1456" i="1" s="1"/>
  <c r="S1456" i="1" s="1"/>
  <c r="V1455" i="1"/>
  <c r="P1455" i="1"/>
  <c r="N1455" i="1"/>
  <c r="O1455" i="1" s="1"/>
  <c r="S1455" i="1" s="1"/>
  <c r="M1455" i="1"/>
  <c r="V1454" i="1"/>
  <c r="R1454" i="1"/>
  <c r="P1454" i="1"/>
  <c r="O1454" i="1"/>
  <c r="S1454" i="1" s="1"/>
  <c r="M1454" i="1"/>
  <c r="N1454" i="1" s="1"/>
  <c r="V1453" i="1"/>
  <c r="R1453" i="1"/>
  <c r="P1453" i="1"/>
  <c r="S1453" i="1" s="1"/>
  <c r="N1453" i="1"/>
  <c r="O1453" i="1" s="1"/>
  <c r="M1453" i="1"/>
  <c r="V1452" i="1"/>
  <c r="P1452" i="1"/>
  <c r="M1452" i="1"/>
  <c r="N1452" i="1" s="1"/>
  <c r="O1452" i="1" s="1"/>
  <c r="V1451" i="1"/>
  <c r="P1451" i="1"/>
  <c r="O1451" i="1"/>
  <c r="S1451" i="1" s="1"/>
  <c r="N1451" i="1"/>
  <c r="M1451" i="1"/>
  <c r="V1450" i="1"/>
  <c r="R1450" i="1"/>
  <c r="P1450" i="1"/>
  <c r="M1450" i="1"/>
  <c r="N1450" i="1" s="1"/>
  <c r="O1450" i="1" s="1"/>
  <c r="S1450" i="1" s="1"/>
  <c r="V1449" i="1"/>
  <c r="S1449" i="1"/>
  <c r="P1449" i="1"/>
  <c r="N1449" i="1"/>
  <c r="O1449" i="1" s="1"/>
  <c r="M1449" i="1"/>
  <c r="V1448" i="1"/>
  <c r="R1448" i="1"/>
  <c r="P1448" i="1"/>
  <c r="M1448" i="1"/>
  <c r="N1448" i="1" s="1"/>
  <c r="O1448" i="1" s="1"/>
  <c r="S1448" i="1" s="1"/>
  <c r="V1447" i="1"/>
  <c r="S1447" i="1"/>
  <c r="P1447" i="1"/>
  <c r="N1447" i="1"/>
  <c r="O1447" i="1" s="1"/>
  <c r="M1447" i="1"/>
  <c r="V1446" i="1"/>
  <c r="R1446" i="1"/>
  <c r="P1446" i="1"/>
  <c r="O1446" i="1"/>
  <c r="S1446" i="1" s="1"/>
  <c r="M1446" i="1"/>
  <c r="N1446" i="1" s="1"/>
  <c r="V1445" i="1"/>
  <c r="R1445" i="1"/>
  <c r="P1445" i="1"/>
  <c r="N1445" i="1"/>
  <c r="O1445" i="1" s="1"/>
  <c r="M1445" i="1"/>
  <c r="V1444" i="1"/>
  <c r="P1444" i="1"/>
  <c r="M1444" i="1"/>
  <c r="N1444" i="1" s="1"/>
  <c r="O1444" i="1" s="1"/>
  <c r="V1443" i="1"/>
  <c r="P1443" i="1"/>
  <c r="O1443" i="1"/>
  <c r="S1443" i="1" s="1"/>
  <c r="N1443" i="1"/>
  <c r="M1443" i="1"/>
  <c r="V1442" i="1"/>
  <c r="R1442" i="1"/>
  <c r="P1442" i="1"/>
  <c r="M1442" i="1"/>
  <c r="N1442" i="1" s="1"/>
  <c r="O1442" i="1" s="1"/>
  <c r="S1442" i="1" s="1"/>
  <c r="V1441" i="1"/>
  <c r="P1441" i="1"/>
  <c r="N1441" i="1"/>
  <c r="O1441" i="1" s="1"/>
  <c r="S1441" i="1" s="1"/>
  <c r="M1441" i="1"/>
  <c r="V1440" i="1"/>
  <c r="R1440" i="1"/>
  <c r="P1440" i="1"/>
  <c r="M1440" i="1"/>
  <c r="N1440" i="1" s="1"/>
  <c r="O1440" i="1" s="1"/>
  <c r="S1440" i="1" s="1"/>
  <c r="V1439" i="1"/>
  <c r="P1439" i="1"/>
  <c r="N1439" i="1"/>
  <c r="O1439" i="1" s="1"/>
  <c r="S1439" i="1" s="1"/>
  <c r="M1439" i="1"/>
  <c r="V1438" i="1"/>
  <c r="R1438" i="1"/>
  <c r="P1438" i="1"/>
  <c r="O1438" i="1"/>
  <c r="S1438" i="1" s="1"/>
  <c r="M1438" i="1"/>
  <c r="N1438" i="1" s="1"/>
  <c r="V1437" i="1"/>
  <c r="R1437" i="1"/>
  <c r="P1437" i="1"/>
  <c r="S1437" i="1" s="1"/>
  <c r="N1437" i="1"/>
  <c r="O1437" i="1" s="1"/>
  <c r="M1437" i="1"/>
  <c r="V1436" i="1"/>
  <c r="P1436" i="1"/>
  <c r="M1436" i="1"/>
  <c r="N1436" i="1" s="1"/>
  <c r="O1436" i="1" s="1"/>
  <c r="V1435" i="1"/>
  <c r="P1435" i="1"/>
  <c r="O1435" i="1"/>
  <c r="S1435" i="1" s="1"/>
  <c r="N1435" i="1"/>
  <c r="M1435" i="1"/>
  <c r="V1434" i="1"/>
  <c r="R1434" i="1"/>
  <c r="P1434" i="1"/>
  <c r="M1434" i="1"/>
  <c r="N1434" i="1" s="1"/>
  <c r="O1434" i="1" s="1"/>
  <c r="S1434" i="1" s="1"/>
  <c r="V1433" i="1"/>
  <c r="S1433" i="1"/>
  <c r="P1433" i="1"/>
  <c r="N1433" i="1"/>
  <c r="O1433" i="1" s="1"/>
  <c r="M1433" i="1"/>
  <c r="V1432" i="1"/>
  <c r="R1432" i="1"/>
  <c r="P1432" i="1"/>
  <c r="O1432" i="1"/>
  <c r="S1432" i="1" s="1"/>
  <c r="M1432" i="1"/>
  <c r="N1432" i="1" s="1"/>
  <c r="V1431" i="1"/>
  <c r="R1431" i="1"/>
  <c r="P1431" i="1"/>
  <c r="N1431" i="1"/>
  <c r="O1431" i="1" s="1"/>
  <c r="S1431" i="1" s="1"/>
  <c r="M1431" i="1"/>
  <c r="V1430" i="1"/>
  <c r="R1430" i="1"/>
  <c r="P1430" i="1"/>
  <c r="S1430" i="1" s="1"/>
  <c r="O1430" i="1"/>
  <c r="M1430" i="1"/>
  <c r="N1430" i="1" s="1"/>
  <c r="V1429" i="1"/>
  <c r="R1429" i="1"/>
  <c r="P1429" i="1"/>
  <c r="O1429" i="1"/>
  <c r="S1429" i="1" s="1"/>
  <c r="N1429" i="1"/>
  <c r="M1429" i="1"/>
  <c r="V1428" i="1"/>
  <c r="R1428" i="1"/>
  <c r="P1428" i="1"/>
  <c r="M1428" i="1"/>
  <c r="N1428" i="1" s="1"/>
  <c r="O1428" i="1" s="1"/>
  <c r="V1427" i="1"/>
  <c r="P1427" i="1"/>
  <c r="M1427" i="1"/>
  <c r="N1427" i="1" s="1"/>
  <c r="O1427" i="1" s="1"/>
  <c r="S1427" i="1" s="1"/>
  <c r="V1426" i="1"/>
  <c r="R1426" i="1"/>
  <c r="P1426" i="1"/>
  <c r="M1426" i="1"/>
  <c r="N1426" i="1" s="1"/>
  <c r="O1426" i="1" s="1"/>
  <c r="S1426" i="1" s="1"/>
  <c r="V1425" i="1"/>
  <c r="P1425" i="1"/>
  <c r="N1425" i="1"/>
  <c r="O1425" i="1" s="1"/>
  <c r="S1425" i="1" s="1"/>
  <c r="M1425" i="1"/>
  <c r="V1424" i="1"/>
  <c r="R1424" i="1"/>
  <c r="P1424" i="1"/>
  <c r="O1424" i="1"/>
  <c r="M1424" i="1"/>
  <c r="N1424" i="1" s="1"/>
  <c r="V1423" i="1"/>
  <c r="R1423" i="1"/>
  <c r="P1423" i="1"/>
  <c r="O1423" i="1"/>
  <c r="N1423" i="1"/>
  <c r="M1423" i="1"/>
  <c r="V1422" i="1"/>
  <c r="P1422" i="1"/>
  <c r="N1422" i="1"/>
  <c r="O1422" i="1" s="1"/>
  <c r="S1422" i="1" s="1"/>
  <c r="M1422" i="1"/>
  <c r="V1421" i="1"/>
  <c r="R1421" i="1"/>
  <c r="P1421" i="1"/>
  <c r="S1421" i="1" s="1"/>
  <c r="M1421" i="1"/>
  <c r="N1421" i="1" s="1"/>
  <c r="O1421" i="1" s="1"/>
  <c r="V1420" i="1"/>
  <c r="R1420" i="1"/>
  <c r="P1420" i="1"/>
  <c r="O1420" i="1"/>
  <c r="M1420" i="1"/>
  <c r="N1420" i="1" s="1"/>
  <c r="V1419" i="1"/>
  <c r="P1419" i="1"/>
  <c r="O1419" i="1"/>
  <c r="S1419" i="1" s="1"/>
  <c r="M1419" i="1"/>
  <c r="N1419" i="1" s="1"/>
  <c r="V1418" i="1"/>
  <c r="R1418" i="1"/>
  <c r="P1418" i="1"/>
  <c r="N1418" i="1"/>
  <c r="O1418" i="1" s="1"/>
  <c r="S1418" i="1" s="1"/>
  <c r="M1418" i="1"/>
  <c r="V1417" i="1"/>
  <c r="R1417" i="1"/>
  <c r="P1417" i="1"/>
  <c r="N1417" i="1"/>
  <c r="O1417" i="1" s="1"/>
  <c r="M1417" i="1"/>
  <c r="V1416" i="1"/>
  <c r="R1416" i="1"/>
  <c r="P1416" i="1"/>
  <c r="S1416" i="1" s="1"/>
  <c r="O1416" i="1"/>
  <c r="M1416" i="1"/>
  <c r="N1416" i="1" s="1"/>
  <c r="V1415" i="1"/>
  <c r="R1415" i="1"/>
  <c r="P1415" i="1"/>
  <c r="O1415" i="1"/>
  <c r="S1415" i="1" s="1"/>
  <c r="N1415" i="1"/>
  <c r="M1415" i="1"/>
  <c r="V1414" i="1"/>
  <c r="P1414" i="1"/>
  <c r="N1414" i="1"/>
  <c r="O1414" i="1" s="1"/>
  <c r="S1414" i="1" s="1"/>
  <c r="M1414" i="1"/>
  <c r="V1413" i="1"/>
  <c r="R1413" i="1"/>
  <c r="P1413" i="1"/>
  <c r="M1413" i="1"/>
  <c r="N1413" i="1" s="1"/>
  <c r="O1413" i="1" s="1"/>
  <c r="V1412" i="1"/>
  <c r="R1412" i="1"/>
  <c r="P1412" i="1"/>
  <c r="M1412" i="1"/>
  <c r="N1412" i="1" s="1"/>
  <c r="O1412" i="1" s="1"/>
  <c r="V1411" i="1"/>
  <c r="P1411" i="1"/>
  <c r="R1411" i="1" s="1"/>
  <c r="N1411" i="1"/>
  <c r="O1411" i="1" s="1"/>
  <c r="S1411" i="1" s="1"/>
  <c r="M1411" i="1"/>
  <c r="V1410" i="1"/>
  <c r="P1410" i="1"/>
  <c r="R1410" i="1" s="1"/>
  <c r="M1410" i="1"/>
  <c r="N1410" i="1" s="1"/>
  <c r="O1410" i="1" s="1"/>
  <c r="Q1410" i="1" s="1"/>
  <c r="V1409" i="1"/>
  <c r="P1409" i="1"/>
  <c r="N1409" i="1"/>
  <c r="O1409" i="1" s="1"/>
  <c r="S1409" i="1" s="1"/>
  <c r="M1409" i="1"/>
  <c r="V1408" i="1"/>
  <c r="P1408" i="1"/>
  <c r="R1408" i="1" s="1"/>
  <c r="M1408" i="1"/>
  <c r="N1408" i="1" s="1"/>
  <c r="O1408" i="1" s="1"/>
  <c r="V1407" i="1"/>
  <c r="S1407" i="1"/>
  <c r="P1407" i="1"/>
  <c r="N1407" i="1"/>
  <c r="O1407" i="1" s="1"/>
  <c r="M1407" i="1"/>
  <c r="V1406" i="1"/>
  <c r="P1406" i="1"/>
  <c r="R1406" i="1" s="1"/>
  <c r="M1406" i="1"/>
  <c r="N1406" i="1" s="1"/>
  <c r="O1406" i="1" s="1"/>
  <c r="Q1406" i="1" s="1"/>
  <c r="V1405" i="1"/>
  <c r="P1405" i="1"/>
  <c r="N1405" i="1"/>
  <c r="O1405" i="1" s="1"/>
  <c r="M1405" i="1"/>
  <c r="V1404" i="1"/>
  <c r="P1404" i="1"/>
  <c r="R1404" i="1" s="1"/>
  <c r="M1404" i="1"/>
  <c r="N1404" i="1" s="1"/>
  <c r="O1404" i="1" s="1"/>
  <c r="Q1404" i="1" s="1"/>
  <c r="V1403" i="1"/>
  <c r="P1403" i="1"/>
  <c r="R1403" i="1" s="1"/>
  <c r="N1403" i="1"/>
  <c r="O1403" i="1" s="1"/>
  <c r="S1403" i="1" s="1"/>
  <c r="M1403" i="1"/>
  <c r="V1402" i="1"/>
  <c r="Q1402" i="1"/>
  <c r="P1402" i="1"/>
  <c r="R1402" i="1" s="1"/>
  <c r="M1402" i="1"/>
  <c r="N1402" i="1" s="1"/>
  <c r="O1402" i="1" s="1"/>
  <c r="S1402" i="1" s="1"/>
  <c r="V1401" i="1"/>
  <c r="P1401" i="1"/>
  <c r="N1401" i="1"/>
  <c r="O1401" i="1" s="1"/>
  <c r="M1401" i="1"/>
  <c r="V1400" i="1"/>
  <c r="Q1400" i="1"/>
  <c r="P1400" i="1"/>
  <c r="R1400" i="1" s="1"/>
  <c r="M1400" i="1"/>
  <c r="N1400" i="1" s="1"/>
  <c r="O1400" i="1" s="1"/>
  <c r="S1400" i="1" s="1"/>
  <c r="V1399" i="1"/>
  <c r="P1399" i="1"/>
  <c r="N1399" i="1"/>
  <c r="O1399" i="1" s="1"/>
  <c r="M1399" i="1"/>
  <c r="V1398" i="1"/>
  <c r="P1398" i="1"/>
  <c r="R1398" i="1" s="1"/>
  <c r="O1398" i="1"/>
  <c r="Q1398" i="1" s="1"/>
  <c r="M1398" i="1"/>
  <c r="N1398" i="1" s="1"/>
  <c r="V1397" i="1"/>
  <c r="P1397" i="1"/>
  <c r="N1397" i="1"/>
  <c r="O1397" i="1" s="1"/>
  <c r="M1397" i="1"/>
  <c r="V1396" i="1"/>
  <c r="R1396" i="1"/>
  <c r="P1396" i="1"/>
  <c r="N1396" i="1"/>
  <c r="O1396" i="1" s="1"/>
  <c r="M1396" i="1"/>
  <c r="V1395" i="1"/>
  <c r="R1395" i="1"/>
  <c r="P1395" i="1"/>
  <c r="N1395" i="1"/>
  <c r="O1395" i="1" s="1"/>
  <c r="M1395" i="1"/>
  <c r="V1394" i="1"/>
  <c r="R1394" i="1"/>
  <c r="P1394" i="1"/>
  <c r="N1394" i="1"/>
  <c r="O1394" i="1" s="1"/>
  <c r="M1394" i="1"/>
  <c r="V1393" i="1"/>
  <c r="R1393" i="1"/>
  <c r="P1393" i="1"/>
  <c r="N1393" i="1"/>
  <c r="O1393" i="1" s="1"/>
  <c r="M1393" i="1"/>
  <c r="V1392" i="1"/>
  <c r="R1392" i="1"/>
  <c r="P1392" i="1"/>
  <c r="N1392" i="1"/>
  <c r="O1392" i="1" s="1"/>
  <c r="M1392" i="1"/>
  <c r="V1391" i="1"/>
  <c r="P1391" i="1"/>
  <c r="N1391" i="1"/>
  <c r="O1391" i="1" s="1"/>
  <c r="M1391" i="1"/>
  <c r="V1390" i="1"/>
  <c r="P1390" i="1"/>
  <c r="N1390" i="1"/>
  <c r="O1390" i="1" s="1"/>
  <c r="M1390" i="1"/>
  <c r="V1389" i="1"/>
  <c r="P1389" i="1"/>
  <c r="N1389" i="1"/>
  <c r="O1389" i="1" s="1"/>
  <c r="M1389" i="1"/>
  <c r="V1388" i="1"/>
  <c r="R1388" i="1"/>
  <c r="P1388" i="1"/>
  <c r="N1388" i="1"/>
  <c r="O1388" i="1" s="1"/>
  <c r="M1388" i="1"/>
  <c r="V1387" i="1"/>
  <c r="R1387" i="1"/>
  <c r="P1387" i="1"/>
  <c r="N1387" i="1"/>
  <c r="O1387" i="1" s="1"/>
  <c r="M1387" i="1"/>
  <c r="V1386" i="1"/>
  <c r="R1386" i="1"/>
  <c r="P1386" i="1"/>
  <c r="N1386" i="1"/>
  <c r="O1386" i="1" s="1"/>
  <c r="M1386" i="1"/>
  <c r="V1385" i="1"/>
  <c r="R1385" i="1"/>
  <c r="P1385" i="1"/>
  <c r="N1385" i="1"/>
  <c r="O1385" i="1" s="1"/>
  <c r="M1385" i="1"/>
  <c r="V1384" i="1"/>
  <c r="R1384" i="1"/>
  <c r="P1384" i="1"/>
  <c r="N1384" i="1"/>
  <c r="O1384" i="1" s="1"/>
  <c r="M1384" i="1"/>
  <c r="V1383" i="1"/>
  <c r="P1383" i="1"/>
  <c r="N1383" i="1"/>
  <c r="O1383" i="1" s="1"/>
  <c r="M1383" i="1"/>
  <c r="V1382" i="1"/>
  <c r="P1382" i="1"/>
  <c r="N1382" i="1"/>
  <c r="O1382" i="1" s="1"/>
  <c r="M1382" i="1"/>
  <c r="V1381" i="1"/>
  <c r="P1381" i="1"/>
  <c r="N1381" i="1"/>
  <c r="O1381" i="1" s="1"/>
  <c r="M1381" i="1"/>
  <c r="V1380" i="1"/>
  <c r="R1380" i="1"/>
  <c r="P1380" i="1"/>
  <c r="N1380" i="1"/>
  <c r="O1380" i="1" s="1"/>
  <c r="M1380" i="1"/>
  <c r="V1379" i="1"/>
  <c r="R1379" i="1"/>
  <c r="P1379" i="1"/>
  <c r="N1379" i="1"/>
  <c r="O1379" i="1" s="1"/>
  <c r="M1379" i="1"/>
  <c r="V1378" i="1"/>
  <c r="R1378" i="1"/>
  <c r="P1378" i="1"/>
  <c r="N1378" i="1"/>
  <c r="O1378" i="1" s="1"/>
  <c r="M1378" i="1"/>
  <c r="V1377" i="1"/>
  <c r="R1377" i="1"/>
  <c r="P1377" i="1"/>
  <c r="N1377" i="1"/>
  <c r="O1377" i="1" s="1"/>
  <c r="M1377" i="1"/>
  <c r="V1376" i="1"/>
  <c r="R1376" i="1"/>
  <c r="P1376" i="1"/>
  <c r="N1376" i="1"/>
  <c r="O1376" i="1" s="1"/>
  <c r="M1376" i="1"/>
  <c r="V1375" i="1"/>
  <c r="P1375" i="1"/>
  <c r="N1375" i="1"/>
  <c r="O1375" i="1" s="1"/>
  <c r="M1375" i="1"/>
  <c r="V1374" i="1"/>
  <c r="P1374" i="1"/>
  <c r="N1374" i="1"/>
  <c r="O1374" i="1" s="1"/>
  <c r="M1374" i="1"/>
  <c r="V1373" i="1"/>
  <c r="P1373" i="1"/>
  <c r="N1373" i="1"/>
  <c r="O1373" i="1" s="1"/>
  <c r="M1373" i="1"/>
  <c r="V1372" i="1"/>
  <c r="R1372" i="1"/>
  <c r="P1372" i="1"/>
  <c r="N1372" i="1"/>
  <c r="O1372" i="1" s="1"/>
  <c r="M1372" i="1"/>
  <c r="V1371" i="1"/>
  <c r="R1371" i="1"/>
  <c r="P1371" i="1"/>
  <c r="N1371" i="1"/>
  <c r="O1371" i="1" s="1"/>
  <c r="M1371" i="1"/>
  <c r="V1370" i="1"/>
  <c r="R1370" i="1"/>
  <c r="P1370" i="1"/>
  <c r="N1370" i="1"/>
  <c r="O1370" i="1" s="1"/>
  <c r="M1370" i="1"/>
  <c r="V1369" i="1"/>
  <c r="R1369" i="1"/>
  <c r="P1369" i="1"/>
  <c r="M1369" i="1"/>
  <c r="N1369" i="1" s="1"/>
  <c r="O1369" i="1" s="1"/>
  <c r="V1368" i="1"/>
  <c r="R1368" i="1"/>
  <c r="P1368" i="1"/>
  <c r="M1368" i="1"/>
  <c r="N1368" i="1" s="1"/>
  <c r="O1368" i="1" s="1"/>
  <c r="V1367" i="1"/>
  <c r="P1367" i="1"/>
  <c r="M1367" i="1"/>
  <c r="N1367" i="1" s="1"/>
  <c r="O1367" i="1" s="1"/>
  <c r="V1366" i="1"/>
  <c r="P1366" i="1"/>
  <c r="N1366" i="1"/>
  <c r="O1366" i="1" s="1"/>
  <c r="M1366" i="1"/>
  <c r="V1365" i="1"/>
  <c r="P1365" i="1"/>
  <c r="N1365" i="1"/>
  <c r="O1365" i="1" s="1"/>
  <c r="M1365" i="1"/>
  <c r="V1364" i="1"/>
  <c r="R1364" i="1"/>
  <c r="P1364" i="1"/>
  <c r="N1364" i="1"/>
  <c r="O1364" i="1" s="1"/>
  <c r="M1364" i="1"/>
  <c r="V1363" i="1"/>
  <c r="R1363" i="1"/>
  <c r="P1363" i="1"/>
  <c r="M1363" i="1"/>
  <c r="N1363" i="1" s="1"/>
  <c r="O1363" i="1" s="1"/>
  <c r="V1362" i="1"/>
  <c r="R1362" i="1"/>
  <c r="P1362" i="1"/>
  <c r="N1362" i="1"/>
  <c r="O1362" i="1" s="1"/>
  <c r="M1362" i="1"/>
  <c r="V1361" i="1"/>
  <c r="P1361" i="1"/>
  <c r="M1361" i="1"/>
  <c r="N1361" i="1" s="1"/>
  <c r="O1361" i="1" s="1"/>
  <c r="V1360" i="1"/>
  <c r="R1360" i="1"/>
  <c r="P1360" i="1"/>
  <c r="M1360" i="1"/>
  <c r="N1360" i="1" s="1"/>
  <c r="O1360" i="1" s="1"/>
  <c r="V1359" i="1"/>
  <c r="P1359" i="1"/>
  <c r="M1359" i="1"/>
  <c r="N1359" i="1" s="1"/>
  <c r="O1359" i="1" s="1"/>
  <c r="V1358" i="1"/>
  <c r="P1358" i="1"/>
  <c r="N1358" i="1"/>
  <c r="O1358" i="1" s="1"/>
  <c r="M1358" i="1"/>
  <c r="V1357" i="1"/>
  <c r="P1357" i="1"/>
  <c r="N1357" i="1"/>
  <c r="O1357" i="1" s="1"/>
  <c r="M1357" i="1"/>
  <c r="V1356" i="1"/>
  <c r="R1356" i="1"/>
  <c r="P1356" i="1"/>
  <c r="N1356" i="1"/>
  <c r="O1356" i="1" s="1"/>
  <c r="M1356" i="1"/>
  <c r="V1355" i="1"/>
  <c r="R1355" i="1"/>
  <c r="P1355" i="1"/>
  <c r="M1355" i="1"/>
  <c r="N1355" i="1" s="1"/>
  <c r="O1355" i="1" s="1"/>
  <c r="V1354" i="1"/>
  <c r="R1354" i="1"/>
  <c r="P1354" i="1"/>
  <c r="N1354" i="1"/>
  <c r="O1354" i="1" s="1"/>
  <c r="M1354" i="1"/>
  <c r="V1353" i="1"/>
  <c r="P1353" i="1"/>
  <c r="M1353" i="1"/>
  <c r="N1353" i="1" s="1"/>
  <c r="O1353" i="1" s="1"/>
  <c r="V1352" i="1"/>
  <c r="R1352" i="1"/>
  <c r="P1352" i="1"/>
  <c r="M1352" i="1"/>
  <c r="N1352" i="1" s="1"/>
  <c r="O1352" i="1" s="1"/>
  <c r="V1351" i="1"/>
  <c r="P1351" i="1"/>
  <c r="M1351" i="1"/>
  <c r="N1351" i="1" s="1"/>
  <c r="O1351" i="1" s="1"/>
  <c r="V1350" i="1"/>
  <c r="P1350" i="1"/>
  <c r="N1350" i="1"/>
  <c r="O1350" i="1" s="1"/>
  <c r="M1350" i="1"/>
  <c r="V1349" i="1"/>
  <c r="P1349" i="1"/>
  <c r="N1349" i="1"/>
  <c r="O1349" i="1" s="1"/>
  <c r="M1349" i="1"/>
  <c r="V1348" i="1"/>
  <c r="R1348" i="1"/>
  <c r="P1348" i="1"/>
  <c r="N1348" i="1"/>
  <c r="O1348" i="1" s="1"/>
  <c r="M1348" i="1"/>
  <c r="V1347" i="1"/>
  <c r="R1347" i="1"/>
  <c r="P1347" i="1"/>
  <c r="M1347" i="1"/>
  <c r="N1347" i="1" s="1"/>
  <c r="O1347" i="1" s="1"/>
  <c r="V1346" i="1"/>
  <c r="R1346" i="1"/>
  <c r="P1346" i="1"/>
  <c r="N1346" i="1"/>
  <c r="O1346" i="1" s="1"/>
  <c r="M1346" i="1"/>
  <c r="V1345" i="1"/>
  <c r="P1345" i="1"/>
  <c r="M1345" i="1"/>
  <c r="N1345" i="1" s="1"/>
  <c r="O1345" i="1" s="1"/>
  <c r="V1344" i="1"/>
  <c r="R1344" i="1"/>
  <c r="P1344" i="1"/>
  <c r="M1344" i="1"/>
  <c r="N1344" i="1" s="1"/>
  <c r="O1344" i="1" s="1"/>
  <c r="V1343" i="1"/>
  <c r="P1343" i="1"/>
  <c r="M1343" i="1"/>
  <c r="N1343" i="1" s="1"/>
  <c r="O1343" i="1" s="1"/>
  <c r="V1342" i="1"/>
  <c r="P1342" i="1"/>
  <c r="N1342" i="1"/>
  <c r="O1342" i="1" s="1"/>
  <c r="M1342" i="1"/>
  <c r="V1341" i="1"/>
  <c r="P1341" i="1"/>
  <c r="N1341" i="1"/>
  <c r="O1341" i="1" s="1"/>
  <c r="M1341" i="1"/>
  <c r="V1340" i="1"/>
  <c r="R1340" i="1"/>
  <c r="P1340" i="1"/>
  <c r="N1340" i="1"/>
  <c r="O1340" i="1" s="1"/>
  <c r="M1340" i="1"/>
  <c r="V1339" i="1"/>
  <c r="R1339" i="1"/>
  <c r="P1339" i="1"/>
  <c r="M1339" i="1"/>
  <c r="N1339" i="1" s="1"/>
  <c r="O1339" i="1" s="1"/>
  <c r="V1338" i="1"/>
  <c r="R1338" i="1"/>
  <c r="P1338" i="1"/>
  <c r="N1338" i="1"/>
  <c r="O1338" i="1" s="1"/>
  <c r="M1338" i="1"/>
  <c r="V1337" i="1"/>
  <c r="P1337" i="1"/>
  <c r="M1337" i="1"/>
  <c r="N1337" i="1" s="1"/>
  <c r="O1337" i="1" s="1"/>
  <c r="V1336" i="1"/>
  <c r="R1336" i="1"/>
  <c r="P1336" i="1"/>
  <c r="M1336" i="1"/>
  <c r="N1336" i="1" s="1"/>
  <c r="O1336" i="1" s="1"/>
  <c r="V1335" i="1"/>
  <c r="P1335" i="1"/>
  <c r="M1335" i="1"/>
  <c r="N1335" i="1" s="1"/>
  <c r="O1335" i="1" s="1"/>
  <c r="V1334" i="1"/>
  <c r="P1334" i="1"/>
  <c r="N1334" i="1"/>
  <c r="O1334" i="1" s="1"/>
  <c r="M1334" i="1"/>
  <c r="V1333" i="1"/>
  <c r="P1333" i="1"/>
  <c r="N1333" i="1"/>
  <c r="O1333" i="1" s="1"/>
  <c r="M1333" i="1"/>
  <c r="V1332" i="1"/>
  <c r="R1332" i="1"/>
  <c r="P1332" i="1"/>
  <c r="N1332" i="1"/>
  <c r="O1332" i="1" s="1"/>
  <c r="M1332" i="1"/>
  <c r="V1331" i="1"/>
  <c r="R1331" i="1"/>
  <c r="P1331" i="1"/>
  <c r="M1331" i="1"/>
  <c r="N1331" i="1" s="1"/>
  <c r="O1331" i="1" s="1"/>
  <c r="V1330" i="1"/>
  <c r="R1330" i="1"/>
  <c r="P1330" i="1"/>
  <c r="N1330" i="1"/>
  <c r="O1330" i="1" s="1"/>
  <c r="M1330" i="1"/>
  <c r="V1329" i="1"/>
  <c r="P1329" i="1"/>
  <c r="M1329" i="1"/>
  <c r="N1329" i="1" s="1"/>
  <c r="O1329" i="1" s="1"/>
  <c r="V1328" i="1"/>
  <c r="R1328" i="1"/>
  <c r="P1328" i="1"/>
  <c r="M1328" i="1"/>
  <c r="N1328" i="1" s="1"/>
  <c r="O1328" i="1" s="1"/>
  <c r="V1327" i="1"/>
  <c r="P1327" i="1"/>
  <c r="M1327" i="1"/>
  <c r="N1327" i="1" s="1"/>
  <c r="O1327" i="1" s="1"/>
  <c r="V1326" i="1"/>
  <c r="P1326" i="1"/>
  <c r="N1326" i="1"/>
  <c r="O1326" i="1" s="1"/>
  <c r="M1326" i="1"/>
  <c r="V1325" i="1"/>
  <c r="P1325" i="1"/>
  <c r="N1325" i="1"/>
  <c r="O1325" i="1" s="1"/>
  <c r="M1325" i="1"/>
  <c r="V1324" i="1"/>
  <c r="R1324" i="1"/>
  <c r="P1324" i="1"/>
  <c r="N1324" i="1"/>
  <c r="O1324" i="1" s="1"/>
  <c r="M1324" i="1"/>
  <c r="V1323" i="1"/>
  <c r="R1323" i="1"/>
  <c r="P1323" i="1"/>
  <c r="M1323" i="1"/>
  <c r="N1323" i="1" s="1"/>
  <c r="O1323" i="1" s="1"/>
  <c r="V1322" i="1"/>
  <c r="R1322" i="1"/>
  <c r="P1322" i="1"/>
  <c r="N1322" i="1"/>
  <c r="O1322" i="1" s="1"/>
  <c r="M1322" i="1"/>
  <c r="V1321" i="1"/>
  <c r="P1321" i="1"/>
  <c r="M1321" i="1"/>
  <c r="N1321" i="1" s="1"/>
  <c r="O1321" i="1" s="1"/>
  <c r="V1320" i="1"/>
  <c r="R1320" i="1"/>
  <c r="P1320" i="1"/>
  <c r="M1320" i="1"/>
  <c r="N1320" i="1" s="1"/>
  <c r="O1320" i="1" s="1"/>
  <c r="V1319" i="1"/>
  <c r="P1319" i="1"/>
  <c r="M1319" i="1"/>
  <c r="N1319" i="1" s="1"/>
  <c r="O1319" i="1" s="1"/>
  <c r="V1318" i="1"/>
  <c r="P1318" i="1"/>
  <c r="N1318" i="1"/>
  <c r="O1318" i="1" s="1"/>
  <c r="M1318" i="1"/>
  <c r="V1317" i="1"/>
  <c r="P1317" i="1"/>
  <c r="N1317" i="1"/>
  <c r="O1317" i="1" s="1"/>
  <c r="M1317" i="1"/>
  <c r="V1316" i="1"/>
  <c r="R1316" i="1"/>
  <c r="P1316" i="1"/>
  <c r="N1316" i="1"/>
  <c r="O1316" i="1" s="1"/>
  <c r="M1316" i="1"/>
  <c r="V1315" i="1"/>
  <c r="R1315" i="1"/>
  <c r="P1315" i="1"/>
  <c r="N1315" i="1"/>
  <c r="O1315" i="1" s="1"/>
  <c r="M1315" i="1"/>
  <c r="V1314" i="1"/>
  <c r="P1314" i="1"/>
  <c r="M1314" i="1"/>
  <c r="N1314" i="1" s="1"/>
  <c r="O1314" i="1" s="1"/>
  <c r="V1313" i="1"/>
  <c r="P1313" i="1"/>
  <c r="N1313" i="1"/>
  <c r="O1313" i="1" s="1"/>
  <c r="M1313" i="1"/>
  <c r="V1312" i="1"/>
  <c r="P1312" i="1"/>
  <c r="N1312" i="1"/>
  <c r="O1312" i="1" s="1"/>
  <c r="M1312" i="1"/>
  <c r="V1311" i="1"/>
  <c r="R1311" i="1"/>
  <c r="P1311" i="1"/>
  <c r="N1311" i="1"/>
  <c r="O1311" i="1" s="1"/>
  <c r="M1311" i="1"/>
  <c r="V1310" i="1"/>
  <c r="P1310" i="1"/>
  <c r="M1310" i="1"/>
  <c r="N1310" i="1" s="1"/>
  <c r="O1310" i="1" s="1"/>
  <c r="V1309" i="1"/>
  <c r="P1309" i="1"/>
  <c r="N1309" i="1"/>
  <c r="O1309" i="1" s="1"/>
  <c r="M1309" i="1"/>
  <c r="V1308" i="1"/>
  <c r="P1308" i="1"/>
  <c r="N1308" i="1"/>
  <c r="O1308" i="1" s="1"/>
  <c r="M1308" i="1"/>
  <c r="V1307" i="1"/>
  <c r="R1307" i="1"/>
  <c r="P1307" i="1"/>
  <c r="N1307" i="1"/>
  <c r="O1307" i="1" s="1"/>
  <c r="M1307" i="1"/>
  <c r="V1306" i="1"/>
  <c r="P1306" i="1"/>
  <c r="M1306" i="1"/>
  <c r="N1306" i="1" s="1"/>
  <c r="O1306" i="1" s="1"/>
  <c r="V1305" i="1"/>
  <c r="P1305" i="1"/>
  <c r="N1305" i="1"/>
  <c r="O1305" i="1" s="1"/>
  <c r="M1305" i="1"/>
  <c r="V1304" i="1"/>
  <c r="P1304" i="1"/>
  <c r="N1304" i="1"/>
  <c r="O1304" i="1" s="1"/>
  <c r="M1304" i="1"/>
  <c r="V1303" i="1"/>
  <c r="R1303" i="1"/>
  <c r="P1303" i="1"/>
  <c r="N1303" i="1"/>
  <c r="O1303" i="1" s="1"/>
  <c r="M1303" i="1"/>
  <c r="V1302" i="1"/>
  <c r="P1302" i="1"/>
  <c r="M1302" i="1"/>
  <c r="N1302" i="1" s="1"/>
  <c r="O1302" i="1" s="1"/>
  <c r="V1301" i="1"/>
  <c r="P1301" i="1"/>
  <c r="N1301" i="1"/>
  <c r="O1301" i="1" s="1"/>
  <c r="M1301" i="1"/>
  <c r="V1300" i="1"/>
  <c r="P1300" i="1"/>
  <c r="N1300" i="1"/>
  <c r="O1300" i="1" s="1"/>
  <c r="M1300" i="1"/>
  <c r="V1299" i="1"/>
  <c r="R1299" i="1"/>
  <c r="P1299" i="1"/>
  <c r="N1299" i="1"/>
  <c r="O1299" i="1" s="1"/>
  <c r="M1299" i="1"/>
  <c r="V1298" i="1"/>
  <c r="P1298" i="1"/>
  <c r="M1298" i="1"/>
  <c r="N1298" i="1" s="1"/>
  <c r="O1298" i="1" s="1"/>
  <c r="V1297" i="1"/>
  <c r="P1297" i="1"/>
  <c r="N1297" i="1"/>
  <c r="O1297" i="1" s="1"/>
  <c r="M1297" i="1"/>
  <c r="V1296" i="1"/>
  <c r="P1296" i="1"/>
  <c r="N1296" i="1"/>
  <c r="O1296" i="1" s="1"/>
  <c r="M1296" i="1"/>
  <c r="V1295" i="1"/>
  <c r="R1295" i="1"/>
  <c r="P1295" i="1"/>
  <c r="N1295" i="1"/>
  <c r="O1295" i="1" s="1"/>
  <c r="M1295" i="1"/>
  <c r="V1294" i="1"/>
  <c r="P1294" i="1"/>
  <c r="M1294" i="1"/>
  <c r="N1294" i="1" s="1"/>
  <c r="O1294" i="1" s="1"/>
  <c r="V1293" i="1"/>
  <c r="P1293" i="1"/>
  <c r="N1293" i="1"/>
  <c r="O1293" i="1" s="1"/>
  <c r="M1293" i="1"/>
  <c r="V1292" i="1"/>
  <c r="P1292" i="1"/>
  <c r="N1292" i="1"/>
  <c r="O1292" i="1" s="1"/>
  <c r="M1292" i="1"/>
  <c r="V1291" i="1"/>
  <c r="R1291" i="1"/>
  <c r="P1291" i="1"/>
  <c r="N1291" i="1"/>
  <c r="O1291" i="1" s="1"/>
  <c r="M1291" i="1"/>
  <c r="V1290" i="1"/>
  <c r="P1290" i="1"/>
  <c r="M1290" i="1"/>
  <c r="N1290" i="1" s="1"/>
  <c r="O1290" i="1" s="1"/>
  <c r="V1289" i="1"/>
  <c r="P1289" i="1"/>
  <c r="N1289" i="1"/>
  <c r="O1289" i="1" s="1"/>
  <c r="M1289" i="1"/>
  <c r="V1288" i="1"/>
  <c r="P1288" i="1"/>
  <c r="N1288" i="1"/>
  <c r="O1288" i="1" s="1"/>
  <c r="M1288" i="1"/>
  <c r="V1287" i="1"/>
  <c r="R1287" i="1"/>
  <c r="P1287" i="1"/>
  <c r="N1287" i="1"/>
  <c r="O1287" i="1" s="1"/>
  <c r="M1287" i="1"/>
  <c r="V1286" i="1"/>
  <c r="P1286" i="1"/>
  <c r="M1286" i="1"/>
  <c r="N1286" i="1" s="1"/>
  <c r="O1286" i="1" s="1"/>
  <c r="V1285" i="1"/>
  <c r="P1285" i="1"/>
  <c r="N1285" i="1"/>
  <c r="O1285" i="1" s="1"/>
  <c r="M1285" i="1"/>
  <c r="V1284" i="1"/>
  <c r="P1284" i="1"/>
  <c r="N1284" i="1"/>
  <c r="O1284" i="1" s="1"/>
  <c r="M1284" i="1"/>
  <c r="V1283" i="1"/>
  <c r="R1283" i="1"/>
  <c r="P1283" i="1"/>
  <c r="N1283" i="1"/>
  <c r="O1283" i="1" s="1"/>
  <c r="M1283" i="1"/>
  <c r="V1282" i="1"/>
  <c r="P1282" i="1"/>
  <c r="M1282" i="1"/>
  <c r="N1282" i="1" s="1"/>
  <c r="O1282" i="1" s="1"/>
  <c r="V1281" i="1"/>
  <c r="P1281" i="1"/>
  <c r="N1281" i="1"/>
  <c r="O1281" i="1" s="1"/>
  <c r="M1281" i="1"/>
  <c r="V1280" i="1"/>
  <c r="P1280" i="1"/>
  <c r="N1280" i="1"/>
  <c r="O1280" i="1" s="1"/>
  <c r="M1280" i="1"/>
  <c r="V1279" i="1"/>
  <c r="R1279" i="1"/>
  <c r="P1279" i="1"/>
  <c r="N1279" i="1"/>
  <c r="O1279" i="1" s="1"/>
  <c r="M1279" i="1"/>
  <c r="V1278" i="1"/>
  <c r="P1278" i="1"/>
  <c r="M1278" i="1"/>
  <c r="N1278" i="1" s="1"/>
  <c r="O1278" i="1" s="1"/>
  <c r="V1277" i="1"/>
  <c r="P1277" i="1"/>
  <c r="N1277" i="1"/>
  <c r="O1277" i="1" s="1"/>
  <c r="M1277" i="1"/>
  <c r="V1276" i="1"/>
  <c r="P1276" i="1"/>
  <c r="N1276" i="1"/>
  <c r="O1276" i="1" s="1"/>
  <c r="M1276" i="1"/>
  <c r="V1275" i="1"/>
  <c r="R1275" i="1"/>
  <c r="P1275" i="1"/>
  <c r="N1275" i="1"/>
  <c r="O1275" i="1" s="1"/>
  <c r="M1275" i="1"/>
  <c r="V1274" i="1"/>
  <c r="P1274" i="1"/>
  <c r="M1274" i="1"/>
  <c r="N1274" i="1" s="1"/>
  <c r="O1274" i="1" s="1"/>
  <c r="V1273" i="1"/>
  <c r="P1273" i="1"/>
  <c r="N1273" i="1"/>
  <c r="O1273" i="1" s="1"/>
  <c r="M1273" i="1"/>
  <c r="V1272" i="1"/>
  <c r="P1272" i="1"/>
  <c r="N1272" i="1"/>
  <c r="O1272" i="1" s="1"/>
  <c r="M1272" i="1"/>
  <c r="V1271" i="1"/>
  <c r="R1271" i="1"/>
  <c r="P1271" i="1"/>
  <c r="N1271" i="1"/>
  <c r="O1271" i="1" s="1"/>
  <c r="M1271" i="1"/>
  <c r="V1270" i="1"/>
  <c r="P1270" i="1"/>
  <c r="M1270" i="1"/>
  <c r="N1270" i="1" s="1"/>
  <c r="O1270" i="1" s="1"/>
  <c r="V1269" i="1"/>
  <c r="P1269" i="1"/>
  <c r="N1269" i="1"/>
  <c r="O1269" i="1" s="1"/>
  <c r="M1269" i="1"/>
  <c r="V1268" i="1"/>
  <c r="P1268" i="1"/>
  <c r="N1268" i="1"/>
  <c r="O1268" i="1" s="1"/>
  <c r="M1268" i="1"/>
  <c r="V1267" i="1"/>
  <c r="R1267" i="1"/>
  <c r="P1267" i="1"/>
  <c r="N1267" i="1"/>
  <c r="O1267" i="1" s="1"/>
  <c r="M1267" i="1"/>
  <c r="V1266" i="1"/>
  <c r="P1266" i="1"/>
  <c r="M1266" i="1"/>
  <c r="N1266" i="1" s="1"/>
  <c r="O1266" i="1" s="1"/>
  <c r="V1265" i="1"/>
  <c r="P1265" i="1"/>
  <c r="N1265" i="1"/>
  <c r="O1265" i="1" s="1"/>
  <c r="M1265" i="1"/>
  <c r="V1264" i="1"/>
  <c r="P1264" i="1"/>
  <c r="N1264" i="1"/>
  <c r="O1264" i="1" s="1"/>
  <c r="M1264" i="1"/>
  <c r="V1263" i="1"/>
  <c r="R1263" i="1"/>
  <c r="P1263" i="1"/>
  <c r="N1263" i="1"/>
  <c r="O1263" i="1" s="1"/>
  <c r="M1263" i="1"/>
  <c r="V1262" i="1"/>
  <c r="P1262" i="1"/>
  <c r="O1262" i="1"/>
  <c r="M1262" i="1"/>
  <c r="N1262" i="1" s="1"/>
  <c r="V1261" i="1"/>
  <c r="P1261" i="1"/>
  <c r="N1261" i="1"/>
  <c r="O1261" i="1" s="1"/>
  <c r="M1261" i="1"/>
  <c r="V1260" i="1"/>
  <c r="P1260" i="1"/>
  <c r="N1260" i="1"/>
  <c r="O1260" i="1" s="1"/>
  <c r="M1260" i="1"/>
  <c r="V1259" i="1"/>
  <c r="R1259" i="1"/>
  <c r="P1259" i="1"/>
  <c r="N1259" i="1"/>
  <c r="O1259" i="1" s="1"/>
  <c r="M1259" i="1"/>
  <c r="V1258" i="1"/>
  <c r="P1258" i="1"/>
  <c r="M1258" i="1"/>
  <c r="N1258" i="1" s="1"/>
  <c r="O1258" i="1" s="1"/>
  <c r="V1257" i="1"/>
  <c r="P1257" i="1"/>
  <c r="M1257" i="1"/>
  <c r="N1257" i="1" s="1"/>
  <c r="O1257" i="1" s="1"/>
  <c r="V1256" i="1"/>
  <c r="R1256" i="1"/>
  <c r="P1256" i="1"/>
  <c r="O1256" i="1"/>
  <c r="S1256" i="1" s="1"/>
  <c r="M1256" i="1"/>
  <c r="N1256" i="1" s="1"/>
  <c r="V1255" i="1"/>
  <c r="P1255" i="1"/>
  <c r="N1255" i="1"/>
  <c r="O1255" i="1" s="1"/>
  <c r="M1255" i="1"/>
  <c r="V1254" i="1"/>
  <c r="P1254" i="1"/>
  <c r="M1254" i="1"/>
  <c r="N1254" i="1" s="1"/>
  <c r="O1254" i="1" s="1"/>
  <c r="S1254" i="1" s="1"/>
  <c r="V1253" i="1"/>
  <c r="R1253" i="1"/>
  <c r="P1253" i="1"/>
  <c r="N1253" i="1"/>
  <c r="O1253" i="1" s="1"/>
  <c r="S1253" i="1" s="1"/>
  <c r="M1253" i="1"/>
  <c r="V1252" i="1"/>
  <c r="R1252" i="1"/>
  <c r="P1252" i="1"/>
  <c r="N1252" i="1"/>
  <c r="O1252" i="1" s="1"/>
  <c r="S1252" i="1" s="1"/>
  <c r="M1252" i="1"/>
  <c r="V1251" i="1"/>
  <c r="R1251" i="1"/>
  <c r="Q1251" i="1"/>
  <c r="P1251" i="1"/>
  <c r="N1251" i="1"/>
  <c r="O1251" i="1" s="1"/>
  <c r="S1251" i="1" s="1"/>
  <c r="M1251" i="1"/>
  <c r="V1250" i="1"/>
  <c r="R1250" i="1"/>
  <c r="P1250" i="1"/>
  <c r="N1250" i="1"/>
  <c r="O1250" i="1" s="1"/>
  <c r="S1250" i="1" s="1"/>
  <c r="M1250" i="1"/>
  <c r="V1249" i="1"/>
  <c r="R1249" i="1"/>
  <c r="P1249" i="1"/>
  <c r="N1249" i="1"/>
  <c r="O1249" i="1" s="1"/>
  <c r="S1249" i="1" s="1"/>
  <c r="M1249" i="1"/>
  <c r="V1248" i="1"/>
  <c r="R1248" i="1"/>
  <c r="P1248" i="1"/>
  <c r="N1248" i="1"/>
  <c r="O1248" i="1" s="1"/>
  <c r="S1248" i="1" s="1"/>
  <c r="M1248" i="1"/>
  <c r="V1247" i="1"/>
  <c r="R1247" i="1"/>
  <c r="Q1247" i="1"/>
  <c r="P1247" i="1"/>
  <c r="N1247" i="1"/>
  <c r="O1247" i="1" s="1"/>
  <c r="S1247" i="1" s="1"/>
  <c r="M1247" i="1"/>
  <c r="V1246" i="1"/>
  <c r="R1246" i="1"/>
  <c r="P1246" i="1"/>
  <c r="N1246" i="1"/>
  <c r="O1246" i="1" s="1"/>
  <c r="S1246" i="1" s="1"/>
  <c r="M1246" i="1"/>
  <c r="V1245" i="1"/>
  <c r="R1245" i="1"/>
  <c r="P1245" i="1"/>
  <c r="N1245" i="1"/>
  <c r="O1245" i="1" s="1"/>
  <c r="S1245" i="1" s="1"/>
  <c r="M1245" i="1"/>
  <c r="V1244" i="1"/>
  <c r="R1244" i="1"/>
  <c r="P1244" i="1"/>
  <c r="N1244" i="1"/>
  <c r="O1244" i="1" s="1"/>
  <c r="S1244" i="1" s="1"/>
  <c r="M1244" i="1"/>
  <c r="V1243" i="1"/>
  <c r="R1243" i="1"/>
  <c r="Q1243" i="1"/>
  <c r="P1243" i="1"/>
  <c r="N1243" i="1"/>
  <c r="O1243" i="1" s="1"/>
  <c r="S1243" i="1" s="1"/>
  <c r="M1243" i="1"/>
  <c r="V1242" i="1"/>
  <c r="R1242" i="1"/>
  <c r="P1242" i="1"/>
  <c r="N1242" i="1"/>
  <c r="O1242" i="1" s="1"/>
  <c r="M1242" i="1"/>
  <c r="V1241" i="1"/>
  <c r="R1241" i="1"/>
  <c r="P1241" i="1"/>
  <c r="N1241" i="1"/>
  <c r="O1241" i="1" s="1"/>
  <c r="S1241" i="1" s="1"/>
  <c r="M1241" i="1"/>
  <c r="V1240" i="1"/>
  <c r="R1240" i="1"/>
  <c r="P1240" i="1"/>
  <c r="N1240" i="1"/>
  <c r="O1240" i="1" s="1"/>
  <c r="M1240" i="1"/>
  <c r="V1239" i="1"/>
  <c r="R1239" i="1"/>
  <c r="P1239" i="1"/>
  <c r="N1239" i="1"/>
  <c r="O1239" i="1" s="1"/>
  <c r="S1239" i="1" s="1"/>
  <c r="M1239" i="1"/>
  <c r="V1238" i="1"/>
  <c r="R1238" i="1"/>
  <c r="Q1238" i="1"/>
  <c r="P1238" i="1"/>
  <c r="M1238" i="1"/>
  <c r="N1238" i="1" s="1"/>
  <c r="O1238" i="1" s="1"/>
  <c r="S1238" i="1" s="1"/>
  <c r="V1237" i="1"/>
  <c r="R1237" i="1"/>
  <c r="P1237" i="1"/>
  <c r="M1237" i="1"/>
  <c r="N1237" i="1" s="1"/>
  <c r="O1237" i="1" s="1"/>
  <c r="V1236" i="1"/>
  <c r="R1236" i="1"/>
  <c r="P1236" i="1"/>
  <c r="N1236" i="1"/>
  <c r="O1236" i="1" s="1"/>
  <c r="M1236" i="1"/>
  <c r="V1235" i="1"/>
  <c r="R1235" i="1"/>
  <c r="P1235" i="1"/>
  <c r="M1235" i="1"/>
  <c r="N1235" i="1" s="1"/>
  <c r="O1235" i="1" s="1"/>
  <c r="V1234" i="1"/>
  <c r="R1234" i="1"/>
  <c r="P1234" i="1"/>
  <c r="N1234" i="1"/>
  <c r="O1234" i="1" s="1"/>
  <c r="Q1234" i="1" s="1"/>
  <c r="M1234" i="1"/>
  <c r="V1233" i="1"/>
  <c r="R1233" i="1"/>
  <c r="P1233" i="1"/>
  <c r="N1233" i="1"/>
  <c r="O1233" i="1" s="1"/>
  <c r="Q1233" i="1" s="1"/>
  <c r="M1233" i="1"/>
  <c r="V1232" i="1"/>
  <c r="R1232" i="1"/>
  <c r="P1232" i="1"/>
  <c r="N1232" i="1"/>
  <c r="O1232" i="1" s="1"/>
  <c r="Q1232" i="1" s="1"/>
  <c r="M1232" i="1"/>
  <c r="V1231" i="1"/>
  <c r="R1231" i="1"/>
  <c r="P1231" i="1"/>
  <c r="N1231" i="1"/>
  <c r="O1231" i="1" s="1"/>
  <c r="Q1231" i="1" s="1"/>
  <c r="M1231" i="1"/>
  <c r="V1230" i="1"/>
  <c r="P1230" i="1"/>
  <c r="M1230" i="1"/>
  <c r="N1230" i="1" s="1"/>
  <c r="O1230" i="1" s="1"/>
  <c r="Q1230" i="1" s="1"/>
  <c r="V1229" i="1"/>
  <c r="P1229" i="1"/>
  <c r="M1229" i="1"/>
  <c r="N1229" i="1" s="1"/>
  <c r="O1229" i="1" s="1"/>
  <c r="V1228" i="1"/>
  <c r="P1228" i="1"/>
  <c r="N1228" i="1"/>
  <c r="O1228" i="1" s="1"/>
  <c r="M1228" i="1"/>
  <c r="V1227" i="1"/>
  <c r="P1227" i="1"/>
  <c r="M1227" i="1"/>
  <c r="N1227" i="1" s="1"/>
  <c r="O1227" i="1" s="1"/>
  <c r="Q1227" i="1" s="1"/>
  <c r="V1226" i="1"/>
  <c r="P1226" i="1"/>
  <c r="M1226" i="1"/>
  <c r="N1226" i="1" s="1"/>
  <c r="O1226" i="1" s="1"/>
  <c r="Q1226" i="1" s="1"/>
  <c r="V1225" i="1"/>
  <c r="P1225" i="1"/>
  <c r="N1225" i="1"/>
  <c r="O1225" i="1" s="1"/>
  <c r="M1225" i="1"/>
  <c r="V1224" i="1"/>
  <c r="R1224" i="1"/>
  <c r="P1224" i="1"/>
  <c r="N1224" i="1"/>
  <c r="O1224" i="1" s="1"/>
  <c r="M1224" i="1"/>
  <c r="V1223" i="1"/>
  <c r="R1223" i="1"/>
  <c r="P1223" i="1"/>
  <c r="M1223" i="1"/>
  <c r="N1223" i="1" s="1"/>
  <c r="O1223" i="1" s="1"/>
  <c r="S1223" i="1" s="1"/>
  <c r="V1222" i="1"/>
  <c r="R1222" i="1"/>
  <c r="P1222" i="1"/>
  <c r="N1222" i="1"/>
  <c r="O1222" i="1" s="1"/>
  <c r="S1222" i="1" s="1"/>
  <c r="M1222" i="1"/>
  <c r="V1221" i="1"/>
  <c r="R1221" i="1"/>
  <c r="P1221" i="1"/>
  <c r="M1221" i="1"/>
  <c r="N1221" i="1" s="1"/>
  <c r="O1221" i="1" s="1"/>
  <c r="S1221" i="1" s="1"/>
  <c r="V1220" i="1"/>
  <c r="R1220" i="1"/>
  <c r="P1220" i="1"/>
  <c r="N1220" i="1"/>
  <c r="O1220" i="1" s="1"/>
  <c r="S1220" i="1" s="1"/>
  <c r="M1220" i="1"/>
  <c r="V1219" i="1"/>
  <c r="R1219" i="1"/>
  <c r="P1219" i="1"/>
  <c r="M1219" i="1"/>
  <c r="N1219" i="1" s="1"/>
  <c r="O1219" i="1" s="1"/>
  <c r="S1219" i="1" s="1"/>
  <c r="V1218" i="1"/>
  <c r="R1218" i="1"/>
  <c r="P1218" i="1"/>
  <c r="Q1218" i="1" s="1"/>
  <c r="N1218" i="1"/>
  <c r="O1218" i="1" s="1"/>
  <c r="S1218" i="1" s="1"/>
  <c r="M1218" i="1"/>
  <c r="V1217" i="1"/>
  <c r="R1217" i="1"/>
  <c r="P1217" i="1"/>
  <c r="M1217" i="1"/>
  <c r="N1217" i="1" s="1"/>
  <c r="O1217" i="1" s="1"/>
  <c r="S1217" i="1" s="1"/>
  <c r="V1216" i="1"/>
  <c r="R1216" i="1"/>
  <c r="P1216" i="1"/>
  <c r="N1216" i="1"/>
  <c r="O1216" i="1" s="1"/>
  <c r="S1216" i="1" s="1"/>
  <c r="M1216" i="1"/>
  <c r="V1215" i="1"/>
  <c r="R1215" i="1"/>
  <c r="P1215" i="1"/>
  <c r="M1215" i="1"/>
  <c r="N1215" i="1" s="1"/>
  <c r="O1215" i="1" s="1"/>
  <c r="S1215" i="1" s="1"/>
  <c r="V1214" i="1"/>
  <c r="R1214" i="1"/>
  <c r="P1214" i="1"/>
  <c r="N1214" i="1"/>
  <c r="O1214" i="1" s="1"/>
  <c r="S1214" i="1" s="1"/>
  <c r="M1214" i="1"/>
  <c r="V1213" i="1"/>
  <c r="R1213" i="1"/>
  <c r="P1213" i="1"/>
  <c r="M1213" i="1"/>
  <c r="N1213" i="1" s="1"/>
  <c r="O1213" i="1" s="1"/>
  <c r="S1213" i="1" s="1"/>
  <c r="V1212" i="1"/>
  <c r="S1212" i="1"/>
  <c r="R1212" i="1"/>
  <c r="P1212" i="1"/>
  <c r="N1212" i="1"/>
  <c r="O1212" i="1" s="1"/>
  <c r="M1212" i="1"/>
  <c r="V1211" i="1"/>
  <c r="R1211" i="1"/>
  <c r="P1211" i="1"/>
  <c r="M1211" i="1"/>
  <c r="N1211" i="1" s="1"/>
  <c r="O1211" i="1" s="1"/>
  <c r="S1211" i="1" s="1"/>
  <c r="V1210" i="1"/>
  <c r="R1210" i="1"/>
  <c r="P1210" i="1"/>
  <c r="N1210" i="1"/>
  <c r="O1210" i="1" s="1"/>
  <c r="S1210" i="1" s="1"/>
  <c r="M1210" i="1"/>
  <c r="V1209" i="1"/>
  <c r="R1209" i="1"/>
  <c r="P1209" i="1"/>
  <c r="M1209" i="1"/>
  <c r="N1209" i="1" s="1"/>
  <c r="O1209" i="1" s="1"/>
  <c r="S1209" i="1" s="1"/>
  <c r="V1208" i="1"/>
  <c r="R1208" i="1"/>
  <c r="P1208" i="1"/>
  <c r="N1208" i="1"/>
  <c r="O1208" i="1" s="1"/>
  <c r="S1208" i="1" s="1"/>
  <c r="M1208" i="1"/>
  <c r="V1207" i="1"/>
  <c r="R1207" i="1"/>
  <c r="P1207" i="1"/>
  <c r="M1207" i="1"/>
  <c r="N1207" i="1" s="1"/>
  <c r="O1207" i="1" s="1"/>
  <c r="S1207" i="1" s="1"/>
  <c r="V1206" i="1"/>
  <c r="R1206" i="1"/>
  <c r="P1206" i="1"/>
  <c r="N1206" i="1"/>
  <c r="O1206" i="1" s="1"/>
  <c r="S1206" i="1" s="1"/>
  <c r="M1206" i="1"/>
  <c r="V1205" i="1"/>
  <c r="R1205" i="1"/>
  <c r="P1205" i="1"/>
  <c r="M1205" i="1"/>
  <c r="N1205" i="1" s="1"/>
  <c r="O1205" i="1" s="1"/>
  <c r="S1205" i="1" s="1"/>
  <c r="V1204" i="1"/>
  <c r="S1204" i="1"/>
  <c r="R1204" i="1"/>
  <c r="P1204" i="1"/>
  <c r="N1204" i="1"/>
  <c r="O1204" i="1" s="1"/>
  <c r="M1204" i="1"/>
  <c r="V1203" i="1"/>
  <c r="R1203" i="1"/>
  <c r="P1203" i="1"/>
  <c r="M1203" i="1"/>
  <c r="N1203" i="1" s="1"/>
  <c r="O1203" i="1" s="1"/>
  <c r="S1203" i="1" s="1"/>
  <c r="V1202" i="1"/>
  <c r="R1202" i="1"/>
  <c r="P1202" i="1"/>
  <c r="N1202" i="1"/>
  <c r="O1202" i="1" s="1"/>
  <c r="S1202" i="1" s="1"/>
  <c r="M1202" i="1"/>
  <c r="V1201" i="1"/>
  <c r="R1201" i="1"/>
  <c r="P1201" i="1"/>
  <c r="O1201" i="1"/>
  <c r="S1201" i="1" s="1"/>
  <c r="M1201" i="1"/>
  <c r="N1201" i="1" s="1"/>
  <c r="V1200" i="1"/>
  <c r="R1200" i="1"/>
  <c r="P1200" i="1"/>
  <c r="N1200" i="1"/>
  <c r="O1200" i="1" s="1"/>
  <c r="S1200" i="1" s="1"/>
  <c r="M1200" i="1"/>
  <c r="V1199" i="1"/>
  <c r="R1199" i="1"/>
  <c r="P1199" i="1"/>
  <c r="M1199" i="1"/>
  <c r="N1199" i="1" s="1"/>
  <c r="O1199" i="1" s="1"/>
  <c r="S1199" i="1" s="1"/>
  <c r="V1198" i="1"/>
  <c r="R1198" i="1"/>
  <c r="P1198" i="1"/>
  <c r="N1198" i="1"/>
  <c r="O1198" i="1" s="1"/>
  <c r="S1198" i="1" s="1"/>
  <c r="M1198" i="1"/>
  <c r="V1197" i="1"/>
  <c r="R1197" i="1"/>
  <c r="P1197" i="1"/>
  <c r="M1197" i="1"/>
  <c r="N1197" i="1" s="1"/>
  <c r="O1197" i="1" s="1"/>
  <c r="S1197" i="1" s="1"/>
  <c r="V1196" i="1"/>
  <c r="R1196" i="1"/>
  <c r="P1196" i="1"/>
  <c r="N1196" i="1"/>
  <c r="O1196" i="1" s="1"/>
  <c r="S1196" i="1" s="1"/>
  <c r="M1196" i="1"/>
  <c r="V1195" i="1"/>
  <c r="R1195" i="1"/>
  <c r="P1195" i="1"/>
  <c r="M1195" i="1"/>
  <c r="N1195" i="1" s="1"/>
  <c r="O1195" i="1" s="1"/>
  <c r="S1195" i="1" s="1"/>
  <c r="V1194" i="1"/>
  <c r="R1194" i="1"/>
  <c r="P1194" i="1"/>
  <c r="N1194" i="1"/>
  <c r="O1194" i="1" s="1"/>
  <c r="S1194" i="1" s="1"/>
  <c r="M1194" i="1"/>
  <c r="V1193" i="1"/>
  <c r="R1193" i="1"/>
  <c r="P1193" i="1"/>
  <c r="M1193" i="1"/>
  <c r="N1193" i="1" s="1"/>
  <c r="O1193" i="1" s="1"/>
  <c r="V1192" i="1"/>
  <c r="P1192" i="1"/>
  <c r="N1192" i="1"/>
  <c r="O1192" i="1" s="1"/>
  <c r="M1192" i="1"/>
  <c r="V1191" i="1"/>
  <c r="R1191" i="1"/>
  <c r="P1191" i="1"/>
  <c r="M1191" i="1"/>
  <c r="N1191" i="1" s="1"/>
  <c r="O1191" i="1" s="1"/>
  <c r="V1190" i="1"/>
  <c r="P1190" i="1"/>
  <c r="N1190" i="1"/>
  <c r="O1190" i="1" s="1"/>
  <c r="M1190" i="1"/>
  <c r="V1189" i="1"/>
  <c r="R1189" i="1"/>
  <c r="P1189" i="1"/>
  <c r="M1189" i="1"/>
  <c r="N1189" i="1" s="1"/>
  <c r="O1189" i="1" s="1"/>
  <c r="V1188" i="1"/>
  <c r="S1188" i="1"/>
  <c r="P1188" i="1"/>
  <c r="N1188" i="1"/>
  <c r="O1188" i="1" s="1"/>
  <c r="M1188" i="1"/>
  <c r="V1187" i="1"/>
  <c r="R1187" i="1"/>
  <c r="P1187" i="1"/>
  <c r="M1187" i="1"/>
  <c r="N1187" i="1" s="1"/>
  <c r="O1187" i="1" s="1"/>
  <c r="S1187" i="1" s="1"/>
  <c r="V1186" i="1"/>
  <c r="P1186" i="1"/>
  <c r="N1186" i="1"/>
  <c r="O1186" i="1" s="1"/>
  <c r="M1186" i="1"/>
  <c r="V1185" i="1"/>
  <c r="R1185" i="1"/>
  <c r="P1185" i="1"/>
  <c r="O1185" i="1"/>
  <c r="M1185" i="1"/>
  <c r="N1185" i="1" s="1"/>
  <c r="V1184" i="1"/>
  <c r="P1184" i="1"/>
  <c r="N1184" i="1"/>
  <c r="O1184" i="1" s="1"/>
  <c r="M1184" i="1"/>
  <c r="V1183" i="1"/>
  <c r="R1183" i="1"/>
  <c r="P1183" i="1"/>
  <c r="M1183" i="1"/>
  <c r="N1183" i="1" s="1"/>
  <c r="O1183" i="1" s="1"/>
  <c r="V1182" i="1"/>
  <c r="P1182" i="1"/>
  <c r="N1182" i="1"/>
  <c r="O1182" i="1" s="1"/>
  <c r="M1182" i="1"/>
  <c r="V1181" i="1"/>
  <c r="R1181" i="1"/>
  <c r="P1181" i="1"/>
  <c r="M1181" i="1"/>
  <c r="N1181" i="1" s="1"/>
  <c r="O1181" i="1" s="1"/>
  <c r="V1180" i="1"/>
  <c r="P1180" i="1"/>
  <c r="N1180" i="1"/>
  <c r="O1180" i="1" s="1"/>
  <c r="S1180" i="1" s="1"/>
  <c r="M1180" i="1"/>
  <c r="V1179" i="1"/>
  <c r="R1179" i="1"/>
  <c r="P1179" i="1"/>
  <c r="M1179" i="1"/>
  <c r="N1179" i="1" s="1"/>
  <c r="O1179" i="1" s="1"/>
  <c r="S1179" i="1" s="1"/>
  <c r="V1178" i="1"/>
  <c r="P1178" i="1"/>
  <c r="N1178" i="1"/>
  <c r="O1178" i="1" s="1"/>
  <c r="M1178" i="1"/>
  <c r="V1177" i="1"/>
  <c r="R1177" i="1"/>
  <c r="P1177" i="1"/>
  <c r="M1177" i="1"/>
  <c r="N1177" i="1" s="1"/>
  <c r="O1177" i="1" s="1"/>
  <c r="V1176" i="1"/>
  <c r="P1176" i="1"/>
  <c r="N1176" i="1"/>
  <c r="O1176" i="1" s="1"/>
  <c r="M1176" i="1"/>
  <c r="V1175" i="1"/>
  <c r="R1175" i="1"/>
  <c r="P1175" i="1"/>
  <c r="M1175" i="1"/>
  <c r="N1175" i="1" s="1"/>
  <c r="O1175" i="1" s="1"/>
  <c r="V1174" i="1"/>
  <c r="P1174" i="1"/>
  <c r="N1174" i="1"/>
  <c r="O1174" i="1" s="1"/>
  <c r="M1174" i="1"/>
  <c r="V1173" i="1"/>
  <c r="R1173" i="1"/>
  <c r="P1173" i="1"/>
  <c r="M1173" i="1"/>
  <c r="N1173" i="1" s="1"/>
  <c r="O1173" i="1" s="1"/>
  <c r="V1172" i="1"/>
  <c r="S1172" i="1"/>
  <c r="P1172" i="1"/>
  <c r="N1172" i="1"/>
  <c r="O1172" i="1" s="1"/>
  <c r="M1172" i="1"/>
  <c r="V1171" i="1"/>
  <c r="R1171" i="1"/>
  <c r="P1171" i="1"/>
  <c r="M1171" i="1"/>
  <c r="N1171" i="1" s="1"/>
  <c r="O1171" i="1" s="1"/>
  <c r="S1171" i="1" s="1"/>
  <c r="V1170" i="1"/>
  <c r="P1170" i="1"/>
  <c r="N1170" i="1"/>
  <c r="O1170" i="1" s="1"/>
  <c r="M1170" i="1"/>
  <c r="V1169" i="1"/>
  <c r="R1169" i="1"/>
  <c r="P1169" i="1"/>
  <c r="M1169" i="1"/>
  <c r="N1169" i="1" s="1"/>
  <c r="O1169" i="1" s="1"/>
  <c r="V1168" i="1"/>
  <c r="P1168" i="1"/>
  <c r="N1168" i="1"/>
  <c r="O1168" i="1" s="1"/>
  <c r="M1168" i="1"/>
  <c r="V1167" i="1"/>
  <c r="R1167" i="1"/>
  <c r="P1167" i="1"/>
  <c r="M1167" i="1"/>
  <c r="N1167" i="1" s="1"/>
  <c r="O1167" i="1" s="1"/>
  <c r="S1167" i="1" s="1"/>
  <c r="V1166" i="1"/>
  <c r="P1166" i="1"/>
  <c r="N1166" i="1"/>
  <c r="O1166" i="1" s="1"/>
  <c r="M1166" i="1"/>
  <c r="V1165" i="1"/>
  <c r="R1165" i="1"/>
  <c r="P1165" i="1"/>
  <c r="M1165" i="1"/>
  <c r="N1165" i="1" s="1"/>
  <c r="O1165" i="1" s="1"/>
  <c r="V1164" i="1"/>
  <c r="P1164" i="1"/>
  <c r="N1164" i="1"/>
  <c r="O1164" i="1" s="1"/>
  <c r="S1164" i="1" s="1"/>
  <c r="M1164" i="1"/>
  <c r="V1163" i="1"/>
  <c r="R1163" i="1"/>
  <c r="P1163" i="1"/>
  <c r="M1163" i="1"/>
  <c r="N1163" i="1" s="1"/>
  <c r="O1163" i="1" s="1"/>
  <c r="S1163" i="1" s="1"/>
  <c r="V1162" i="1"/>
  <c r="P1162" i="1"/>
  <c r="N1162" i="1"/>
  <c r="O1162" i="1" s="1"/>
  <c r="M1162" i="1"/>
  <c r="V1161" i="1"/>
  <c r="R1161" i="1"/>
  <c r="P1161" i="1"/>
  <c r="M1161" i="1"/>
  <c r="N1161" i="1" s="1"/>
  <c r="O1161" i="1" s="1"/>
  <c r="V1160" i="1"/>
  <c r="P1160" i="1"/>
  <c r="N1160" i="1"/>
  <c r="O1160" i="1" s="1"/>
  <c r="M1160" i="1"/>
  <c r="V1159" i="1"/>
  <c r="R1159" i="1"/>
  <c r="P1159" i="1"/>
  <c r="M1159" i="1"/>
  <c r="N1159" i="1" s="1"/>
  <c r="O1159" i="1" s="1"/>
  <c r="S1159" i="1" s="1"/>
  <c r="V1158" i="1"/>
  <c r="P1158" i="1"/>
  <c r="N1158" i="1"/>
  <c r="O1158" i="1" s="1"/>
  <c r="M1158" i="1"/>
  <c r="V1157" i="1"/>
  <c r="R1157" i="1"/>
  <c r="P1157" i="1"/>
  <c r="M1157" i="1"/>
  <c r="N1157" i="1" s="1"/>
  <c r="O1157" i="1" s="1"/>
  <c r="V1156" i="1"/>
  <c r="S1156" i="1"/>
  <c r="P1156" i="1"/>
  <c r="N1156" i="1"/>
  <c r="O1156" i="1" s="1"/>
  <c r="M1156" i="1"/>
  <c r="V1155" i="1"/>
  <c r="R1155" i="1"/>
  <c r="P1155" i="1"/>
  <c r="M1155" i="1"/>
  <c r="N1155" i="1" s="1"/>
  <c r="O1155" i="1" s="1"/>
  <c r="S1155" i="1" s="1"/>
  <c r="V1154" i="1"/>
  <c r="P1154" i="1"/>
  <c r="N1154" i="1"/>
  <c r="O1154" i="1" s="1"/>
  <c r="M1154" i="1"/>
  <c r="V1153" i="1"/>
  <c r="R1153" i="1"/>
  <c r="P1153" i="1"/>
  <c r="M1153" i="1"/>
  <c r="N1153" i="1" s="1"/>
  <c r="O1153" i="1" s="1"/>
  <c r="V1152" i="1"/>
  <c r="P1152" i="1"/>
  <c r="N1152" i="1"/>
  <c r="O1152" i="1" s="1"/>
  <c r="M1152" i="1"/>
  <c r="V1151" i="1"/>
  <c r="R1151" i="1"/>
  <c r="P1151" i="1"/>
  <c r="M1151" i="1"/>
  <c r="N1151" i="1" s="1"/>
  <c r="O1151" i="1" s="1"/>
  <c r="S1151" i="1" s="1"/>
  <c r="V1150" i="1"/>
  <c r="P1150" i="1"/>
  <c r="N1150" i="1"/>
  <c r="O1150" i="1" s="1"/>
  <c r="M1150" i="1"/>
  <c r="V1149" i="1"/>
  <c r="R1149" i="1"/>
  <c r="P1149" i="1"/>
  <c r="M1149" i="1"/>
  <c r="N1149" i="1" s="1"/>
  <c r="O1149" i="1" s="1"/>
  <c r="V1148" i="1"/>
  <c r="P1148" i="1"/>
  <c r="N1148" i="1"/>
  <c r="O1148" i="1" s="1"/>
  <c r="S1148" i="1" s="1"/>
  <c r="M1148" i="1"/>
  <c r="V1147" i="1"/>
  <c r="R1147" i="1"/>
  <c r="P1147" i="1"/>
  <c r="M1147" i="1"/>
  <c r="N1147" i="1" s="1"/>
  <c r="O1147" i="1" s="1"/>
  <c r="S1147" i="1" s="1"/>
  <c r="V1146" i="1"/>
  <c r="P1146" i="1"/>
  <c r="N1146" i="1"/>
  <c r="O1146" i="1" s="1"/>
  <c r="M1146" i="1"/>
  <c r="V1145" i="1"/>
  <c r="R1145" i="1"/>
  <c r="P1145" i="1"/>
  <c r="M1145" i="1"/>
  <c r="N1145" i="1" s="1"/>
  <c r="O1145" i="1" s="1"/>
  <c r="V1144" i="1"/>
  <c r="P1144" i="1"/>
  <c r="N1144" i="1"/>
  <c r="O1144" i="1" s="1"/>
  <c r="M1144" i="1"/>
  <c r="V1143" i="1"/>
  <c r="R1143" i="1"/>
  <c r="P1143" i="1"/>
  <c r="M1143" i="1"/>
  <c r="N1143" i="1" s="1"/>
  <c r="O1143" i="1" s="1"/>
  <c r="V1142" i="1"/>
  <c r="P1142" i="1"/>
  <c r="N1142" i="1"/>
  <c r="O1142" i="1" s="1"/>
  <c r="M1142" i="1"/>
  <c r="V1141" i="1"/>
  <c r="R1141" i="1"/>
  <c r="P1141" i="1"/>
  <c r="M1141" i="1"/>
  <c r="N1141" i="1" s="1"/>
  <c r="O1141" i="1" s="1"/>
  <c r="V1140" i="1"/>
  <c r="S1140" i="1"/>
  <c r="P1140" i="1"/>
  <c r="N1140" i="1"/>
  <c r="O1140" i="1" s="1"/>
  <c r="M1140" i="1"/>
  <c r="V1139" i="1"/>
  <c r="R1139" i="1"/>
  <c r="P1139" i="1"/>
  <c r="M1139" i="1"/>
  <c r="N1139" i="1" s="1"/>
  <c r="O1139" i="1" s="1"/>
  <c r="S1139" i="1" s="1"/>
  <c r="V1138" i="1"/>
  <c r="P1138" i="1"/>
  <c r="N1138" i="1"/>
  <c r="O1138" i="1" s="1"/>
  <c r="M1138" i="1"/>
  <c r="V1137" i="1"/>
  <c r="R1137" i="1"/>
  <c r="P1137" i="1"/>
  <c r="M1137" i="1"/>
  <c r="N1137" i="1" s="1"/>
  <c r="O1137" i="1" s="1"/>
  <c r="V1136" i="1"/>
  <c r="P1136" i="1"/>
  <c r="N1136" i="1"/>
  <c r="O1136" i="1" s="1"/>
  <c r="M1136" i="1"/>
  <c r="V1135" i="1"/>
  <c r="R1135" i="1"/>
  <c r="P1135" i="1"/>
  <c r="M1135" i="1"/>
  <c r="N1135" i="1" s="1"/>
  <c r="O1135" i="1" s="1"/>
  <c r="V1134" i="1"/>
  <c r="P1134" i="1"/>
  <c r="N1134" i="1"/>
  <c r="O1134" i="1" s="1"/>
  <c r="M1134" i="1"/>
  <c r="V1133" i="1"/>
  <c r="R1133" i="1"/>
  <c r="P1133" i="1"/>
  <c r="M1133" i="1"/>
  <c r="N1133" i="1" s="1"/>
  <c r="O1133" i="1" s="1"/>
  <c r="V1132" i="1"/>
  <c r="P1132" i="1"/>
  <c r="N1132" i="1"/>
  <c r="O1132" i="1" s="1"/>
  <c r="S1132" i="1" s="1"/>
  <c r="M1132" i="1"/>
  <c r="V1131" i="1"/>
  <c r="R1131" i="1"/>
  <c r="P1131" i="1"/>
  <c r="M1131" i="1"/>
  <c r="N1131" i="1" s="1"/>
  <c r="O1131" i="1" s="1"/>
  <c r="S1131" i="1" s="1"/>
  <c r="V1130" i="1"/>
  <c r="P1130" i="1"/>
  <c r="N1130" i="1"/>
  <c r="O1130" i="1" s="1"/>
  <c r="M1130" i="1"/>
  <c r="V1129" i="1"/>
  <c r="R1129" i="1"/>
  <c r="P1129" i="1"/>
  <c r="M1129" i="1"/>
  <c r="N1129" i="1" s="1"/>
  <c r="O1129" i="1" s="1"/>
  <c r="V1128" i="1"/>
  <c r="P1128" i="1"/>
  <c r="N1128" i="1"/>
  <c r="O1128" i="1" s="1"/>
  <c r="M1128" i="1"/>
  <c r="V1127" i="1"/>
  <c r="R1127" i="1"/>
  <c r="P1127" i="1"/>
  <c r="M1127" i="1"/>
  <c r="N1127" i="1" s="1"/>
  <c r="O1127" i="1" s="1"/>
  <c r="V1126" i="1"/>
  <c r="P1126" i="1"/>
  <c r="N1126" i="1"/>
  <c r="O1126" i="1" s="1"/>
  <c r="M1126" i="1"/>
  <c r="V1125" i="1"/>
  <c r="R1125" i="1"/>
  <c r="P1125" i="1"/>
  <c r="M1125" i="1"/>
  <c r="N1125" i="1" s="1"/>
  <c r="O1125" i="1" s="1"/>
  <c r="V1124" i="1"/>
  <c r="S1124" i="1"/>
  <c r="P1124" i="1"/>
  <c r="N1124" i="1"/>
  <c r="O1124" i="1" s="1"/>
  <c r="M1124" i="1"/>
  <c r="V1123" i="1"/>
  <c r="R1123" i="1"/>
  <c r="P1123" i="1"/>
  <c r="M1123" i="1"/>
  <c r="N1123" i="1" s="1"/>
  <c r="O1123" i="1" s="1"/>
  <c r="S1123" i="1" s="1"/>
  <c r="V1122" i="1"/>
  <c r="P1122" i="1"/>
  <c r="N1122" i="1"/>
  <c r="O1122" i="1" s="1"/>
  <c r="M1122" i="1"/>
  <c r="V1121" i="1"/>
  <c r="R1121" i="1"/>
  <c r="P1121" i="1"/>
  <c r="O1121" i="1"/>
  <c r="M1121" i="1"/>
  <c r="N1121" i="1" s="1"/>
  <c r="V1120" i="1"/>
  <c r="P1120" i="1"/>
  <c r="N1120" i="1"/>
  <c r="O1120" i="1" s="1"/>
  <c r="M1120" i="1"/>
  <c r="V1119" i="1"/>
  <c r="R1119" i="1"/>
  <c r="P1119" i="1"/>
  <c r="M1119" i="1"/>
  <c r="N1119" i="1" s="1"/>
  <c r="O1119" i="1" s="1"/>
  <c r="V1118" i="1"/>
  <c r="P1118" i="1"/>
  <c r="N1118" i="1"/>
  <c r="O1118" i="1" s="1"/>
  <c r="S1118" i="1" s="1"/>
  <c r="M1118" i="1"/>
  <c r="V1117" i="1"/>
  <c r="R1117" i="1"/>
  <c r="P1117" i="1"/>
  <c r="M1117" i="1"/>
  <c r="N1117" i="1" s="1"/>
  <c r="O1117" i="1" s="1"/>
  <c r="V1116" i="1"/>
  <c r="P1116" i="1"/>
  <c r="N1116" i="1"/>
  <c r="O1116" i="1" s="1"/>
  <c r="M1116" i="1"/>
  <c r="V1115" i="1"/>
  <c r="R1115" i="1"/>
  <c r="P1115" i="1"/>
  <c r="M1115" i="1"/>
  <c r="N1115" i="1" s="1"/>
  <c r="O1115" i="1" s="1"/>
  <c r="S1115" i="1" s="1"/>
  <c r="V1114" i="1"/>
  <c r="P1114" i="1"/>
  <c r="N1114" i="1"/>
  <c r="O1114" i="1" s="1"/>
  <c r="M1114" i="1"/>
  <c r="V1113" i="1"/>
  <c r="R1113" i="1"/>
  <c r="P1113" i="1"/>
  <c r="M1113" i="1"/>
  <c r="N1113" i="1" s="1"/>
  <c r="O1113" i="1" s="1"/>
  <c r="V1112" i="1"/>
  <c r="P1112" i="1"/>
  <c r="N1112" i="1"/>
  <c r="O1112" i="1" s="1"/>
  <c r="M1112" i="1"/>
  <c r="V1111" i="1"/>
  <c r="R1111" i="1"/>
  <c r="P1111" i="1"/>
  <c r="M1111" i="1"/>
  <c r="N1111" i="1" s="1"/>
  <c r="O1111" i="1" s="1"/>
  <c r="V1110" i="1"/>
  <c r="P1110" i="1"/>
  <c r="N1110" i="1"/>
  <c r="O1110" i="1" s="1"/>
  <c r="S1110" i="1" s="1"/>
  <c r="M1110" i="1"/>
  <c r="V1109" i="1"/>
  <c r="R1109" i="1"/>
  <c r="P1109" i="1"/>
  <c r="M1109" i="1"/>
  <c r="N1109" i="1" s="1"/>
  <c r="O1109" i="1" s="1"/>
  <c r="V1108" i="1"/>
  <c r="P1108" i="1"/>
  <c r="N1108" i="1"/>
  <c r="O1108" i="1" s="1"/>
  <c r="M1108" i="1"/>
  <c r="V1107" i="1"/>
  <c r="R1107" i="1"/>
  <c r="P1107" i="1"/>
  <c r="M1107" i="1"/>
  <c r="N1107" i="1" s="1"/>
  <c r="O1107" i="1" s="1"/>
  <c r="S1107" i="1" s="1"/>
  <c r="V1106" i="1"/>
  <c r="P1106" i="1"/>
  <c r="N1106" i="1"/>
  <c r="O1106" i="1" s="1"/>
  <c r="M1106" i="1"/>
  <c r="V1105" i="1"/>
  <c r="R1105" i="1"/>
  <c r="P1105" i="1"/>
  <c r="O1105" i="1"/>
  <c r="M1105" i="1"/>
  <c r="N1105" i="1" s="1"/>
  <c r="V1104" i="1"/>
  <c r="P1104" i="1"/>
  <c r="N1104" i="1"/>
  <c r="O1104" i="1" s="1"/>
  <c r="M1104" i="1"/>
  <c r="V1103" i="1"/>
  <c r="R1103" i="1"/>
  <c r="P1103" i="1"/>
  <c r="M1103" i="1"/>
  <c r="N1103" i="1" s="1"/>
  <c r="O1103" i="1" s="1"/>
  <c r="V1102" i="1"/>
  <c r="P1102" i="1"/>
  <c r="N1102" i="1"/>
  <c r="O1102" i="1" s="1"/>
  <c r="S1102" i="1" s="1"/>
  <c r="M1102" i="1"/>
  <c r="V1101" i="1"/>
  <c r="R1101" i="1"/>
  <c r="P1101" i="1"/>
  <c r="M1101" i="1"/>
  <c r="N1101" i="1" s="1"/>
  <c r="O1101" i="1" s="1"/>
  <c r="V1100" i="1"/>
  <c r="P1100" i="1"/>
  <c r="N1100" i="1"/>
  <c r="O1100" i="1" s="1"/>
  <c r="M1100" i="1"/>
  <c r="V1099" i="1"/>
  <c r="R1099" i="1"/>
  <c r="P1099" i="1"/>
  <c r="M1099" i="1"/>
  <c r="N1099" i="1" s="1"/>
  <c r="O1099" i="1" s="1"/>
  <c r="S1099" i="1" s="1"/>
  <c r="V1098" i="1"/>
  <c r="P1098" i="1"/>
  <c r="N1098" i="1"/>
  <c r="O1098" i="1" s="1"/>
  <c r="M1098" i="1"/>
  <c r="V1097" i="1"/>
  <c r="R1097" i="1"/>
  <c r="P1097" i="1"/>
  <c r="M1097" i="1"/>
  <c r="N1097" i="1" s="1"/>
  <c r="O1097" i="1" s="1"/>
  <c r="V1096" i="1"/>
  <c r="P1096" i="1"/>
  <c r="N1096" i="1"/>
  <c r="O1096" i="1" s="1"/>
  <c r="M1096" i="1"/>
  <c r="V1095" i="1"/>
  <c r="R1095" i="1"/>
  <c r="P1095" i="1"/>
  <c r="M1095" i="1"/>
  <c r="N1095" i="1" s="1"/>
  <c r="O1095" i="1" s="1"/>
  <c r="V1094" i="1"/>
  <c r="P1094" i="1"/>
  <c r="N1094" i="1"/>
  <c r="O1094" i="1" s="1"/>
  <c r="S1094" i="1" s="1"/>
  <c r="M1094" i="1"/>
  <c r="V1093" i="1"/>
  <c r="R1093" i="1"/>
  <c r="P1093" i="1"/>
  <c r="M1093" i="1"/>
  <c r="N1093" i="1" s="1"/>
  <c r="O1093" i="1" s="1"/>
  <c r="V1092" i="1"/>
  <c r="P1092" i="1"/>
  <c r="N1092" i="1"/>
  <c r="O1092" i="1" s="1"/>
  <c r="M1092" i="1"/>
  <c r="V1091" i="1"/>
  <c r="R1091" i="1"/>
  <c r="P1091" i="1"/>
  <c r="M1091" i="1"/>
  <c r="N1091" i="1" s="1"/>
  <c r="O1091" i="1" s="1"/>
  <c r="S1091" i="1" s="1"/>
  <c r="V1090" i="1"/>
  <c r="P1090" i="1"/>
  <c r="N1090" i="1"/>
  <c r="O1090" i="1" s="1"/>
  <c r="M1090" i="1"/>
  <c r="V1089" i="1"/>
  <c r="R1089" i="1"/>
  <c r="P1089" i="1"/>
  <c r="O1089" i="1"/>
  <c r="M1089" i="1"/>
  <c r="N1089" i="1" s="1"/>
  <c r="V1088" i="1"/>
  <c r="P1088" i="1"/>
  <c r="N1088" i="1"/>
  <c r="O1088" i="1" s="1"/>
  <c r="M1088" i="1"/>
  <c r="V1087" i="1"/>
  <c r="R1087" i="1"/>
  <c r="P1087" i="1"/>
  <c r="M1087" i="1"/>
  <c r="N1087" i="1" s="1"/>
  <c r="O1087" i="1" s="1"/>
  <c r="V1086" i="1"/>
  <c r="P1086" i="1"/>
  <c r="N1086" i="1"/>
  <c r="O1086" i="1" s="1"/>
  <c r="S1086" i="1" s="1"/>
  <c r="M1086" i="1"/>
  <c r="V1085" i="1"/>
  <c r="R1085" i="1"/>
  <c r="P1085" i="1"/>
  <c r="M1085" i="1"/>
  <c r="N1085" i="1" s="1"/>
  <c r="O1085" i="1" s="1"/>
  <c r="V1084" i="1"/>
  <c r="P1084" i="1"/>
  <c r="N1084" i="1"/>
  <c r="O1084" i="1" s="1"/>
  <c r="M1084" i="1"/>
  <c r="V1083" i="1"/>
  <c r="R1083" i="1"/>
  <c r="P1083" i="1"/>
  <c r="M1083" i="1"/>
  <c r="N1083" i="1" s="1"/>
  <c r="O1083" i="1" s="1"/>
  <c r="S1083" i="1" s="1"/>
  <c r="V1082" i="1"/>
  <c r="P1082" i="1"/>
  <c r="N1082" i="1"/>
  <c r="O1082" i="1" s="1"/>
  <c r="M1082" i="1"/>
  <c r="V1081" i="1"/>
  <c r="R1081" i="1"/>
  <c r="P1081" i="1"/>
  <c r="M1081" i="1"/>
  <c r="N1081" i="1" s="1"/>
  <c r="O1081" i="1" s="1"/>
  <c r="V1080" i="1"/>
  <c r="P1080" i="1"/>
  <c r="N1080" i="1"/>
  <c r="O1080" i="1" s="1"/>
  <c r="M1080" i="1"/>
  <c r="V1079" i="1"/>
  <c r="R1079" i="1"/>
  <c r="P1079" i="1"/>
  <c r="M1079" i="1"/>
  <c r="N1079" i="1" s="1"/>
  <c r="O1079" i="1" s="1"/>
  <c r="V1078" i="1"/>
  <c r="P1078" i="1"/>
  <c r="N1078" i="1"/>
  <c r="O1078" i="1" s="1"/>
  <c r="S1078" i="1" s="1"/>
  <c r="M1078" i="1"/>
  <c r="V1077" i="1"/>
  <c r="R1077" i="1"/>
  <c r="P1077" i="1"/>
  <c r="M1077" i="1"/>
  <c r="N1077" i="1" s="1"/>
  <c r="O1077" i="1" s="1"/>
  <c r="V1076" i="1"/>
  <c r="P1076" i="1"/>
  <c r="N1076" i="1"/>
  <c r="O1076" i="1" s="1"/>
  <c r="M1076" i="1"/>
  <c r="V1075" i="1"/>
  <c r="R1075" i="1"/>
  <c r="P1075" i="1"/>
  <c r="M1075" i="1"/>
  <c r="N1075" i="1" s="1"/>
  <c r="O1075" i="1" s="1"/>
  <c r="S1075" i="1" s="1"/>
  <c r="V1074" i="1"/>
  <c r="P1074" i="1"/>
  <c r="N1074" i="1"/>
  <c r="O1074" i="1" s="1"/>
  <c r="M1074" i="1"/>
  <c r="V1073" i="1"/>
  <c r="R1073" i="1"/>
  <c r="P1073" i="1"/>
  <c r="M1073" i="1"/>
  <c r="N1073" i="1" s="1"/>
  <c r="O1073" i="1" s="1"/>
  <c r="V1072" i="1"/>
  <c r="P1072" i="1"/>
  <c r="N1072" i="1"/>
  <c r="O1072" i="1" s="1"/>
  <c r="M1072" i="1"/>
  <c r="V1071" i="1"/>
  <c r="R1071" i="1"/>
  <c r="P1071" i="1"/>
  <c r="M1071" i="1"/>
  <c r="N1071" i="1" s="1"/>
  <c r="O1071" i="1" s="1"/>
  <c r="V1070" i="1"/>
  <c r="P1070" i="1"/>
  <c r="N1070" i="1"/>
  <c r="O1070" i="1" s="1"/>
  <c r="S1070" i="1" s="1"/>
  <c r="M1070" i="1"/>
  <c r="V1069" i="1"/>
  <c r="R1069" i="1"/>
  <c r="P1069" i="1"/>
  <c r="M1069" i="1"/>
  <c r="N1069" i="1" s="1"/>
  <c r="O1069" i="1" s="1"/>
  <c r="V1068" i="1"/>
  <c r="P1068" i="1"/>
  <c r="N1068" i="1"/>
  <c r="O1068" i="1" s="1"/>
  <c r="M1068" i="1"/>
  <c r="V1067" i="1"/>
  <c r="R1067" i="1"/>
  <c r="P1067" i="1"/>
  <c r="M1067" i="1"/>
  <c r="N1067" i="1" s="1"/>
  <c r="O1067" i="1" s="1"/>
  <c r="S1067" i="1" s="1"/>
  <c r="V1066" i="1"/>
  <c r="P1066" i="1"/>
  <c r="N1066" i="1"/>
  <c r="O1066" i="1" s="1"/>
  <c r="M1066" i="1"/>
  <c r="V1065" i="1"/>
  <c r="R1065" i="1"/>
  <c r="P1065" i="1"/>
  <c r="M1065" i="1"/>
  <c r="N1065" i="1" s="1"/>
  <c r="O1065" i="1" s="1"/>
  <c r="V1064" i="1"/>
  <c r="P1064" i="1"/>
  <c r="N1064" i="1"/>
  <c r="O1064" i="1" s="1"/>
  <c r="M1064" i="1"/>
  <c r="V1063" i="1"/>
  <c r="R1063" i="1"/>
  <c r="P1063" i="1"/>
  <c r="M1063" i="1"/>
  <c r="N1063" i="1" s="1"/>
  <c r="O1063" i="1" s="1"/>
  <c r="V1062" i="1"/>
  <c r="P1062" i="1"/>
  <c r="N1062" i="1"/>
  <c r="O1062" i="1" s="1"/>
  <c r="S1062" i="1" s="1"/>
  <c r="M1062" i="1"/>
  <c r="V1061" i="1"/>
  <c r="R1061" i="1"/>
  <c r="P1061" i="1"/>
  <c r="M1061" i="1"/>
  <c r="N1061" i="1" s="1"/>
  <c r="O1061" i="1" s="1"/>
  <c r="V1060" i="1"/>
  <c r="P1060" i="1"/>
  <c r="N1060" i="1"/>
  <c r="O1060" i="1" s="1"/>
  <c r="M1060" i="1"/>
  <c r="V1059" i="1"/>
  <c r="R1059" i="1"/>
  <c r="P1059" i="1"/>
  <c r="M1059" i="1"/>
  <c r="N1059" i="1" s="1"/>
  <c r="O1059" i="1" s="1"/>
  <c r="S1059" i="1" s="1"/>
  <c r="V1058" i="1"/>
  <c r="P1058" i="1"/>
  <c r="N1058" i="1"/>
  <c r="O1058" i="1" s="1"/>
  <c r="M1058" i="1"/>
  <c r="V1057" i="1"/>
  <c r="R1057" i="1"/>
  <c r="P1057" i="1"/>
  <c r="O1057" i="1"/>
  <c r="M1057" i="1"/>
  <c r="N1057" i="1" s="1"/>
  <c r="V1056" i="1"/>
  <c r="P1056" i="1"/>
  <c r="N1056" i="1"/>
  <c r="O1056" i="1" s="1"/>
  <c r="M1056" i="1"/>
  <c r="V1055" i="1"/>
  <c r="R1055" i="1"/>
  <c r="P1055" i="1"/>
  <c r="M1055" i="1"/>
  <c r="N1055" i="1" s="1"/>
  <c r="O1055" i="1" s="1"/>
  <c r="V1054" i="1"/>
  <c r="S1054" i="1"/>
  <c r="P1054" i="1"/>
  <c r="N1054" i="1"/>
  <c r="O1054" i="1" s="1"/>
  <c r="M1054" i="1"/>
  <c r="V1053" i="1"/>
  <c r="R1053" i="1"/>
  <c r="P1053" i="1"/>
  <c r="M1053" i="1"/>
  <c r="N1053" i="1" s="1"/>
  <c r="O1053" i="1" s="1"/>
  <c r="V1052" i="1"/>
  <c r="P1052" i="1"/>
  <c r="N1052" i="1"/>
  <c r="O1052" i="1" s="1"/>
  <c r="M1052" i="1"/>
  <c r="V1051" i="1"/>
  <c r="R1051" i="1"/>
  <c r="P1051" i="1"/>
  <c r="O1051" i="1"/>
  <c r="S1051" i="1" s="1"/>
  <c r="M1051" i="1"/>
  <c r="N1051" i="1" s="1"/>
  <c r="V1050" i="1"/>
  <c r="P1050" i="1"/>
  <c r="N1050" i="1"/>
  <c r="O1050" i="1" s="1"/>
  <c r="M1050" i="1"/>
  <c r="V1049" i="1"/>
  <c r="R1049" i="1"/>
  <c r="P1049" i="1"/>
  <c r="M1049" i="1"/>
  <c r="N1049" i="1" s="1"/>
  <c r="O1049" i="1" s="1"/>
  <c r="S1049" i="1" s="1"/>
  <c r="V1048" i="1"/>
  <c r="P1048" i="1"/>
  <c r="N1048" i="1"/>
  <c r="O1048" i="1" s="1"/>
  <c r="M1048" i="1"/>
  <c r="V1047" i="1"/>
  <c r="R1047" i="1"/>
  <c r="P1047" i="1"/>
  <c r="O1047" i="1"/>
  <c r="M1047" i="1"/>
  <c r="N1047" i="1" s="1"/>
  <c r="V1046" i="1"/>
  <c r="P1046" i="1"/>
  <c r="N1046" i="1"/>
  <c r="O1046" i="1" s="1"/>
  <c r="S1046" i="1" s="1"/>
  <c r="M1046" i="1"/>
  <c r="V1045" i="1"/>
  <c r="R1045" i="1"/>
  <c r="P1045" i="1"/>
  <c r="M1045" i="1"/>
  <c r="N1045" i="1" s="1"/>
  <c r="O1045" i="1" s="1"/>
  <c r="V1044" i="1"/>
  <c r="P1044" i="1"/>
  <c r="N1044" i="1"/>
  <c r="O1044" i="1" s="1"/>
  <c r="M1044" i="1"/>
  <c r="V1043" i="1"/>
  <c r="R1043" i="1"/>
  <c r="P1043" i="1"/>
  <c r="M1043" i="1"/>
  <c r="N1043" i="1" s="1"/>
  <c r="O1043" i="1" s="1"/>
  <c r="S1043" i="1" s="1"/>
  <c r="V1042" i="1"/>
  <c r="P1042" i="1"/>
  <c r="N1042" i="1"/>
  <c r="O1042" i="1" s="1"/>
  <c r="M1042" i="1"/>
  <c r="V1041" i="1"/>
  <c r="R1041" i="1"/>
  <c r="P1041" i="1"/>
  <c r="O1041" i="1"/>
  <c r="S1041" i="1" s="1"/>
  <c r="M1041" i="1"/>
  <c r="N1041" i="1" s="1"/>
  <c r="V1040" i="1"/>
  <c r="S1040" i="1"/>
  <c r="P1040" i="1"/>
  <c r="N1040" i="1"/>
  <c r="O1040" i="1" s="1"/>
  <c r="M1040" i="1"/>
  <c r="V1039" i="1"/>
  <c r="R1039" i="1"/>
  <c r="P1039" i="1"/>
  <c r="M1039" i="1"/>
  <c r="N1039" i="1" s="1"/>
  <c r="O1039" i="1" s="1"/>
  <c r="V1038" i="1"/>
  <c r="P1038" i="1"/>
  <c r="N1038" i="1"/>
  <c r="O1038" i="1" s="1"/>
  <c r="S1038" i="1" s="1"/>
  <c r="M1038" i="1"/>
  <c r="V1037" i="1"/>
  <c r="R1037" i="1"/>
  <c r="P1037" i="1"/>
  <c r="O1037" i="1"/>
  <c r="M1037" i="1"/>
  <c r="N1037" i="1" s="1"/>
  <c r="V1036" i="1"/>
  <c r="P1036" i="1"/>
  <c r="N1036" i="1"/>
  <c r="O1036" i="1" s="1"/>
  <c r="M1036" i="1"/>
  <c r="V1035" i="1"/>
  <c r="R1035" i="1"/>
  <c r="P1035" i="1"/>
  <c r="M1035" i="1"/>
  <c r="N1035" i="1" s="1"/>
  <c r="O1035" i="1" s="1"/>
  <c r="S1035" i="1" s="1"/>
  <c r="V1034" i="1"/>
  <c r="P1034" i="1"/>
  <c r="N1034" i="1"/>
  <c r="O1034" i="1" s="1"/>
  <c r="M1034" i="1"/>
  <c r="V1033" i="1"/>
  <c r="R1033" i="1"/>
  <c r="P1033" i="1"/>
  <c r="O1033" i="1"/>
  <c r="S1033" i="1" s="1"/>
  <c r="M1033" i="1"/>
  <c r="N1033" i="1" s="1"/>
  <c r="V1032" i="1"/>
  <c r="P1032" i="1"/>
  <c r="N1032" i="1"/>
  <c r="O1032" i="1" s="1"/>
  <c r="M1032" i="1"/>
  <c r="V1031" i="1"/>
  <c r="R1031" i="1"/>
  <c r="P1031" i="1"/>
  <c r="M1031" i="1"/>
  <c r="N1031" i="1" s="1"/>
  <c r="O1031" i="1" s="1"/>
  <c r="V1030" i="1"/>
  <c r="P1030" i="1"/>
  <c r="N1030" i="1"/>
  <c r="O1030" i="1" s="1"/>
  <c r="S1030" i="1" s="1"/>
  <c r="M1030" i="1"/>
  <c r="V1029" i="1"/>
  <c r="R1029" i="1"/>
  <c r="P1029" i="1"/>
  <c r="O1029" i="1"/>
  <c r="M1029" i="1"/>
  <c r="N1029" i="1" s="1"/>
  <c r="V1028" i="1"/>
  <c r="P1028" i="1"/>
  <c r="N1028" i="1"/>
  <c r="O1028" i="1" s="1"/>
  <c r="M1028" i="1"/>
  <c r="V1027" i="1"/>
  <c r="R1027" i="1"/>
  <c r="P1027" i="1"/>
  <c r="M1027" i="1"/>
  <c r="N1027" i="1" s="1"/>
  <c r="O1027" i="1" s="1"/>
  <c r="S1027" i="1" s="1"/>
  <c r="V1026" i="1"/>
  <c r="P1026" i="1"/>
  <c r="N1026" i="1"/>
  <c r="O1026" i="1" s="1"/>
  <c r="S1026" i="1" s="1"/>
  <c r="M1026" i="1"/>
  <c r="V1025" i="1"/>
  <c r="R1025" i="1"/>
  <c r="P1025" i="1"/>
  <c r="O1025" i="1"/>
  <c r="S1025" i="1" s="1"/>
  <c r="M1025" i="1"/>
  <c r="N1025" i="1" s="1"/>
  <c r="V1024" i="1"/>
  <c r="P1024" i="1"/>
  <c r="N1024" i="1"/>
  <c r="O1024" i="1" s="1"/>
  <c r="M1024" i="1"/>
  <c r="V1023" i="1"/>
  <c r="R1023" i="1"/>
  <c r="P1023" i="1"/>
  <c r="M1023" i="1"/>
  <c r="N1023" i="1" s="1"/>
  <c r="O1023" i="1" s="1"/>
  <c r="V1022" i="1"/>
  <c r="P1022" i="1"/>
  <c r="N1022" i="1"/>
  <c r="O1022" i="1" s="1"/>
  <c r="S1022" i="1" s="1"/>
  <c r="M1022" i="1"/>
  <c r="V1021" i="1"/>
  <c r="R1021" i="1"/>
  <c r="P1021" i="1"/>
  <c r="O1021" i="1"/>
  <c r="M1021" i="1"/>
  <c r="N1021" i="1" s="1"/>
  <c r="V1020" i="1"/>
  <c r="P1020" i="1"/>
  <c r="N1020" i="1"/>
  <c r="O1020" i="1" s="1"/>
  <c r="M1020" i="1"/>
  <c r="V1019" i="1"/>
  <c r="R1019" i="1"/>
  <c r="P1019" i="1"/>
  <c r="M1019" i="1"/>
  <c r="N1019" i="1" s="1"/>
  <c r="O1019" i="1" s="1"/>
  <c r="S1019" i="1" s="1"/>
  <c r="V1018" i="1"/>
  <c r="P1018" i="1"/>
  <c r="N1018" i="1"/>
  <c r="O1018" i="1" s="1"/>
  <c r="S1018" i="1" s="1"/>
  <c r="M1018" i="1"/>
  <c r="V1017" i="1"/>
  <c r="R1017" i="1"/>
  <c r="P1017" i="1"/>
  <c r="O1017" i="1"/>
  <c r="S1017" i="1" s="1"/>
  <c r="M1017" i="1"/>
  <c r="N1017" i="1" s="1"/>
  <c r="V1016" i="1"/>
  <c r="P1016" i="1"/>
  <c r="N1016" i="1"/>
  <c r="O1016" i="1" s="1"/>
  <c r="M1016" i="1"/>
  <c r="V1015" i="1"/>
  <c r="R1015" i="1"/>
  <c r="P1015" i="1"/>
  <c r="M1015" i="1"/>
  <c r="N1015" i="1" s="1"/>
  <c r="O1015" i="1" s="1"/>
  <c r="V1014" i="1"/>
  <c r="P1014" i="1"/>
  <c r="N1014" i="1"/>
  <c r="O1014" i="1" s="1"/>
  <c r="S1014" i="1" s="1"/>
  <c r="M1014" i="1"/>
  <c r="V1013" i="1"/>
  <c r="R1013" i="1"/>
  <c r="P1013" i="1"/>
  <c r="O1013" i="1"/>
  <c r="M1013" i="1"/>
  <c r="N1013" i="1" s="1"/>
  <c r="V1012" i="1"/>
  <c r="P1012" i="1"/>
  <c r="N1012" i="1"/>
  <c r="O1012" i="1" s="1"/>
  <c r="M1012" i="1"/>
  <c r="V1011" i="1"/>
  <c r="R1011" i="1"/>
  <c r="P1011" i="1"/>
  <c r="M1011" i="1"/>
  <c r="N1011" i="1" s="1"/>
  <c r="O1011" i="1" s="1"/>
  <c r="S1011" i="1" s="1"/>
  <c r="V1010" i="1"/>
  <c r="P1010" i="1"/>
  <c r="N1010" i="1"/>
  <c r="O1010" i="1" s="1"/>
  <c r="S1010" i="1" s="1"/>
  <c r="M1010" i="1"/>
  <c r="V1009" i="1"/>
  <c r="R1009" i="1"/>
  <c r="P1009" i="1"/>
  <c r="O1009" i="1"/>
  <c r="S1009" i="1" s="1"/>
  <c r="M1009" i="1"/>
  <c r="N1009" i="1" s="1"/>
  <c r="V1008" i="1"/>
  <c r="P1008" i="1"/>
  <c r="N1008" i="1"/>
  <c r="O1008" i="1" s="1"/>
  <c r="M1008" i="1"/>
  <c r="V1007" i="1"/>
  <c r="R1007" i="1"/>
  <c r="P1007" i="1"/>
  <c r="M1007" i="1"/>
  <c r="N1007" i="1" s="1"/>
  <c r="O1007" i="1" s="1"/>
  <c r="V1006" i="1"/>
  <c r="P1006" i="1"/>
  <c r="N1006" i="1"/>
  <c r="O1006" i="1" s="1"/>
  <c r="S1006" i="1" s="1"/>
  <c r="M1006" i="1"/>
  <c r="V1005" i="1"/>
  <c r="R1005" i="1"/>
  <c r="P1005" i="1"/>
  <c r="M1005" i="1"/>
  <c r="N1005" i="1" s="1"/>
  <c r="O1005" i="1" s="1"/>
  <c r="V1004" i="1"/>
  <c r="P1004" i="1"/>
  <c r="M1004" i="1"/>
  <c r="N1004" i="1" s="1"/>
  <c r="O1004" i="1" s="1"/>
  <c r="S1004" i="1" s="1"/>
  <c r="V1003" i="1"/>
  <c r="R1003" i="1"/>
  <c r="P1003" i="1"/>
  <c r="O1003" i="1"/>
  <c r="S1003" i="1" s="1"/>
  <c r="M1003" i="1"/>
  <c r="N1003" i="1" s="1"/>
  <c r="V1002" i="1"/>
  <c r="P1002" i="1"/>
  <c r="N1002" i="1"/>
  <c r="O1002" i="1" s="1"/>
  <c r="M1002" i="1"/>
  <c r="V1001" i="1"/>
  <c r="R1001" i="1"/>
  <c r="P1001" i="1"/>
  <c r="M1001" i="1"/>
  <c r="N1001" i="1" s="1"/>
  <c r="O1001" i="1" s="1"/>
  <c r="S1001" i="1" s="1"/>
  <c r="V1000" i="1"/>
  <c r="P1000" i="1"/>
  <c r="N1000" i="1"/>
  <c r="O1000" i="1" s="1"/>
  <c r="M1000" i="1"/>
  <c r="V999" i="1"/>
  <c r="R999" i="1"/>
  <c r="P999" i="1"/>
  <c r="M999" i="1"/>
  <c r="N999" i="1" s="1"/>
  <c r="O999" i="1" s="1"/>
  <c r="V998" i="1"/>
  <c r="P998" i="1"/>
  <c r="N998" i="1"/>
  <c r="O998" i="1" s="1"/>
  <c r="S998" i="1" s="1"/>
  <c r="M998" i="1"/>
  <c r="V997" i="1"/>
  <c r="R997" i="1"/>
  <c r="P997" i="1"/>
  <c r="M997" i="1"/>
  <c r="N997" i="1" s="1"/>
  <c r="O997" i="1" s="1"/>
  <c r="V996" i="1"/>
  <c r="P996" i="1"/>
  <c r="M996" i="1"/>
  <c r="N996" i="1" s="1"/>
  <c r="O996" i="1" s="1"/>
  <c r="S996" i="1" s="1"/>
  <c r="V995" i="1"/>
  <c r="R995" i="1"/>
  <c r="P995" i="1"/>
  <c r="O995" i="1"/>
  <c r="S995" i="1" s="1"/>
  <c r="M995" i="1"/>
  <c r="N995" i="1" s="1"/>
  <c r="V994" i="1"/>
  <c r="P994" i="1"/>
  <c r="N994" i="1"/>
  <c r="O994" i="1" s="1"/>
  <c r="M994" i="1"/>
  <c r="V993" i="1"/>
  <c r="S993" i="1"/>
  <c r="R993" i="1"/>
  <c r="P993" i="1"/>
  <c r="M993" i="1"/>
  <c r="N993" i="1" s="1"/>
  <c r="O993" i="1" s="1"/>
  <c r="V992" i="1"/>
  <c r="R992" i="1"/>
  <c r="P992" i="1"/>
  <c r="N992" i="1"/>
  <c r="O992" i="1" s="1"/>
  <c r="M992" i="1"/>
  <c r="V991" i="1"/>
  <c r="R991" i="1"/>
  <c r="P991" i="1"/>
  <c r="M991" i="1"/>
  <c r="N991" i="1" s="1"/>
  <c r="O991" i="1" s="1"/>
  <c r="V990" i="1"/>
  <c r="P990" i="1"/>
  <c r="N990" i="1"/>
  <c r="O990" i="1" s="1"/>
  <c r="S990" i="1" s="1"/>
  <c r="M990" i="1"/>
  <c r="V989" i="1"/>
  <c r="R989" i="1"/>
  <c r="P989" i="1"/>
  <c r="M989" i="1"/>
  <c r="N989" i="1" s="1"/>
  <c r="O989" i="1" s="1"/>
  <c r="V988" i="1"/>
  <c r="P988" i="1"/>
  <c r="M988" i="1"/>
  <c r="N988" i="1" s="1"/>
  <c r="O988" i="1" s="1"/>
  <c r="S988" i="1" s="1"/>
  <c r="V987" i="1"/>
  <c r="R987" i="1"/>
  <c r="P987" i="1"/>
  <c r="O987" i="1"/>
  <c r="S987" i="1" s="1"/>
  <c r="M987" i="1"/>
  <c r="N987" i="1" s="1"/>
  <c r="V986" i="1"/>
  <c r="P986" i="1"/>
  <c r="N986" i="1"/>
  <c r="O986" i="1" s="1"/>
  <c r="M986" i="1"/>
  <c r="V985" i="1"/>
  <c r="R985" i="1"/>
  <c r="P985" i="1"/>
  <c r="M985" i="1"/>
  <c r="N985" i="1" s="1"/>
  <c r="O985" i="1" s="1"/>
  <c r="S985" i="1" s="1"/>
  <c r="V984" i="1"/>
  <c r="P984" i="1"/>
  <c r="N984" i="1"/>
  <c r="O984" i="1" s="1"/>
  <c r="M984" i="1"/>
  <c r="V983" i="1"/>
  <c r="R983" i="1"/>
  <c r="P983" i="1"/>
  <c r="M983" i="1"/>
  <c r="N983" i="1" s="1"/>
  <c r="O983" i="1" s="1"/>
  <c r="V982" i="1"/>
  <c r="P982" i="1"/>
  <c r="N982" i="1"/>
  <c r="O982" i="1" s="1"/>
  <c r="S982" i="1" s="1"/>
  <c r="M982" i="1"/>
  <c r="V981" i="1"/>
  <c r="R981" i="1"/>
  <c r="P981" i="1"/>
  <c r="M981" i="1"/>
  <c r="N981" i="1" s="1"/>
  <c r="O981" i="1" s="1"/>
  <c r="V980" i="1"/>
  <c r="P980" i="1"/>
  <c r="M980" i="1"/>
  <c r="N980" i="1" s="1"/>
  <c r="O980" i="1" s="1"/>
  <c r="S980" i="1" s="1"/>
  <c r="V979" i="1"/>
  <c r="R979" i="1"/>
  <c r="P979" i="1"/>
  <c r="O979" i="1"/>
  <c r="S979" i="1" s="1"/>
  <c r="M979" i="1"/>
  <c r="N979" i="1" s="1"/>
  <c r="V978" i="1"/>
  <c r="P978" i="1"/>
  <c r="N978" i="1"/>
  <c r="O978" i="1" s="1"/>
  <c r="M978" i="1"/>
  <c r="V977" i="1"/>
  <c r="R977" i="1"/>
  <c r="P977" i="1"/>
  <c r="M977" i="1"/>
  <c r="N977" i="1" s="1"/>
  <c r="O977" i="1" s="1"/>
  <c r="S977" i="1" s="1"/>
  <c r="V976" i="1"/>
  <c r="P976" i="1"/>
  <c r="N976" i="1"/>
  <c r="O976" i="1" s="1"/>
  <c r="M976" i="1"/>
  <c r="V975" i="1"/>
  <c r="R975" i="1"/>
  <c r="P975" i="1"/>
  <c r="M975" i="1"/>
  <c r="N975" i="1" s="1"/>
  <c r="O975" i="1" s="1"/>
  <c r="V974" i="1"/>
  <c r="P974" i="1"/>
  <c r="N974" i="1"/>
  <c r="O974" i="1" s="1"/>
  <c r="S974" i="1" s="1"/>
  <c r="M974" i="1"/>
  <c r="V973" i="1"/>
  <c r="R973" i="1"/>
  <c r="P973" i="1"/>
  <c r="M973" i="1"/>
  <c r="N973" i="1" s="1"/>
  <c r="O973" i="1" s="1"/>
  <c r="V972" i="1"/>
  <c r="P972" i="1"/>
  <c r="M972" i="1"/>
  <c r="N972" i="1" s="1"/>
  <c r="O972" i="1" s="1"/>
  <c r="S972" i="1" s="1"/>
  <c r="V971" i="1"/>
  <c r="R971" i="1"/>
  <c r="P971" i="1"/>
  <c r="O971" i="1"/>
  <c r="S971" i="1" s="1"/>
  <c r="M971" i="1"/>
  <c r="N971" i="1" s="1"/>
  <c r="V970" i="1"/>
  <c r="P970" i="1"/>
  <c r="N970" i="1"/>
  <c r="O970" i="1" s="1"/>
  <c r="M970" i="1"/>
  <c r="V969" i="1"/>
  <c r="R969" i="1"/>
  <c r="P969" i="1"/>
  <c r="M969" i="1"/>
  <c r="N969" i="1" s="1"/>
  <c r="O969" i="1" s="1"/>
  <c r="S969" i="1" s="1"/>
  <c r="V968" i="1"/>
  <c r="P968" i="1"/>
  <c r="N968" i="1"/>
  <c r="O968" i="1" s="1"/>
  <c r="M968" i="1"/>
  <c r="V967" i="1"/>
  <c r="R967" i="1"/>
  <c r="P967" i="1"/>
  <c r="M967" i="1"/>
  <c r="N967" i="1" s="1"/>
  <c r="O967" i="1" s="1"/>
  <c r="V966" i="1"/>
  <c r="P966" i="1"/>
  <c r="O966" i="1"/>
  <c r="S966" i="1" s="1"/>
  <c r="N966" i="1"/>
  <c r="M966" i="1"/>
  <c r="V965" i="1"/>
  <c r="R965" i="1"/>
  <c r="P965" i="1"/>
  <c r="M965" i="1"/>
  <c r="N965" i="1" s="1"/>
  <c r="O965" i="1" s="1"/>
  <c r="V964" i="1"/>
  <c r="P964" i="1"/>
  <c r="M964" i="1"/>
  <c r="N964" i="1" s="1"/>
  <c r="O964" i="1" s="1"/>
  <c r="S964" i="1" s="1"/>
  <c r="V963" i="1"/>
  <c r="R963" i="1"/>
  <c r="P963" i="1"/>
  <c r="O963" i="1"/>
  <c r="S963" i="1" s="1"/>
  <c r="M963" i="1"/>
  <c r="N963" i="1" s="1"/>
  <c r="V962" i="1"/>
  <c r="P962" i="1"/>
  <c r="N962" i="1"/>
  <c r="O962" i="1" s="1"/>
  <c r="M962" i="1"/>
  <c r="V961" i="1"/>
  <c r="R961" i="1"/>
  <c r="P961" i="1"/>
  <c r="M961" i="1"/>
  <c r="N961" i="1" s="1"/>
  <c r="O961" i="1" s="1"/>
  <c r="S961" i="1" s="1"/>
  <c r="V960" i="1"/>
  <c r="P960" i="1"/>
  <c r="N960" i="1"/>
  <c r="O960" i="1" s="1"/>
  <c r="M960" i="1"/>
  <c r="V959" i="1"/>
  <c r="R959" i="1"/>
  <c r="P959" i="1"/>
  <c r="M959" i="1"/>
  <c r="N959" i="1" s="1"/>
  <c r="O959" i="1" s="1"/>
  <c r="V958" i="1"/>
  <c r="P958" i="1"/>
  <c r="N958" i="1"/>
  <c r="O958" i="1" s="1"/>
  <c r="S958" i="1" s="1"/>
  <c r="M958" i="1"/>
  <c r="V957" i="1"/>
  <c r="R957" i="1"/>
  <c r="P957" i="1"/>
  <c r="M957" i="1"/>
  <c r="N957" i="1" s="1"/>
  <c r="O957" i="1" s="1"/>
  <c r="V956" i="1"/>
  <c r="P956" i="1"/>
  <c r="N956" i="1"/>
  <c r="O956" i="1" s="1"/>
  <c r="S956" i="1" s="1"/>
  <c r="M956" i="1"/>
  <c r="V955" i="1"/>
  <c r="R955" i="1"/>
  <c r="P955" i="1"/>
  <c r="O955" i="1"/>
  <c r="S955" i="1" s="1"/>
  <c r="M955" i="1"/>
  <c r="N955" i="1" s="1"/>
  <c r="V954" i="1"/>
  <c r="S954" i="1"/>
  <c r="P954" i="1"/>
  <c r="N954" i="1"/>
  <c r="O954" i="1" s="1"/>
  <c r="M954" i="1"/>
  <c r="V953" i="1"/>
  <c r="S953" i="1"/>
  <c r="R953" i="1"/>
  <c r="P953" i="1"/>
  <c r="O953" i="1"/>
  <c r="M953" i="1"/>
  <c r="N953" i="1" s="1"/>
  <c r="V952" i="1"/>
  <c r="P952" i="1"/>
  <c r="O952" i="1"/>
  <c r="N952" i="1"/>
  <c r="M952" i="1"/>
  <c r="V951" i="1"/>
  <c r="R951" i="1"/>
  <c r="P951" i="1"/>
  <c r="N951" i="1"/>
  <c r="O951" i="1" s="1"/>
  <c r="M951" i="1"/>
  <c r="V950" i="1"/>
  <c r="S950" i="1"/>
  <c r="P950" i="1"/>
  <c r="M950" i="1"/>
  <c r="N950" i="1" s="1"/>
  <c r="O950" i="1" s="1"/>
  <c r="V949" i="1"/>
  <c r="R949" i="1"/>
  <c r="P949" i="1"/>
  <c r="O949" i="1"/>
  <c r="S949" i="1" s="1"/>
  <c r="N949" i="1"/>
  <c r="M949" i="1"/>
  <c r="V948" i="1"/>
  <c r="R948" i="1"/>
  <c r="P948" i="1"/>
  <c r="M948" i="1"/>
  <c r="N948" i="1" s="1"/>
  <c r="O948" i="1" s="1"/>
  <c r="S948" i="1" s="1"/>
  <c r="V947" i="1"/>
  <c r="P947" i="1"/>
  <c r="O947" i="1"/>
  <c r="M947" i="1"/>
  <c r="N947" i="1" s="1"/>
  <c r="V946" i="1"/>
  <c r="R946" i="1"/>
  <c r="P946" i="1"/>
  <c r="N946" i="1"/>
  <c r="O946" i="1" s="1"/>
  <c r="S946" i="1" s="1"/>
  <c r="M946" i="1"/>
  <c r="V945" i="1"/>
  <c r="R945" i="1"/>
  <c r="P945" i="1"/>
  <c r="M945" i="1"/>
  <c r="N945" i="1" s="1"/>
  <c r="O945" i="1" s="1"/>
  <c r="S945" i="1" s="1"/>
  <c r="V944" i="1"/>
  <c r="P944" i="1"/>
  <c r="M944" i="1"/>
  <c r="N944" i="1" s="1"/>
  <c r="O944" i="1" s="1"/>
  <c r="V943" i="1"/>
  <c r="P943" i="1"/>
  <c r="O943" i="1"/>
  <c r="N943" i="1"/>
  <c r="M943" i="1"/>
  <c r="V942" i="1"/>
  <c r="S942" i="1"/>
  <c r="R942" i="1"/>
  <c r="P942" i="1"/>
  <c r="M942" i="1"/>
  <c r="N942" i="1" s="1"/>
  <c r="O942" i="1" s="1"/>
  <c r="V941" i="1"/>
  <c r="R941" i="1"/>
  <c r="P941" i="1"/>
  <c r="M941" i="1"/>
  <c r="N941" i="1" s="1"/>
  <c r="O941" i="1" s="1"/>
  <c r="V940" i="1"/>
  <c r="P940" i="1"/>
  <c r="M940" i="1"/>
  <c r="N940" i="1" s="1"/>
  <c r="O940" i="1" s="1"/>
  <c r="V939" i="1"/>
  <c r="S939" i="1"/>
  <c r="P939" i="1"/>
  <c r="O939" i="1"/>
  <c r="N939" i="1"/>
  <c r="M939" i="1"/>
  <c r="V938" i="1"/>
  <c r="R938" i="1"/>
  <c r="P938" i="1"/>
  <c r="N938" i="1"/>
  <c r="O938" i="1" s="1"/>
  <c r="S938" i="1" s="1"/>
  <c r="M938" i="1"/>
  <c r="V937" i="1"/>
  <c r="S937" i="1"/>
  <c r="P937" i="1"/>
  <c r="M937" i="1"/>
  <c r="N937" i="1" s="1"/>
  <c r="O937" i="1" s="1"/>
  <c r="V936" i="1"/>
  <c r="R936" i="1"/>
  <c r="P936" i="1"/>
  <c r="M936" i="1"/>
  <c r="N936" i="1" s="1"/>
  <c r="O936" i="1" s="1"/>
  <c r="V935" i="1"/>
  <c r="P935" i="1"/>
  <c r="O935" i="1"/>
  <c r="N935" i="1"/>
  <c r="M935" i="1"/>
  <c r="V934" i="1"/>
  <c r="R934" i="1"/>
  <c r="P934" i="1"/>
  <c r="M934" i="1"/>
  <c r="N934" i="1" s="1"/>
  <c r="O934" i="1" s="1"/>
  <c r="S934" i="1" s="1"/>
  <c r="V933" i="1"/>
  <c r="P933" i="1"/>
  <c r="M933" i="1"/>
  <c r="N933" i="1" s="1"/>
  <c r="O933" i="1" s="1"/>
  <c r="V932" i="1"/>
  <c r="P932" i="1"/>
  <c r="O932" i="1"/>
  <c r="M932" i="1"/>
  <c r="N932" i="1" s="1"/>
  <c r="V931" i="1"/>
  <c r="P931" i="1"/>
  <c r="N931" i="1"/>
  <c r="O931" i="1" s="1"/>
  <c r="S931" i="1" s="1"/>
  <c r="M931" i="1"/>
  <c r="V930" i="1"/>
  <c r="R930" i="1"/>
  <c r="P930" i="1"/>
  <c r="M930" i="1"/>
  <c r="N930" i="1" s="1"/>
  <c r="O930" i="1" s="1"/>
  <c r="S930" i="1" s="1"/>
  <c r="V929" i="1"/>
  <c r="S929" i="1"/>
  <c r="R929" i="1"/>
  <c r="P929" i="1"/>
  <c r="M929" i="1"/>
  <c r="N929" i="1" s="1"/>
  <c r="O929" i="1" s="1"/>
  <c r="V928" i="1"/>
  <c r="P928" i="1"/>
  <c r="M928" i="1"/>
  <c r="N928" i="1" s="1"/>
  <c r="O928" i="1" s="1"/>
  <c r="V927" i="1"/>
  <c r="P927" i="1"/>
  <c r="O927" i="1"/>
  <c r="N927" i="1"/>
  <c r="M927" i="1"/>
  <c r="V926" i="1"/>
  <c r="R926" i="1"/>
  <c r="P926" i="1"/>
  <c r="N926" i="1"/>
  <c r="O926" i="1" s="1"/>
  <c r="S926" i="1" s="1"/>
  <c r="M926" i="1"/>
  <c r="V925" i="1"/>
  <c r="P925" i="1"/>
  <c r="N925" i="1"/>
  <c r="O925" i="1" s="1"/>
  <c r="M925" i="1"/>
  <c r="V924" i="1"/>
  <c r="P924" i="1"/>
  <c r="M924" i="1"/>
  <c r="N924" i="1" s="1"/>
  <c r="O924" i="1" s="1"/>
  <c r="V923" i="1"/>
  <c r="P923" i="1"/>
  <c r="N923" i="1"/>
  <c r="O923" i="1" s="1"/>
  <c r="S923" i="1" s="1"/>
  <c r="M923" i="1"/>
  <c r="V922" i="1"/>
  <c r="R922" i="1"/>
  <c r="P922" i="1"/>
  <c r="N922" i="1"/>
  <c r="O922" i="1" s="1"/>
  <c r="S922" i="1" s="1"/>
  <c r="M922" i="1"/>
  <c r="V921" i="1"/>
  <c r="S921" i="1"/>
  <c r="P921" i="1"/>
  <c r="M921" i="1"/>
  <c r="N921" i="1" s="1"/>
  <c r="O921" i="1" s="1"/>
  <c r="V920" i="1"/>
  <c r="R920" i="1"/>
  <c r="P920" i="1"/>
  <c r="M920" i="1"/>
  <c r="N920" i="1" s="1"/>
  <c r="O920" i="1" s="1"/>
  <c r="V919" i="1"/>
  <c r="P919" i="1"/>
  <c r="N919" i="1"/>
  <c r="O919" i="1" s="1"/>
  <c r="M919" i="1"/>
  <c r="V918" i="1"/>
  <c r="R918" i="1"/>
  <c r="P918" i="1"/>
  <c r="N918" i="1"/>
  <c r="O918" i="1" s="1"/>
  <c r="S918" i="1" s="1"/>
  <c r="M918" i="1"/>
  <c r="V917" i="1"/>
  <c r="P917" i="1"/>
  <c r="M917" i="1"/>
  <c r="N917" i="1" s="1"/>
  <c r="O917" i="1" s="1"/>
  <c r="V916" i="1"/>
  <c r="P916" i="1"/>
  <c r="O916" i="1"/>
  <c r="M916" i="1"/>
  <c r="N916" i="1" s="1"/>
  <c r="V915" i="1"/>
  <c r="P915" i="1"/>
  <c r="N915" i="1"/>
  <c r="O915" i="1" s="1"/>
  <c r="S915" i="1" s="1"/>
  <c r="M915" i="1"/>
  <c r="V914" i="1"/>
  <c r="R914" i="1"/>
  <c r="P914" i="1"/>
  <c r="M914" i="1"/>
  <c r="N914" i="1" s="1"/>
  <c r="O914" i="1" s="1"/>
  <c r="S914" i="1" s="1"/>
  <c r="V913" i="1"/>
  <c r="S913" i="1"/>
  <c r="R913" i="1"/>
  <c r="P913" i="1"/>
  <c r="M913" i="1"/>
  <c r="N913" i="1" s="1"/>
  <c r="O913" i="1" s="1"/>
  <c r="V912" i="1"/>
  <c r="P912" i="1"/>
  <c r="M912" i="1"/>
  <c r="N912" i="1" s="1"/>
  <c r="O912" i="1" s="1"/>
  <c r="V911" i="1"/>
  <c r="P911" i="1"/>
  <c r="O911" i="1"/>
  <c r="N911" i="1"/>
  <c r="M911" i="1"/>
  <c r="V910" i="1"/>
  <c r="R910" i="1"/>
  <c r="P910" i="1"/>
  <c r="N910" i="1"/>
  <c r="O910" i="1" s="1"/>
  <c r="S910" i="1" s="1"/>
  <c r="M910" i="1"/>
  <c r="V909" i="1"/>
  <c r="P909" i="1"/>
  <c r="N909" i="1"/>
  <c r="O909" i="1" s="1"/>
  <c r="M909" i="1"/>
  <c r="V908" i="1"/>
  <c r="P908" i="1"/>
  <c r="M908" i="1"/>
  <c r="N908" i="1" s="1"/>
  <c r="O908" i="1" s="1"/>
  <c r="V907" i="1"/>
  <c r="S907" i="1"/>
  <c r="P907" i="1"/>
  <c r="Q907" i="1" s="1"/>
  <c r="N907" i="1"/>
  <c r="O907" i="1" s="1"/>
  <c r="M907" i="1"/>
  <c r="V906" i="1"/>
  <c r="R906" i="1"/>
  <c r="P906" i="1"/>
  <c r="M906" i="1"/>
  <c r="N906" i="1" s="1"/>
  <c r="O906" i="1" s="1"/>
  <c r="S906" i="1" s="1"/>
  <c r="V905" i="1"/>
  <c r="P905" i="1"/>
  <c r="M905" i="1"/>
  <c r="N905" i="1" s="1"/>
  <c r="O905" i="1" s="1"/>
  <c r="V904" i="1"/>
  <c r="P904" i="1"/>
  <c r="M904" i="1"/>
  <c r="N904" i="1" s="1"/>
  <c r="O904" i="1" s="1"/>
  <c r="V903" i="1"/>
  <c r="S903" i="1"/>
  <c r="P903" i="1"/>
  <c r="N903" i="1"/>
  <c r="O903" i="1" s="1"/>
  <c r="M903" i="1"/>
  <c r="V902" i="1"/>
  <c r="R902" i="1"/>
  <c r="P902" i="1"/>
  <c r="M902" i="1"/>
  <c r="N902" i="1" s="1"/>
  <c r="O902" i="1" s="1"/>
  <c r="S902" i="1" s="1"/>
  <c r="V901" i="1"/>
  <c r="P901" i="1"/>
  <c r="N901" i="1"/>
  <c r="O901" i="1" s="1"/>
  <c r="M901" i="1"/>
  <c r="V900" i="1"/>
  <c r="P900" i="1"/>
  <c r="M900" i="1"/>
  <c r="N900" i="1" s="1"/>
  <c r="O900" i="1" s="1"/>
  <c r="V899" i="1"/>
  <c r="P899" i="1"/>
  <c r="N899" i="1"/>
  <c r="O899" i="1" s="1"/>
  <c r="S899" i="1" s="1"/>
  <c r="M899" i="1"/>
  <c r="V898" i="1"/>
  <c r="R898" i="1"/>
  <c r="P898" i="1"/>
  <c r="O898" i="1"/>
  <c r="S898" i="1" s="1"/>
  <c r="M898" i="1"/>
  <c r="N898" i="1" s="1"/>
  <c r="V897" i="1"/>
  <c r="P897" i="1"/>
  <c r="N897" i="1"/>
  <c r="O897" i="1" s="1"/>
  <c r="M897" i="1"/>
  <c r="V896" i="1"/>
  <c r="R896" i="1"/>
  <c r="P896" i="1"/>
  <c r="M896" i="1"/>
  <c r="N896" i="1" s="1"/>
  <c r="O896" i="1" s="1"/>
  <c r="Q896" i="1" s="1"/>
  <c r="V895" i="1"/>
  <c r="R895" i="1"/>
  <c r="P895" i="1"/>
  <c r="N895" i="1"/>
  <c r="O895" i="1" s="1"/>
  <c r="M895" i="1"/>
  <c r="V894" i="1"/>
  <c r="Q894" i="1"/>
  <c r="P894" i="1"/>
  <c r="M894" i="1"/>
  <c r="N894" i="1" s="1"/>
  <c r="O894" i="1" s="1"/>
  <c r="V893" i="1"/>
  <c r="P893" i="1"/>
  <c r="M893" i="1"/>
  <c r="N893" i="1" s="1"/>
  <c r="O893" i="1" s="1"/>
  <c r="V892" i="1"/>
  <c r="R892" i="1"/>
  <c r="P892" i="1"/>
  <c r="M892" i="1"/>
  <c r="N892" i="1" s="1"/>
  <c r="O892" i="1" s="1"/>
  <c r="Q892" i="1" s="1"/>
  <c r="V891" i="1"/>
  <c r="R891" i="1"/>
  <c r="P891" i="1"/>
  <c r="N891" i="1"/>
  <c r="O891" i="1" s="1"/>
  <c r="M891" i="1"/>
  <c r="V890" i="1"/>
  <c r="P890" i="1"/>
  <c r="M890" i="1"/>
  <c r="N890" i="1" s="1"/>
  <c r="O890" i="1" s="1"/>
  <c r="Q890" i="1" s="1"/>
  <c r="V889" i="1"/>
  <c r="P889" i="1"/>
  <c r="M889" i="1"/>
  <c r="N889" i="1" s="1"/>
  <c r="O889" i="1" s="1"/>
  <c r="V888" i="1"/>
  <c r="R888" i="1"/>
  <c r="P888" i="1"/>
  <c r="M888" i="1"/>
  <c r="N888" i="1" s="1"/>
  <c r="O888" i="1" s="1"/>
  <c r="Q888" i="1" s="1"/>
  <c r="V887" i="1"/>
  <c r="R887" i="1"/>
  <c r="P887" i="1"/>
  <c r="N887" i="1"/>
  <c r="O887" i="1" s="1"/>
  <c r="M887" i="1"/>
  <c r="V886" i="1"/>
  <c r="P886" i="1"/>
  <c r="M886" i="1"/>
  <c r="N886" i="1" s="1"/>
  <c r="O886" i="1" s="1"/>
  <c r="V885" i="1"/>
  <c r="P885" i="1"/>
  <c r="M885" i="1"/>
  <c r="N885" i="1" s="1"/>
  <c r="O885" i="1" s="1"/>
  <c r="V884" i="1"/>
  <c r="R884" i="1"/>
  <c r="P884" i="1"/>
  <c r="M884" i="1"/>
  <c r="N884" i="1" s="1"/>
  <c r="O884" i="1" s="1"/>
  <c r="Q884" i="1" s="1"/>
  <c r="V883" i="1"/>
  <c r="R883" i="1"/>
  <c r="P883" i="1"/>
  <c r="N883" i="1"/>
  <c r="O883" i="1" s="1"/>
  <c r="M883" i="1"/>
  <c r="V882" i="1"/>
  <c r="Q882" i="1"/>
  <c r="P882" i="1"/>
  <c r="M882" i="1"/>
  <c r="N882" i="1" s="1"/>
  <c r="O882" i="1" s="1"/>
  <c r="V881" i="1"/>
  <c r="P881" i="1"/>
  <c r="N881" i="1"/>
  <c r="O881" i="1" s="1"/>
  <c r="M881" i="1"/>
  <c r="V880" i="1"/>
  <c r="R880" i="1"/>
  <c r="P880" i="1"/>
  <c r="M880" i="1"/>
  <c r="N880" i="1" s="1"/>
  <c r="O880" i="1" s="1"/>
  <c r="Q880" i="1" s="1"/>
  <c r="V879" i="1"/>
  <c r="R879" i="1"/>
  <c r="P879" i="1"/>
  <c r="N879" i="1"/>
  <c r="O879" i="1" s="1"/>
  <c r="M879" i="1"/>
  <c r="V878" i="1"/>
  <c r="Q878" i="1"/>
  <c r="P878" i="1"/>
  <c r="M878" i="1"/>
  <c r="N878" i="1" s="1"/>
  <c r="O878" i="1" s="1"/>
  <c r="V877" i="1"/>
  <c r="P877" i="1"/>
  <c r="N877" i="1"/>
  <c r="O877" i="1" s="1"/>
  <c r="M877" i="1"/>
  <c r="V876" i="1"/>
  <c r="R876" i="1"/>
  <c r="P876" i="1"/>
  <c r="M876" i="1"/>
  <c r="N876" i="1" s="1"/>
  <c r="O876" i="1" s="1"/>
  <c r="Q876" i="1" s="1"/>
  <c r="V875" i="1"/>
  <c r="R875" i="1"/>
  <c r="P875" i="1"/>
  <c r="N875" i="1"/>
  <c r="O875" i="1" s="1"/>
  <c r="M875" i="1"/>
  <c r="V874" i="1"/>
  <c r="P874" i="1"/>
  <c r="M874" i="1"/>
  <c r="N874" i="1" s="1"/>
  <c r="O874" i="1" s="1"/>
  <c r="V873" i="1"/>
  <c r="P873" i="1"/>
  <c r="M873" i="1"/>
  <c r="N873" i="1" s="1"/>
  <c r="O873" i="1" s="1"/>
  <c r="V872" i="1"/>
  <c r="R872" i="1"/>
  <c r="P872" i="1"/>
  <c r="M872" i="1"/>
  <c r="N872" i="1" s="1"/>
  <c r="O872" i="1" s="1"/>
  <c r="Q872" i="1" s="1"/>
  <c r="V871" i="1"/>
  <c r="R871" i="1"/>
  <c r="P871" i="1"/>
  <c r="N871" i="1"/>
  <c r="O871" i="1" s="1"/>
  <c r="M871" i="1"/>
  <c r="V870" i="1"/>
  <c r="P870" i="1"/>
  <c r="M870" i="1"/>
  <c r="N870" i="1" s="1"/>
  <c r="O870" i="1" s="1"/>
  <c r="V869" i="1"/>
  <c r="P869" i="1"/>
  <c r="N869" i="1"/>
  <c r="O869" i="1" s="1"/>
  <c r="M869" i="1"/>
  <c r="V868" i="1"/>
  <c r="R868" i="1"/>
  <c r="P868" i="1"/>
  <c r="M868" i="1"/>
  <c r="N868" i="1" s="1"/>
  <c r="O868" i="1" s="1"/>
  <c r="Q868" i="1" s="1"/>
  <c r="V867" i="1"/>
  <c r="R867" i="1"/>
  <c r="P867" i="1"/>
  <c r="N867" i="1"/>
  <c r="O867" i="1" s="1"/>
  <c r="M867" i="1"/>
  <c r="V866" i="1"/>
  <c r="P866" i="1"/>
  <c r="M866" i="1"/>
  <c r="N866" i="1" s="1"/>
  <c r="O866" i="1" s="1"/>
  <c r="V865" i="1"/>
  <c r="P865" i="1"/>
  <c r="N865" i="1"/>
  <c r="O865" i="1" s="1"/>
  <c r="M865" i="1"/>
  <c r="V864" i="1"/>
  <c r="R864" i="1"/>
  <c r="P864" i="1"/>
  <c r="M864" i="1"/>
  <c r="N864" i="1" s="1"/>
  <c r="O864" i="1" s="1"/>
  <c r="Q864" i="1" s="1"/>
  <c r="V863" i="1"/>
  <c r="R863" i="1"/>
  <c r="P863" i="1"/>
  <c r="N863" i="1"/>
  <c r="O863" i="1" s="1"/>
  <c r="M863" i="1"/>
  <c r="V862" i="1"/>
  <c r="Q862" i="1"/>
  <c r="P862" i="1"/>
  <c r="M862" i="1"/>
  <c r="N862" i="1" s="1"/>
  <c r="O862" i="1" s="1"/>
  <c r="V861" i="1"/>
  <c r="P861" i="1"/>
  <c r="M861" i="1"/>
  <c r="N861" i="1" s="1"/>
  <c r="O861" i="1" s="1"/>
  <c r="V860" i="1"/>
  <c r="R860" i="1"/>
  <c r="P860" i="1"/>
  <c r="M860" i="1"/>
  <c r="N860" i="1" s="1"/>
  <c r="O860" i="1" s="1"/>
  <c r="Q860" i="1" s="1"/>
  <c r="V859" i="1"/>
  <c r="R859" i="1"/>
  <c r="P859" i="1"/>
  <c r="N859" i="1"/>
  <c r="O859" i="1" s="1"/>
  <c r="M859" i="1"/>
  <c r="V858" i="1"/>
  <c r="P858" i="1"/>
  <c r="M858" i="1"/>
  <c r="N858" i="1" s="1"/>
  <c r="O858" i="1" s="1"/>
  <c r="Q858" i="1" s="1"/>
  <c r="V857" i="1"/>
  <c r="P857" i="1"/>
  <c r="M857" i="1"/>
  <c r="N857" i="1" s="1"/>
  <c r="O857" i="1" s="1"/>
  <c r="V856" i="1"/>
  <c r="R856" i="1"/>
  <c r="P856" i="1"/>
  <c r="M856" i="1"/>
  <c r="N856" i="1" s="1"/>
  <c r="O856" i="1" s="1"/>
  <c r="Q856" i="1" s="1"/>
  <c r="V855" i="1"/>
  <c r="R855" i="1"/>
  <c r="P855" i="1"/>
  <c r="N855" i="1"/>
  <c r="O855" i="1" s="1"/>
  <c r="M855" i="1"/>
  <c r="V854" i="1"/>
  <c r="P854" i="1"/>
  <c r="M854" i="1"/>
  <c r="N854" i="1" s="1"/>
  <c r="O854" i="1" s="1"/>
  <c r="V853" i="1"/>
  <c r="P853" i="1"/>
  <c r="M853" i="1"/>
  <c r="N853" i="1" s="1"/>
  <c r="O853" i="1" s="1"/>
  <c r="V852" i="1"/>
  <c r="R852" i="1"/>
  <c r="P852" i="1"/>
  <c r="M852" i="1"/>
  <c r="N852" i="1" s="1"/>
  <c r="O852" i="1" s="1"/>
  <c r="Q852" i="1" s="1"/>
  <c r="V851" i="1"/>
  <c r="R851" i="1"/>
  <c r="P851" i="1"/>
  <c r="N851" i="1"/>
  <c r="O851" i="1" s="1"/>
  <c r="M851" i="1"/>
  <c r="V850" i="1"/>
  <c r="Q850" i="1"/>
  <c r="P850" i="1"/>
  <c r="M850" i="1"/>
  <c r="N850" i="1" s="1"/>
  <c r="O850" i="1" s="1"/>
  <c r="V849" i="1"/>
  <c r="P849" i="1"/>
  <c r="N849" i="1"/>
  <c r="O849" i="1" s="1"/>
  <c r="M849" i="1"/>
  <c r="V848" i="1"/>
  <c r="R848" i="1"/>
  <c r="P848" i="1"/>
  <c r="M848" i="1"/>
  <c r="N848" i="1" s="1"/>
  <c r="O848" i="1" s="1"/>
  <c r="Q848" i="1" s="1"/>
  <c r="V847" i="1"/>
  <c r="R847" i="1"/>
  <c r="P847" i="1"/>
  <c r="N847" i="1"/>
  <c r="O847" i="1" s="1"/>
  <c r="M847" i="1"/>
  <c r="V846" i="1"/>
  <c r="Q846" i="1"/>
  <c r="P846" i="1"/>
  <c r="M846" i="1"/>
  <c r="N846" i="1" s="1"/>
  <c r="O846" i="1" s="1"/>
  <c r="V845" i="1"/>
  <c r="P845" i="1"/>
  <c r="N845" i="1"/>
  <c r="O845" i="1" s="1"/>
  <c r="M845" i="1"/>
  <c r="V844" i="1"/>
  <c r="R844" i="1"/>
  <c r="P844" i="1"/>
  <c r="M844" i="1"/>
  <c r="N844" i="1" s="1"/>
  <c r="O844" i="1" s="1"/>
  <c r="Q844" i="1" s="1"/>
  <c r="V843" i="1"/>
  <c r="R843" i="1"/>
  <c r="P843" i="1"/>
  <c r="N843" i="1"/>
  <c r="O843" i="1" s="1"/>
  <c r="M843" i="1"/>
  <c r="V842" i="1"/>
  <c r="P842" i="1"/>
  <c r="M842" i="1"/>
  <c r="N842" i="1" s="1"/>
  <c r="O842" i="1" s="1"/>
  <c r="V841" i="1"/>
  <c r="P841" i="1"/>
  <c r="M841" i="1"/>
  <c r="N841" i="1" s="1"/>
  <c r="O841" i="1" s="1"/>
  <c r="V840" i="1"/>
  <c r="R840" i="1"/>
  <c r="P840" i="1"/>
  <c r="M840" i="1"/>
  <c r="N840" i="1" s="1"/>
  <c r="O840" i="1" s="1"/>
  <c r="Q840" i="1" s="1"/>
  <c r="V839" i="1"/>
  <c r="R839" i="1"/>
  <c r="P839" i="1"/>
  <c r="N839" i="1"/>
  <c r="O839" i="1" s="1"/>
  <c r="M839" i="1"/>
  <c r="V838" i="1"/>
  <c r="P838" i="1"/>
  <c r="M838" i="1"/>
  <c r="N838" i="1" s="1"/>
  <c r="O838" i="1" s="1"/>
  <c r="V837" i="1"/>
  <c r="P837" i="1"/>
  <c r="N837" i="1"/>
  <c r="O837" i="1" s="1"/>
  <c r="M837" i="1"/>
  <c r="V836" i="1"/>
  <c r="R836" i="1"/>
  <c r="P836" i="1"/>
  <c r="M836" i="1"/>
  <c r="N836" i="1" s="1"/>
  <c r="O836" i="1" s="1"/>
  <c r="Q836" i="1" s="1"/>
  <c r="V835" i="1"/>
  <c r="R835" i="1"/>
  <c r="P835" i="1"/>
  <c r="N835" i="1"/>
  <c r="O835" i="1" s="1"/>
  <c r="M835" i="1"/>
  <c r="V834" i="1"/>
  <c r="Q834" i="1"/>
  <c r="P834" i="1"/>
  <c r="M834" i="1"/>
  <c r="N834" i="1" s="1"/>
  <c r="O834" i="1" s="1"/>
  <c r="V833" i="1"/>
  <c r="P833" i="1"/>
  <c r="N833" i="1"/>
  <c r="O833" i="1" s="1"/>
  <c r="M833" i="1"/>
  <c r="V832" i="1"/>
  <c r="R832" i="1"/>
  <c r="P832" i="1"/>
  <c r="M832" i="1"/>
  <c r="N832" i="1" s="1"/>
  <c r="O832" i="1" s="1"/>
  <c r="Q832" i="1" s="1"/>
  <c r="V831" i="1"/>
  <c r="R831" i="1"/>
  <c r="P831" i="1"/>
  <c r="N831" i="1"/>
  <c r="O831" i="1" s="1"/>
  <c r="M831" i="1"/>
  <c r="V830" i="1"/>
  <c r="Q830" i="1"/>
  <c r="P830" i="1"/>
  <c r="M830" i="1"/>
  <c r="N830" i="1" s="1"/>
  <c r="O830" i="1" s="1"/>
  <c r="V829" i="1"/>
  <c r="P829" i="1"/>
  <c r="M829" i="1"/>
  <c r="N829" i="1" s="1"/>
  <c r="O829" i="1" s="1"/>
  <c r="V828" i="1"/>
  <c r="R828" i="1"/>
  <c r="P828" i="1"/>
  <c r="M828" i="1"/>
  <c r="N828" i="1" s="1"/>
  <c r="O828" i="1" s="1"/>
  <c r="Q828" i="1" s="1"/>
  <c r="V827" i="1"/>
  <c r="R827" i="1"/>
  <c r="P827" i="1"/>
  <c r="N827" i="1"/>
  <c r="O827" i="1" s="1"/>
  <c r="M827" i="1"/>
  <c r="V826" i="1"/>
  <c r="P826" i="1"/>
  <c r="M826" i="1"/>
  <c r="N826" i="1" s="1"/>
  <c r="O826" i="1" s="1"/>
  <c r="Q826" i="1" s="1"/>
  <c r="V825" i="1"/>
  <c r="P825" i="1"/>
  <c r="M825" i="1"/>
  <c r="N825" i="1" s="1"/>
  <c r="O825" i="1" s="1"/>
  <c r="V824" i="1"/>
  <c r="R824" i="1"/>
  <c r="P824" i="1"/>
  <c r="M824" i="1"/>
  <c r="N824" i="1" s="1"/>
  <c r="O824" i="1" s="1"/>
  <c r="Q824" i="1" s="1"/>
  <c r="V823" i="1"/>
  <c r="R823" i="1"/>
  <c r="P823" i="1"/>
  <c r="N823" i="1"/>
  <c r="O823" i="1" s="1"/>
  <c r="M823" i="1"/>
  <c r="V822" i="1"/>
  <c r="P822" i="1"/>
  <c r="M822" i="1"/>
  <c r="N822" i="1" s="1"/>
  <c r="O822" i="1" s="1"/>
  <c r="V821" i="1"/>
  <c r="P821" i="1"/>
  <c r="M821" i="1"/>
  <c r="N821" i="1" s="1"/>
  <c r="O821" i="1" s="1"/>
  <c r="V820" i="1"/>
  <c r="R820" i="1"/>
  <c r="Q820" i="1"/>
  <c r="P820" i="1"/>
  <c r="M820" i="1"/>
  <c r="N820" i="1" s="1"/>
  <c r="O820" i="1" s="1"/>
  <c r="V819" i="1"/>
  <c r="R819" i="1"/>
  <c r="P819" i="1"/>
  <c r="N819" i="1"/>
  <c r="O819" i="1" s="1"/>
  <c r="M819" i="1"/>
  <c r="V818" i="1"/>
  <c r="Q818" i="1"/>
  <c r="P818" i="1"/>
  <c r="M818" i="1"/>
  <c r="N818" i="1" s="1"/>
  <c r="O818" i="1" s="1"/>
  <c r="V817" i="1"/>
  <c r="P817" i="1"/>
  <c r="N817" i="1"/>
  <c r="O817" i="1" s="1"/>
  <c r="M817" i="1"/>
  <c r="V816" i="1"/>
  <c r="R816" i="1"/>
  <c r="P816" i="1"/>
  <c r="M816" i="1"/>
  <c r="N816" i="1" s="1"/>
  <c r="O816" i="1" s="1"/>
  <c r="Q816" i="1" s="1"/>
  <c r="V815" i="1"/>
  <c r="R815" i="1"/>
  <c r="P815" i="1"/>
  <c r="N815" i="1"/>
  <c r="O815" i="1" s="1"/>
  <c r="M815" i="1"/>
  <c r="V814" i="1"/>
  <c r="P814" i="1"/>
  <c r="M814" i="1"/>
  <c r="N814" i="1" s="1"/>
  <c r="O814" i="1" s="1"/>
  <c r="V813" i="1"/>
  <c r="P813" i="1"/>
  <c r="N813" i="1"/>
  <c r="O813" i="1" s="1"/>
  <c r="M813" i="1"/>
  <c r="V812" i="1"/>
  <c r="R812" i="1"/>
  <c r="Q812" i="1"/>
  <c r="P812" i="1"/>
  <c r="M812" i="1"/>
  <c r="N812" i="1" s="1"/>
  <c r="O812" i="1" s="1"/>
  <c r="V811" i="1"/>
  <c r="R811" i="1"/>
  <c r="P811" i="1"/>
  <c r="N811" i="1"/>
  <c r="O811" i="1" s="1"/>
  <c r="M811" i="1"/>
  <c r="V810" i="1"/>
  <c r="Q810" i="1"/>
  <c r="P810" i="1"/>
  <c r="M810" i="1"/>
  <c r="N810" i="1" s="1"/>
  <c r="O810" i="1" s="1"/>
  <c r="V809" i="1"/>
  <c r="P809" i="1"/>
  <c r="M809" i="1"/>
  <c r="N809" i="1" s="1"/>
  <c r="O809" i="1" s="1"/>
  <c r="V808" i="1"/>
  <c r="R808" i="1"/>
  <c r="P808" i="1"/>
  <c r="M808" i="1"/>
  <c r="N808" i="1" s="1"/>
  <c r="O808" i="1" s="1"/>
  <c r="Q808" i="1" s="1"/>
  <c r="V807" i="1"/>
  <c r="R807" i="1"/>
  <c r="P807" i="1"/>
  <c r="N807" i="1"/>
  <c r="O807" i="1" s="1"/>
  <c r="M807" i="1"/>
  <c r="V806" i="1"/>
  <c r="P806" i="1"/>
  <c r="M806" i="1"/>
  <c r="N806" i="1" s="1"/>
  <c r="O806" i="1" s="1"/>
  <c r="V805" i="1"/>
  <c r="P805" i="1"/>
  <c r="M805" i="1"/>
  <c r="N805" i="1" s="1"/>
  <c r="O805" i="1" s="1"/>
  <c r="V804" i="1"/>
  <c r="R804" i="1"/>
  <c r="Q804" i="1"/>
  <c r="P804" i="1"/>
  <c r="M804" i="1"/>
  <c r="N804" i="1" s="1"/>
  <c r="O804" i="1" s="1"/>
  <c r="V803" i="1"/>
  <c r="R803" i="1"/>
  <c r="P803" i="1"/>
  <c r="N803" i="1"/>
  <c r="O803" i="1" s="1"/>
  <c r="M803" i="1"/>
  <c r="V802" i="1"/>
  <c r="P802" i="1"/>
  <c r="M802" i="1"/>
  <c r="N802" i="1" s="1"/>
  <c r="O802" i="1" s="1"/>
  <c r="Q802" i="1" s="1"/>
  <c r="V801" i="1"/>
  <c r="P801" i="1"/>
  <c r="N801" i="1"/>
  <c r="O801" i="1" s="1"/>
  <c r="M801" i="1"/>
  <c r="V800" i="1"/>
  <c r="R800" i="1"/>
  <c r="P800" i="1"/>
  <c r="M800" i="1"/>
  <c r="N800" i="1" s="1"/>
  <c r="O800" i="1" s="1"/>
  <c r="Q800" i="1" s="1"/>
  <c r="V799" i="1"/>
  <c r="R799" i="1"/>
  <c r="P799" i="1"/>
  <c r="N799" i="1"/>
  <c r="O799" i="1" s="1"/>
  <c r="M799" i="1"/>
  <c r="V798" i="1"/>
  <c r="P798" i="1"/>
  <c r="M798" i="1"/>
  <c r="N798" i="1" s="1"/>
  <c r="O798" i="1" s="1"/>
  <c r="V797" i="1"/>
  <c r="P797" i="1"/>
  <c r="N797" i="1"/>
  <c r="O797" i="1" s="1"/>
  <c r="M797" i="1"/>
  <c r="V796" i="1"/>
  <c r="R796" i="1"/>
  <c r="Q796" i="1"/>
  <c r="P796" i="1"/>
  <c r="M796" i="1"/>
  <c r="N796" i="1" s="1"/>
  <c r="O796" i="1" s="1"/>
  <c r="V795" i="1"/>
  <c r="R795" i="1"/>
  <c r="P795" i="1"/>
  <c r="N795" i="1"/>
  <c r="O795" i="1" s="1"/>
  <c r="M795" i="1"/>
  <c r="V794" i="1"/>
  <c r="Q794" i="1"/>
  <c r="P794" i="1"/>
  <c r="M794" i="1"/>
  <c r="N794" i="1" s="1"/>
  <c r="O794" i="1" s="1"/>
  <c r="V793" i="1"/>
  <c r="P793" i="1"/>
  <c r="M793" i="1"/>
  <c r="N793" i="1" s="1"/>
  <c r="O793" i="1" s="1"/>
  <c r="V792" i="1"/>
  <c r="R792" i="1"/>
  <c r="P792" i="1"/>
  <c r="M792" i="1"/>
  <c r="N792" i="1" s="1"/>
  <c r="O792" i="1" s="1"/>
  <c r="Q792" i="1" s="1"/>
  <c r="V791" i="1"/>
  <c r="R791" i="1"/>
  <c r="P791" i="1"/>
  <c r="N791" i="1"/>
  <c r="O791" i="1" s="1"/>
  <c r="M791" i="1"/>
  <c r="V790" i="1"/>
  <c r="P790" i="1"/>
  <c r="M790" i="1"/>
  <c r="N790" i="1" s="1"/>
  <c r="O790" i="1" s="1"/>
  <c r="V789" i="1"/>
  <c r="P789" i="1"/>
  <c r="M789" i="1"/>
  <c r="N789" i="1" s="1"/>
  <c r="O789" i="1" s="1"/>
  <c r="V788" i="1"/>
  <c r="R788" i="1"/>
  <c r="P788" i="1"/>
  <c r="Q788" i="1" s="1"/>
  <c r="M788" i="1"/>
  <c r="N788" i="1" s="1"/>
  <c r="O788" i="1" s="1"/>
  <c r="S788" i="1" s="1"/>
  <c r="V787" i="1"/>
  <c r="R787" i="1"/>
  <c r="Q787" i="1"/>
  <c r="P787" i="1"/>
  <c r="M787" i="1"/>
  <c r="N787" i="1" s="1"/>
  <c r="O787" i="1" s="1"/>
  <c r="S787" i="1" s="1"/>
  <c r="V786" i="1"/>
  <c r="S786" i="1"/>
  <c r="P786" i="1"/>
  <c r="M786" i="1"/>
  <c r="N786" i="1" s="1"/>
  <c r="O786" i="1" s="1"/>
  <c r="V785" i="1"/>
  <c r="S785" i="1"/>
  <c r="R785" i="1"/>
  <c r="P785" i="1"/>
  <c r="Q785" i="1" s="1"/>
  <c r="N785" i="1"/>
  <c r="O785" i="1" s="1"/>
  <c r="M785" i="1"/>
  <c r="V784" i="1"/>
  <c r="R784" i="1"/>
  <c r="P784" i="1"/>
  <c r="M784" i="1"/>
  <c r="N784" i="1" s="1"/>
  <c r="O784" i="1" s="1"/>
  <c r="V783" i="1"/>
  <c r="P783" i="1"/>
  <c r="M783" i="1"/>
  <c r="N783" i="1" s="1"/>
  <c r="O783" i="1" s="1"/>
  <c r="V782" i="1"/>
  <c r="P782" i="1"/>
  <c r="N782" i="1"/>
  <c r="O782" i="1" s="1"/>
  <c r="M782" i="1"/>
  <c r="V781" i="1"/>
  <c r="P781" i="1"/>
  <c r="R781" i="1" s="1"/>
  <c r="N781" i="1"/>
  <c r="O781" i="1" s="1"/>
  <c r="S781" i="1" s="1"/>
  <c r="M781" i="1"/>
  <c r="V780" i="1"/>
  <c r="R780" i="1"/>
  <c r="P780" i="1"/>
  <c r="Q780" i="1" s="1"/>
  <c r="M780" i="1"/>
  <c r="N780" i="1" s="1"/>
  <c r="O780" i="1" s="1"/>
  <c r="S780" i="1" s="1"/>
  <c r="V779" i="1"/>
  <c r="R779" i="1"/>
  <c r="Q779" i="1"/>
  <c r="P779" i="1"/>
  <c r="M779" i="1"/>
  <c r="N779" i="1" s="1"/>
  <c r="O779" i="1" s="1"/>
  <c r="S779" i="1" s="1"/>
  <c r="V778" i="1"/>
  <c r="S778" i="1"/>
  <c r="P778" i="1"/>
  <c r="M778" i="1"/>
  <c r="N778" i="1" s="1"/>
  <c r="O778" i="1" s="1"/>
  <c r="V777" i="1"/>
  <c r="R777" i="1"/>
  <c r="P777" i="1"/>
  <c r="N777" i="1"/>
  <c r="O777" i="1" s="1"/>
  <c r="S777" i="1" s="1"/>
  <c r="M777" i="1"/>
  <c r="V776" i="1"/>
  <c r="R776" i="1"/>
  <c r="Q776" i="1"/>
  <c r="P776" i="1"/>
  <c r="M776" i="1"/>
  <c r="N776" i="1" s="1"/>
  <c r="O776" i="1" s="1"/>
  <c r="S776" i="1" s="1"/>
  <c r="V775" i="1"/>
  <c r="Q775" i="1"/>
  <c r="P775" i="1"/>
  <c r="M775" i="1"/>
  <c r="N775" i="1" s="1"/>
  <c r="O775" i="1" s="1"/>
  <c r="V774" i="1"/>
  <c r="P774" i="1"/>
  <c r="N774" i="1"/>
  <c r="O774" i="1" s="1"/>
  <c r="M774" i="1"/>
  <c r="V773" i="1"/>
  <c r="S773" i="1"/>
  <c r="P773" i="1"/>
  <c r="R773" i="1" s="1"/>
  <c r="N773" i="1"/>
  <c r="O773" i="1" s="1"/>
  <c r="M773" i="1"/>
  <c r="V772" i="1"/>
  <c r="R772" i="1"/>
  <c r="P772" i="1"/>
  <c r="Q772" i="1" s="1"/>
  <c r="M772" i="1"/>
  <c r="N772" i="1" s="1"/>
  <c r="O772" i="1" s="1"/>
  <c r="S772" i="1" s="1"/>
  <c r="V771" i="1"/>
  <c r="R771" i="1"/>
  <c r="P771" i="1"/>
  <c r="M771" i="1"/>
  <c r="N771" i="1" s="1"/>
  <c r="O771" i="1" s="1"/>
  <c r="S771" i="1" s="1"/>
  <c r="V770" i="1"/>
  <c r="P770" i="1"/>
  <c r="M770" i="1"/>
  <c r="N770" i="1" s="1"/>
  <c r="O770" i="1" s="1"/>
  <c r="S770" i="1" s="1"/>
  <c r="V769" i="1"/>
  <c r="S769" i="1"/>
  <c r="R769" i="1"/>
  <c r="P769" i="1"/>
  <c r="Q769" i="1" s="1"/>
  <c r="N769" i="1"/>
  <c r="O769" i="1" s="1"/>
  <c r="M769" i="1"/>
  <c r="V768" i="1"/>
  <c r="R768" i="1"/>
  <c r="Q768" i="1"/>
  <c r="P768" i="1"/>
  <c r="M768" i="1"/>
  <c r="N768" i="1" s="1"/>
  <c r="O768" i="1" s="1"/>
  <c r="S768" i="1" s="1"/>
  <c r="V767" i="1"/>
  <c r="Q767" i="1"/>
  <c r="P767" i="1"/>
  <c r="M767" i="1"/>
  <c r="N767" i="1" s="1"/>
  <c r="O767" i="1" s="1"/>
  <c r="V766" i="1"/>
  <c r="P766" i="1"/>
  <c r="N766" i="1"/>
  <c r="O766" i="1" s="1"/>
  <c r="M766" i="1"/>
  <c r="V765" i="1"/>
  <c r="P765" i="1"/>
  <c r="R765" i="1" s="1"/>
  <c r="M765" i="1"/>
  <c r="N765" i="1" s="1"/>
  <c r="O765" i="1" s="1"/>
  <c r="S765" i="1" s="1"/>
  <c r="V764" i="1"/>
  <c r="R764" i="1"/>
  <c r="P764" i="1"/>
  <c r="M764" i="1"/>
  <c r="N764" i="1" s="1"/>
  <c r="O764" i="1" s="1"/>
  <c r="S764" i="1" s="1"/>
  <c r="V763" i="1"/>
  <c r="R763" i="1"/>
  <c r="P763" i="1"/>
  <c r="M763" i="1"/>
  <c r="N763" i="1" s="1"/>
  <c r="O763" i="1" s="1"/>
  <c r="V762" i="1"/>
  <c r="P762" i="1"/>
  <c r="M762" i="1"/>
  <c r="N762" i="1" s="1"/>
  <c r="O762" i="1" s="1"/>
  <c r="V761" i="1"/>
  <c r="R761" i="1"/>
  <c r="P761" i="1"/>
  <c r="Q761" i="1" s="1"/>
  <c r="N761" i="1"/>
  <c r="O761" i="1" s="1"/>
  <c r="S761" i="1" s="1"/>
  <c r="M761" i="1"/>
  <c r="V760" i="1"/>
  <c r="R760" i="1"/>
  <c r="P760" i="1"/>
  <c r="M760" i="1"/>
  <c r="N760" i="1" s="1"/>
  <c r="O760" i="1" s="1"/>
  <c r="V759" i="1"/>
  <c r="P759" i="1"/>
  <c r="M759" i="1"/>
  <c r="N759" i="1" s="1"/>
  <c r="O759" i="1" s="1"/>
  <c r="Q759" i="1" s="1"/>
  <c r="V758" i="1"/>
  <c r="P758" i="1"/>
  <c r="N758" i="1"/>
  <c r="O758" i="1" s="1"/>
  <c r="M758" i="1"/>
  <c r="V757" i="1"/>
  <c r="P757" i="1"/>
  <c r="R757" i="1" s="1"/>
  <c r="N757" i="1"/>
  <c r="O757" i="1" s="1"/>
  <c r="S757" i="1" s="1"/>
  <c r="M757" i="1"/>
  <c r="V756" i="1"/>
  <c r="R756" i="1"/>
  <c r="P756" i="1"/>
  <c r="M756" i="1"/>
  <c r="N756" i="1" s="1"/>
  <c r="O756" i="1" s="1"/>
  <c r="S756" i="1" s="1"/>
  <c r="V755" i="1"/>
  <c r="R755" i="1"/>
  <c r="Q755" i="1"/>
  <c r="P755" i="1"/>
  <c r="M755" i="1"/>
  <c r="N755" i="1" s="1"/>
  <c r="O755" i="1" s="1"/>
  <c r="S755" i="1" s="1"/>
  <c r="V754" i="1"/>
  <c r="P754" i="1"/>
  <c r="M754" i="1"/>
  <c r="N754" i="1" s="1"/>
  <c r="O754" i="1" s="1"/>
  <c r="V753" i="1"/>
  <c r="S753" i="1"/>
  <c r="R753" i="1"/>
  <c r="P753" i="1"/>
  <c r="N753" i="1"/>
  <c r="O753" i="1" s="1"/>
  <c r="M753" i="1"/>
  <c r="V752" i="1"/>
  <c r="R752" i="1"/>
  <c r="P752" i="1"/>
  <c r="M752" i="1"/>
  <c r="N752" i="1" s="1"/>
  <c r="O752" i="1" s="1"/>
  <c r="S752" i="1" s="1"/>
  <c r="V751" i="1"/>
  <c r="P751" i="1"/>
  <c r="M751" i="1"/>
  <c r="N751" i="1" s="1"/>
  <c r="O751" i="1" s="1"/>
  <c r="V750" i="1"/>
  <c r="P750" i="1"/>
  <c r="N750" i="1"/>
  <c r="O750" i="1" s="1"/>
  <c r="M750" i="1"/>
  <c r="V749" i="1"/>
  <c r="P749" i="1"/>
  <c r="R749" i="1" s="1"/>
  <c r="N749" i="1"/>
  <c r="O749" i="1" s="1"/>
  <c r="S749" i="1" s="1"/>
  <c r="M749" i="1"/>
  <c r="V748" i="1"/>
  <c r="R748" i="1"/>
  <c r="P748" i="1"/>
  <c r="Q748" i="1" s="1"/>
  <c r="M748" i="1"/>
  <c r="N748" i="1" s="1"/>
  <c r="O748" i="1" s="1"/>
  <c r="S748" i="1" s="1"/>
  <c r="V747" i="1"/>
  <c r="R747" i="1"/>
  <c r="Q747" i="1"/>
  <c r="P747" i="1"/>
  <c r="M747" i="1"/>
  <c r="N747" i="1" s="1"/>
  <c r="O747" i="1" s="1"/>
  <c r="S747" i="1" s="1"/>
  <c r="V746" i="1"/>
  <c r="S746" i="1"/>
  <c r="P746" i="1"/>
  <c r="M746" i="1"/>
  <c r="N746" i="1" s="1"/>
  <c r="O746" i="1" s="1"/>
  <c r="V745" i="1"/>
  <c r="S745" i="1"/>
  <c r="R745" i="1"/>
  <c r="P745" i="1"/>
  <c r="N745" i="1"/>
  <c r="O745" i="1" s="1"/>
  <c r="M745" i="1"/>
  <c r="V744" i="1"/>
  <c r="R744" i="1"/>
  <c r="Q744" i="1"/>
  <c r="P744" i="1"/>
  <c r="M744" i="1"/>
  <c r="N744" i="1" s="1"/>
  <c r="O744" i="1" s="1"/>
  <c r="S744" i="1" s="1"/>
  <c r="V743" i="1"/>
  <c r="Q743" i="1"/>
  <c r="P743" i="1"/>
  <c r="M743" i="1"/>
  <c r="N743" i="1" s="1"/>
  <c r="O743" i="1" s="1"/>
  <c r="V742" i="1"/>
  <c r="P742" i="1"/>
  <c r="N742" i="1"/>
  <c r="O742" i="1" s="1"/>
  <c r="M742" i="1"/>
  <c r="V741" i="1"/>
  <c r="P741" i="1"/>
  <c r="R741" i="1" s="1"/>
  <c r="M741" i="1"/>
  <c r="N741" i="1" s="1"/>
  <c r="O741" i="1" s="1"/>
  <c r="S741" i="1" s="1"/>
  <c r="V740" i="1"/>
  <c r="S740" i="1"/>
  <c r="R740" i="1"/>
  <c r="P740" i="1"/>
  <c r="M740" i="1"/>
  <c r="N740" i="1" s="1"/>
  <c r="O740" i="1" s="1"/>
  <c r="V739" i="1"/>
  <c r="R739" i="1"/>
  <c r="P739" i="1"/>
  <c r="M739" i="1"/>
  <c r="N739" i="1" s="1"/>
  <c r="O739" i="1" s="1"/>
  <c r="V738" i="1"/>
  <c r="Q738" i="1"/>
  <c r="P738" i="1"/>
  <c r="R738" i="1" s="1"/>
  <c r="M738" i="1"/>
  <c r="N738" i="1" s="1"/>
  <c r="O738" i="1" s="1"/>
  <c r="V737" i="1"/>
  <c r="S737" i="1"/>
  <c r="R737" i="1"/>
  <c r="P737" i="1"/>
  <c r="Q737" i="1" s="1"/>
  <c r="N737" i="1"/>
  <c r="O737" i="1" s="1"/>
  <c r="M737" i="1"/>
  <c r="V736" i="1"/>
  <c r="R736" i="1"/>
  <c r="P736" i="1"/>
  <c r="N736" i="1"/>
  <c r="O736" i="1" s="1"/>
  <c r="M736" i="1"/>
  <c r="V735" i="1"/>
  <c r="Q735" i="1"/>
  <c r="P735" i="1"/>
  <c r="M735" i="1"/>
  <c r="N735" i="1" s="1"/>
  <c r="O735" i="1" s="1"/>
  <c r="V734" i="1"/>
  <c r="P734" i="1"/>
  <c r="N734" i="1"/>
  <c r="O734" i="1" s="1"/>
  <c r="M734" i="1"/>
  <c r="V733" i="1"/>
  <c r="S733" i="1"/>
  <c r="P733" i="1"/>
  <c r="R733" i="1" s="1"/>
  <c r="N733" i="1"/>
  <c r="O733" i="1" s="1"/>
  <c r="M733" i="1"/>
  <c r="V732" i="1"/>
  <c r="S732" i="1"/>
  <c r="R732" i="1"/>
  <c r="P732" i="1"/>
  <c r="M732" i="1"/>
  <c r="N732" i="1" s="1"/>
  <c r="O732" i="1" s="1"/>
  <c r="V731" i="1"/>
  <c r="R731" i="1"/>
  <c r="P731" i="1"/>
  <c r="M731" i="1"/>
  <c r="N731" i="1" s="1"/>
  <c r="O731" i="1" s="1"/>
  <c r="V730" i="1"/>
  <c r="Q730" i="1"/>
  <c r="P730" i="1"/>
  <c r="R730" i="1" s="1"/>
  <c r="M730" i="1"/>
  <c r="N730" i="1" s="1"/>
  <c r="O730" i="1" s="1"/>
  <c r="V729" i="1"/>
  <c r="S729" i="1"/>
  <c r="R729" i="1"/>
  <c r="P729" i="1"/>
  <c r="Q729" i="1" s="1"/>
  <c r="N729" i="1"/>
  <c r="O729" i="1" s="1"/>
  <c r="M729" i="1"/>
  <c r="V728" i="1"/>
  <c r="R728" i="1"/>
  <c r="P728" i="1"/>
  <c r="N728" i="1"/>
  <c r="O728" i="1" s="1"/>
  <c r="M728" i="1"/>
  <c r="V727" i="1"/>
  <c r="Q727" i="1"/>
  <c r="P727" i="1"/>
  <c r="M727" i="1"/>
  <c r="N727" i="1" s="1"/>
  <c r="O727" i="1" s="1"/>
  <c r="V726" i="1"/>
  <c r="P726" i="1"/>
  <c r="N726" i="1"/>
  <c r="O726" i="1" s="1"/>
  <c r="M726" i="1"/>
  <c r="V725" i="1"/>
  <c r="S725" i="1"/>
  <c r="P725" i="1"/>
  <c r="R725" i="1" s="1"/>
  <c r="N725" i="1"/>
  <c r="O725" i="1" s="1"/>
  <c r="M725" i="1"/>
  <c r="V724" i="1"/>
  <c r="S724" i="1"/>
  <c r="R724" i="1"/>
  <c r="P724" i="1"/>
  <c r="M724" i="1"/>
  <c r="N724" i="1" s="1"/>
  <c r="O724" i="1" s="1"/>
  <c r="V723" i="1"/>
  <c r="R723" i="1"/>
  <c r="P723" i="1"/>
  <c r="M723" i="1"/>
  <c r="N723" i="1" s="1"/>
  <c r="O723" i="1" s="1"/>
  <c r="V722" i="1"/>
  <c r="Q722" i="1"/>
  <c r="P722" i="1"/>
  <c r="R722" i="1" s="1"/>
  <c r="M722" i="1"/>
  <c r="N722" i="1" s="1"/>
  <c r="O722" i="1" s="1"/>
  <c r="V721" i="1"/>
  <c r="S721" i="1"/>
  <c r="R721" i="1"/>
  <c r="P721" i="1"/>
  <c r="Q721" i="1" s="1"/>
  <c r="N721" i="1"/>
  <c r="O721" i="1" s="1"/>
  <c r="M721" i="1"/>
  <c r="V720" i="1"/>
  <c r="R720" i="1"/>
  <c r="Q720" i="1"/>
  <c r="P720" i="1"/>
  <c r="N720" i="1"/>
  <c r="O720" i="1" s="1"/>
  <c r="S720" i="1" s="1"/>
  <c r="M720" i="1"/>
  <c r="V719" i="1"/>
  <c r="R719" i="1"/>
  <c r="P719" i="1"/>
  <c r="M719" i="1"/>
  <c r="N719" i="1" s="1"/>
  <c r="O719" i="1" s="1"/>
  <c r="Q719" i="1" s="1"/>
  <c r="V718" i="1"/>
  <c r="P718" i="1"/>
  <c r="N718" i="1"/>
  <c r="O718" i="1" s="1"/>
  <c r="Q718" i="1" s="1"/>
  <c r="M718" i="1"/>
  <c r="V717" i="1"/>
  <c r="P717" i="1"/>
  <c r="N717" i="1"/>
  <c r="O717" i="1" s="1"/>
  <c r="M717" i="1"/>
  <c r="V716" i="1"/>
  <c r="R716" i="1"/>
  <c r="P716" i="1"/>
  <c r="M716" i="1"/>
  <c r="N716" i="1" s="1"/>
  <c r="O716" i="1" s="1"/>
  <c r="S716" i="1" s="1"/>
  <c r="V715" i="1"/>
  <c r="R715" i="1"/>
  <c r="P715" i="1"/>
  <c r="M715" i="1"/>
  <c r="N715" i="1" s="1"/>
  <c r="O715" i="1" s="1"/>
  <c r="S715" i="1" s="1"/>
  <c r="V714" i="1"/>
  <c r="P714" i="1"/>
  <c r="M714" i="1"/>
  <c r="N714" i="1" s="1"/>
  <c r="O714" i="1" s="1"/>
  <c r="V713" i="1"/>
  <c r="S713" i="1"/>
  <c r="P713" i="1"/>
  <c r="Q713" i="1" s="1"/>
  <c r="N713" i="1"/>
  <c r="O713" i="1" s="1"/>
  <c r="M713" i="1"/>
  <c r="V712" i="1"/>
  <c r="S712" i="1"/>
  <c r="R712" i="1"/>
  <c r="Q712" i="1"/>
  <c r="P712" i="1"/>
  <c r="N712" i="1"/>
  <c r="O712" i="1" s="1"/>
  <c r="M712" i="1"/>
  <c r="V711" i="1"/>
  <c r="R711" i="1"/>
  <c r="P711" i="1"/>
  <c r="M711" i="1"/>
  <c r="N711" i="1" s="1"/>
  <c r="O711" i="1" s="1"/>
  <c r="Q711" i="1" s="1"/>
  <c r="V710" i="1"/>
  <c r="P710" i="1"/>
  <c r="N710" i="1"/>
  <c r="O710" i="1" s="1"/>
  <c r="Q710" i="1" s="1"/>
  <c r="M710" i="1"/>
  <c r="V709" i="1"/>
  <c r="P709" i="1"/>
  <c r="M709" i="1"/>
  <c r="N709" i="1" s="1"/>
  <c r="O709" i="1" s="1"/>
  <c r="V708" i="1"/>
  <c r="R708" i="1"/>
  <c r="P708" i="1"/>
  <c r="M708" i="1"/>
  <c r="N708" i="1" s="1"/>
  <c r="O708" i="1" s="1"/>
  <c r="S708" i="1" s="1"/>
  <c r="V707" i="1"/>
  <c r="R707" i="1"/>
  <c r="P707" i="1"/>
  <c r="M707" i="1"/>
  <c r="N707" i="1" s="1"/>
  <c r="O707" i="1" s="1"/>
  <c r="V706" i="1"/>
  <c r="Q706" i="1"/>
  <c r="P706" i="1"/>
  <c r="R706" i="1" s="1"/>
  <c r="M706" i="1"/>
  <c r="N706" i="1" s="1"/>
  <c r="O706" i="1" s="1"/>
  <c r="V705" i="1"/>
  <c r="S705" i="1"/>
  <c r="R705" i="1"/>
  <c r="P705" i="1"/>
  <c r="Q705" i="1" s="1"/>
  <c r="N705" i="1"/>
  <c r="O705" i="1" s="1"/>
  <c r="M705" i="1"/>
  <c r="V704" i="1"/>
  <c r="R704" i="1"/>
  <c r="Q704" i="1"/>
  <c r="P704" i="1"/>
  <c r="N704" i="1"/>
  <c r="O704" i="1" s="1"/>
  <c r="S704" i="1" s="1"/>
  <c r="M704" i="1"/>
  <c r="V703" i="1"/>
  <c r="R703" i="1"/>
  <c r="P703" i="1"/>
  <c r="M703" i="1"/>
  <c r="N703" i="1" s="1"/>
  <c r="O703" i="1" s="1"/>
  <c r="Q703" i="1" s="1"/>
  <c r="V702" i="1"/>
  <c r="P702" i="1"/>
  <c r="N702" i="1"/>
  <c r="O702" i="1" s="1"/>
  <c r="Q702" i="1" s="1"/>
  <c r="M702" i="1"/>
  <c r="V701" i="1"/>
  <c r="P701" i="1"/>
  <c r="N701" i="1"/>
  <c r="O701" i="1" s="1"/>
  <c r="M701" i="1"/>
  <c r="V700" i="1"/>
  <c r="R700" i="1"/>
  <c r="P700" i="1"/>
  <c r="M700" i="1"/>
  <c r="N700" i="1" s="1"/>
  <c r="O700" i="1" s="1"/>
  <c r="S700" i="1" s="1"/>
  <c r="V699" i="1"/>
  <c r="R699" i="1"/>
  <c r="P699" i="1"/>
  <c r="M699" i="1"/>
  <c r="N699" i="1" s="1"/>
  <c r="O699" i="1" s="1"/>
  <c r="S699" i="1" s="1"/>
  <c r="V698" i="1"/>
  <c r="P698" i="1"/>
  <c r="M698" i="1"/>
  <c r="N698" i="1" s="1"/>
  <c r="O698" i="1" s="1"/>
  <c r="V697" i="1"/>
  <c r="S697" i="1"/>
  <c r="P697" i="1"/>
  <c r="Q697" i="1" s="1"/>
  <c r="N697" i="1"/>
  <c r="O697" i="1" s="1"/>
  <c r="M697" i="1"/>
  <c r="V696" i="1"/>
  <c r="S696" i="1"/>
  <c r="R696" i="1"/>
  <c r="Q696" i="1"/>
  <c r="P696" i="1"/>
  <c r="N696" i="1"/>
  <c r="O696" i="1" s="1"/>
  <c r="M696" i="1"/>
  <c r="V695" i="1"/>
  <c r="R695" i="1"/>
  <c r="P695" i="1"/>
  <c r="M695" i="1"/>
  <c r="N695" i="1" s="1"/>
  <c r="O695" i="1" s="1"/>
  <c r="Q695" i="1" s="1"/>
  <c r="V694" i="1"/>
  <c r="P694" i="1"/>
  <c r="N694" i="1"/>
  <c r="O694" i="1" s="1"/>
  <c r="Q694" i="1" s="1"/>
  <c r="M694" i="1"/>
  <c r="V693" i="1"/>
  <c r="P693" i="1"/>
  <c r="M693" i="1"/>
  <c r="N693" i="1" s="1"/>
  <c r="O693" i="1" s="1"/>
  <c r="V692" i="1"/>
  <c r="R692" i="1"/>
  <c r="P692" i="1"/>
  <c r="M692" i="1"/>
  <c r="N692" i="1" s="1"/>
  <c r="O692" i="1" s="1"/>
  <c r="S692" i="1" s="1"/>
  <c r="V691" i="1"/>
  <c r="R691" i="1"/>
  <c r="P691" i="1"/>
  <c r="N691" i="1"/>
  <c r="O691" i="1" s="1"/>
  <c r="M691" i="1"/>
  <c r="V690" i="1"/>
  <c r="R690" i="1"/>
  <c r="P690" i="1"/>
  <c r="M690" i="1"/>
  <c r="N690" i="1" s="1"/>
  <c r="O690" i="1" s="1"/>
  <c r="V689" i="1"/>
  <c r="R689" i="1"/>
  <c r="P689" i="1"/>
  <c r="M689" i="1"/>
  <c r="N689" i="1" s="1"/>
  <c r="O689" i="1" s="1"/>
  <c r="V688" i="1"/>
  <c r="R688" i="1"/>
  <c r="Q688" i="1"/>
  <c r="P688" i="1"/>
  <c r="M688" i="1"/>
  <c r="N688" i="1" s="1"/>
  <c r="O688" i="1" s="1"/>
  <c r="S688" i="1" s="1"/>
  <c r="V687" i="1"/>
  <c r="R687" i="1"/>
  <c r="P687" i="1"/>
  <c r="N687" i="1"/>
  <c r="O687" i="1" s="1"/>
  <c r="M687" i="1"/>
  <c r="V686" i="1"/>
  <c r="R686" i="1"/>
  <c r="P686" i="1"/>
  <c r="M686" i="1"/>
  <c r="N686" i="1" s="1"/>
  <c r="O686" i="1" s="1"/>
  <c r="V685" i="1"/>
  <c r="R685" i="1"/>
  <c r="P685" i="1"/>
  <c r="M685" i="1"/>
  <c r="N685" i="1" s="1"/>
  <c r="O685" i="1" s="1"/>
  <c r="V684" i="1"/>
  <c r="R684" i="1"/>
  <c r="P684" i="1"/>
  <c r="M684" i="1"/>
  <c r="N684" i="1" s="1"/>
  <c r="O684" i="1" s="1"/>
  <c r="V683" i="1"/>
  <c r="R683" i="1"/>
  <c r="P683" i="1"/>
  <c r="N683" i="1"/>
  <c r="O683" i="1" s="1"/>
  <c r="M683" i="1"/>
  <c r="V682" i="1"/>
  <c r="R682" i="1"/>
  <c r="P682" i="1"/>
  <c r="M682" i="1"/>
  <c r="N682" i="1" s="1"/>
  <c r="O682" i="1" s="1"/>
  <c r="V681" i="1"/>
  <c r="R681" i="1"/>
  <c r="P681" i="1"/>
  <c r="M681" i="1"/>
  <c r="N681" i="1" s="1"/>
  <c r="O681" i="1" s="1"/>
  <c r="V680" i="1"/>
  <c r="R680" i="1"/>
  <c r="Q680" i="1"/>
  <c r="P680" i="1"/>
  <c r="M680" i="1"/>
  <c r="N680" i="1" s="1"/>
  <c r="O680" i="1" s="1"/>
  <c r="S680" i="1" s="1"/>
  <c r="V679" i="1"/>
  <c r="R679" i="1"/>
  <c r="P679" i="1"/>
  <c r="N679" i="1"/>
  <c r="O679" i="1" s="1"/>
  <c r="M679" i="1"/>
  <c r="V678" i="1"/>
  <c r="R678" i="1"/>
  <c r="P678" i="1"/>
  <c r="M678" i="1"/>
  <c r="N678" i="1" s="1"/>
  <c r="O678" i="1" s="1"/>
  <c r="V677" i="1"/>
  <c r="R677" i="1"/>
  <c r="P677" i="1"/>
  <c r="M677" i="1"/>
  <c r="N677" i="1" s="1"/>
  <c r="O677" i="1" s="1"/>
  <c r="V676" i="1"/>
  <c r="R676" i="1"/>
  <c r="P676" i="1"/>
  <c r="M676" i="1"/>
  <c r="N676" i="1" s="1"/>
  <c r="O676" i="1" s="1"/>
  <c r="S676" i="1" s="1"/>
  <c r="V675" i="1"/>
  <c r="R675" i="1"/>
  <c r="P675" i="1"/>
  <c r="N675" i="1"/>
  <c r="O675" i="1" s="1"/>
  <c r="M675" i="1"/>
  <c r="V674" i="1"/>
  <c r="R674" i="1"/>
  <c r="P674" i="1"/>
  <c r="M674" i="1"/>
  <c r="N674" i="1" s="1"/>
  <c r="O674" i="1" s="1"/>
  <c r="V673" i="1"/>
  <c r="R673" i="1"/>
  <c r="P673" i="1"/>
  <c r="M673" i="1"/>
  <c r="N673" i="1" s="1"/>
  <c r="O673" i="1" s="1"/>
  <c r="Q673" i="1" s="1"/>
  <c r="V672" i="1"/>
  <c r="R672" i="1"/>
  <c r="Q672" i="1"/>
  <c r="P672" i="1"/>
  <c r="M672" i="1"/>
  <c r="N672" i="1" s="1"/>
  <c r="O672" i="1" s="1"/>
  <c r="V671" i="1"/>
  <c r="R671" i="1"/>
  <c r="P671" i="1"/>
  <c r="S671" i="1" s="1"/>
  <c r="N671" i="1"/>
  <c r="O671" i="1" s="1"/>
  <c r="Q671" i="1" s="1"/>
  <c r="M671" i="1"/>
  <c r="V670" i="1"/>
  <c r="R670" i="1"/>
  <c r="P670" i="1"/>
  <c r="M670" i="1"/>
  <c r="N670" i="1" s="1"/>
  <c r="O670" i="1" s="1"/>
  <c r="Q670" i="1" s="1"/>
  <c r="V669" i="1"/>
  <c r="R669" i="1"/>
  <c r="P669" i="1"/>
  <c r="M669" i="1"/>
  <c r="N669" i="1" s="1"/>
  <c r="O669" i="1" s="1"/>
  <c r="Q669" i="1" s="1"/>
  <c r="V668" i="1"/>
  <c r="R668" i="1"/>
  <c r="P668" i="1"/>
  <c r="M668" i="1"/>
  <c r="N668" i="1" s="1"/>
  <c r="O668" i="1" s="1"/>
  <c r="Q668" i="1" s="1"/>
  <c r="V667" i="1"/>
  <c r="R667" i="1"/>
  <c r="P667" i="1"/>
  <c r="N667" i="1"/>
  <c r="O667" i="1" s="1"/>
  <c r="Q667" i="1" s="1"/>
  <c r="M667" i="1"/>
  <c r="V666" i="1"/>
  <c r="R666" i="1"/>
  <c r="P666" i="1"/>
  <c r="M666" i="1"/>
  <c r="N666" i="1" s="1"/>
  <c r="O666" i="1" s="1"/>
  <c r="Q666" i="1" s="1"/>
  <c r="V665" i="1"/>
  <c r="R665" i="1"/>
  <c r="P665" i="1"/>
  <c r="M665" i="1"/>
  <c r="N665" i="1" s="1"/>
  <c r="O665" i="1" s="1"/>
  <c r="Q665" i="1" s="1"/>
  <c r="V664" i="1"/>
  <c r="R664" i="1"/>
  <c r="Q664" i="1"/>
  <c r="P664" i="1"/>
  <c r="M664" i="1"/>
  <c r="N664" i="1" s="1"/>
  <c r="O664" i="1" s="1"/>
  <c r="V663" i="1"/>
  <c r="R663" i="1"/>
  <c r="P663" i="1"/>
  <c r="S663" i="1" s="1"/>
  <c r="N663" i="1"/>
  <c r="O663" i="1" s="1"/>
  <c r="Q663" i="1" s="1"/>
  <c r="M663" i="1"/>
  <c r="V662" i="1"/>
  <c r="R662" i="1"/>
  <c r="P662" i="1"/>
  <c r="M662" i="1"/>
  <c r="N662" i="1" s="1"/>
  <c r="O662" i="1" s="1"/>
  <c r="Q662" i="1" s="1"/>
  <c r="V661" i="1"/>
  <c r="R661" i="1"/>
  <c r="P661" i="1"/>
  <c r="M661" i="1"/>
  <c r="N661" i="1" s="1"/>
  <c r="O661" i="1" s="1"/>
  <c r="Q661" i="1" s="1"/>
  <c r="V660" i="1"/>
  <c r="R660" i="1"/>
  <c r="P660" i="1"/>
  <c r="M660" i="1"/>
  <c r="N660" i="1" s="1"/>
  <c r="O660" i="1" s="1"/>
  <c r="Q660" i="1" s="1"/>
  <c r="V659" i="1"/>
  <c r="R659" i="1"/>
  <c r="P659" i="1"/>
  <c r="N659" i="1"/>
  <c r="O659" i="1" s="1"/>
  <c r="Q659" i="1" s="1"/>
  <c r="M659" i="1"/>
  <c r="V658" i="1"/>
  <c r="R658" i="1"/>
  <c r="P658" i="1"/>
  <c r="M658" i="1"/>
  <c r="N658" i="1" s="1"/>
  <c r="O658" i="1" s="1"/>
  <c r="Q658" i="1" s="1"/>
  <c r="V657" i="1"/>
  <c r="R657" i="1"/>
  <c r="P657" i="1"/>
  <c r="M657" i="1"/>
  <c r="N657" i="1" s="1"/>
  <c r="O657" i="1" s="1"/>
  <c r="Q657" i="1" s="1"/>
  <c r="V656" i="1"/>
  <c r="R656" i="1"/>
  <c r="Q656" i="1"/>
  <c r="P656" i="1"/>
  <c r="M656" i="1"/>
  <c r="N656" i="1" s="1"/>
  <c r="O656" i="1" s="1"/>
  <c r="V655" i="1"/>
  <c r="R655" i="1"/>
  <c r="P655" i="1"/>
  <c r="S655" i="1" s="1"/>
  <c r="N655" i="1"/>
  <c r="O655" i="1" s="1"/>
  <c r="Q655" i="1" s="1"/>
  <c r="M655" i="1"/>
  <c r="V654" i="1"/>
  <c r="R654" i="1"/>
  <c r="P654" i="1"/>
  <c r="M654" i="1"/>
  <c r="N654" i="1" s="1"/>
  <c r="O654" i="1" s="1"/>
  <c r="Q654" i="1" s="1"/>
  <c r="V653" i="1"/>
  <c r="R653" i="1"/>
  <c r="P653" i="1"/>
  <c r="M653" i="1"/>
  <c r="N653" i="1" s="1"/>
  <c r="O653" i="1" s="1"/>
  <c r="Q653" i="1" s="1"/>
  <c r="V652" i="1"/>
  <c r="R652" i="1"/>
  <c r="P652" i="1"/>
  <c r="M652" i="1"/>
  <c r="N652" i="1" s="1"/>
  <c r="O652" i="1" s="1"/>
  <c r="Q652" i="1" s="1"/>
  <c r="V651" i="1"/>
  <c r="R651" i="1"/>
  <c r="P651" i="1"/>
  <c r="N651" i="1"/>
  <c r="O651" i="1" s="1"/>
  <c r="Q651" i="1" s="1"/>
  <c r="M651" i="1"/>
  <c r="V650" i="1"/>
  <c r="R650" i="1"/>
  <c r="P650" i="1"/>
  <c r="M650" i="1"/>
  <c r="N650" i="1" s="1"/>
  <c r="O650" i="1" s="1"/>
  <c r="Q650" i="1" s="1"/>
  <c r="V649" i="1"/>
  <c r="R649" i="1"/>
  <c r="P649" i="1"/>
  <c r="M649" i="1"/>
  <c r="N649" i="1" s="1"/>
  <c r="O649" i="1" s="1"/>
  <c r="Q649" i="1" s="1"/>
  <c r="V648" i="1"/>
  <c r="R648" i="1"/>
  <c r="Q648" i="1"/>
  <c r="P648" i="1"/>
  <c r="M648" i="1"/>
  <c r="N648" i="1" s="1"/>
  <c r="O648" i="1" s="1"/>
  <c r="V647" i="1"/>
  <c r="P647" i="1"/>
  <c r="N647" i="1"/>
  <c r="O647" i="1" s="1"/>
  <c r="M647" i="1"/>
  <c r="V646" i="1"/>
  <c r="R646" i="1"/>
  <c r="P646" i="1"/>
  <c r="M646" i="1"/>
  <c r="N646" i="1" s="1"/>
  <c r="O646" i="1" s="1"/>
  <c r="V645" i="1"/>
  <c r="P645" i="1"/>
  <c r="M645" i="1"/>
  <c r="N645" i="1" s="1"/>
  <c r="O645" i="1" s="1"/>
  <c r="Q645" i="1" s="1"/>
  <c r="V644" i="1"/>
  <c r="P644" i="1"/>
  <c r="N644" i="1"/>
  <c r="O644" i="1" s="1"/>
  <c r="M644" i="1"/>
  <c r="V643" i="1"/>
  <c r="R643" i="1"/>
  <c r="P643" i="1"/>
  <c r="M643" i="1"/>
  <c r="N643" i="1" s="1"/>
  <c r="O643" i="1" s="1"/>
  <c r="Q643" i="1" s="1"/>
  <c r="V642" i="1"/>
  <c r="R642" i="1"/>
  <c r="Q642" i="1"/>
  <c r="P642" i="1"/>
  <c r="N642" i="1"/>
  <c r="O642" i="1" s="1"/>
  <c r="M642" i="1"/>
  <c r="V641" i="1"/>
  <c r="P641" i="1"/>
  <c r="M641" i="1"/>
  <c r="N641" i="1" s="1"/>
  <c r="O641" i="1" s="1"/>
  <c r="V640" i="1"/>
  <c r="P640" i="1"/>
  <c r="O640" i="1"/>
  <c r="N640" i="1"/>
  <c r="M640" i="1"/>
  <c r="V639" i="1"/>
  <c r="R639" i="1"/>
  <c r="P639" i="1"/>
  <c r="O639" i="1"/>
  <c r="Q639" i="1" s="1"/>
  <c r="N639" i="1"/>
  <c r="M639" i="1"/>
  <c r="V638" i="1"/>
  <c r="R638" i="1"/>
  <c r="P638" i="1"/>
  <c r="M638" i="1"/>
  <c r="N638" i="1" s="1"/>
  <c r="O638" i="1" s="1"/>
  <c r="V637" i="1"/>
  <c r="P637" i="1"/>
  <c r="M637" i="1"/>
  <c r="N637" i="1" s="1"/>
  <c r="O637" i="1" s="1"/>
  <c r="Q637" i="1" s="1"/>
  <c r="V636" i="1"/>
  <c r="P636" i="1"/>
  <c r="N636" i="1"/>
  <c r="O636" i="1" s="1"/>
  <c r="M636" i="1"/>
  <c r="V635" i="1"/>
  <c r="R635" i="1"/>
  <c r="P635" i="1"/>
  <c r="M635" i="1"/>
  <c r="N635" i="1" s="1"/>
  <c r="O635" i="1" s="1"/>
  <c r="Q635" i="1" s="1"/>
  <c r="V634" i="1"/>
  <c r="R634" i="1"/>
  <c r="P634" i="1"/>
  <c r="N634" i="1"/>
  <c r="O634" i="1" s="1"/>
  <c r="Q634" i="1" s="1"/>
  <c r="M634" i="1"/>
  <c r="V633" i="1"/>
  <c r="P633" i="1"/>
  <c r="M633" i="1"/>
  <c r="N633" i="1" s="1"/>
  <c r="O633" i="1" s="1"/>
  <c r="V632" i="1"/>
  <c r="P632" i="1"/>
  <c r="O632" i="1"/>
  <c r="N632" i="1"/>
  <c r="M632" i="1"/>
  <c r="V631" i="1"/>
  <c r="R631" i="1"/>
  <c r="P631" i="1"/>
  <c r="N631" i="1"/>
  <c r="O631" i="1" s="1"/>
  <c r="Q631" i="1" s="1"/>
  <c r="M631" i="1"/>
  <c r="V630" i="1"/>
  <c r="R630" i="1"/>
  <c r="P630" i="1"/>
  <c r="M630" i="1"/>
  <c r="N630" i="1" s="1"/>
  <c r="O630" i="1" s="1"/>
  <c r="V629" i="1"/>
  <c r="P629" i="1"/>
  <c r="M629" i="1"/>
  <c r="N629" i="1" s="1"/>
  <c r="O629" i="1" s="1"/>
  <c r="Q629" i="1" s="1"/>
  <c r="V628" i="1"/>
  <c r="P628" i="1"/>
  <c r="N628" i="1"/>
  <c r="O628" i="1" s="1"/>
  <c r="M628" i="1"/>
  <c r="V627" i="1"/>
  <c r="R627" i="1"/>
  <c r="P627" i="1"/>
  <c r="M627" i="1"/>
  <c r="N627" i="1" s="1"/>
  <c r="O627" i="1" s="1"/>
  <c r="Q627" i="1" s="1"/>
  <c r="V626" i="1"/>
  <c r="R626" i="1"/>
  <c r="P626" i="1"/>
  <c r="N626" i="1"/>
  <c r="O626" i="1" s="1"/>
  <c r="Q626" i="1" s="1"/>
  <c r="M626" i="1"/>
  <c r="V625" i="1"/>
  <c r="Q625" i="1"/>
  <c r="P625" i="1"/>
  <c r="M625" i="1"/>
  <c r="N625" i="1" s="1"/>
  <c r="O625" i="1" s="1"/>
  <c r="V624" i="1"/>
  <c r="P624" i="1"/>
  <c r="O624" i="1"/>
  <c r="N624" i="1"/>
  <c r="M624" i="1"/>
  <c r="V623" i="1"/>
  <c r="R623" i="1"/>
  <c r="P623" i="1"/>
  <c r="N623" i="1"/>
  <c r="O623" i="1" s="1"/>
  <c r="Q623" i="1" s="1"/>
  <c r="M623" i="1"/>
  <c r="V622" i="1"/>
  <c r="R622" i="1"/>
  <c r="P622" i="1"/>
  <c r="N622" i="1"/>
  <c r="O622" i="1" s="1"/>
  <c r="M622" i="1"/>
  <c r="V621" i="1"/>
  <c r="P621" i="1"/>
  <c r="M621" i="1"/>
  <c r="N621" i="1" s="1"/>
  <c r="O621" i="1" s="1"/>
  <c r="Q621" i="1" s="1"/>
  <c r="V620" i="1"/>
  <c r="P620" i="1"/>
  <c r="N620" i="1"/>
  <c r="O620" i="1" s="1"/>
  <c r="M620" i="1"/>
  <c r="V619" i="1"/>
  <c r="R619" i="1"/>
  <c r="P619" i="1"/>
  <c r="O619" i="1"/>
  <c r="Q619" i="1" s="1"/>
  <c r="M619" i="1"/>
  <c r="N619" i="1" s="1"/>
  <c r="V618" i="1"/>
  <c r="R618" i="1"/>
  <c r="P618" i="1"/>
  <c r="N618" i="1"/>
  <c r="O618" i="1" s="1"/>
  <c r="Q618" i="1" s="1"/>
  <c r="M618" i="1"/>
  <c r="V617" i="1"/>
  <c r="P617" i="1"/>
  <c r="M617" i="1"/>
  <c r="N617" i="1" s="1"/>
  <c r="O617" i="1" s="1"/>
  <c r="V616" i="1"/>
  <c r="P616" i="1"/>
  <c r="O616" i="1"/>
  <c r="N616" i="1"/>
  <c r="M616" i="1"/>
  <c r="V615" i="1"/>
  <c r="R615" i="1"/>
  <c r="P615" i="1"/>
  <c r="O615" i="1"/>
  <c r="Q615" i="1" s="1"/>
  <c r="N615" i="1"/>
  <c r="M615" i="1"/>
  <c r="V614" i="1"/>
  <c r="R614" i="1"/>
  <c r="P614" i="1"/>
  <c r="M614" i="1"/>
  <c r="N614" i="1" s="1"/>
  <c r="O614" i="1" s="1"/>
  <c r="Q614" i="1" s="1"/>
  <c r="V613" i="1"/>
  <c r="P613" i="1"/>
  <c r="M613" i="1"/>
  <c r="N613" i="1" s="1"/>
  <c r="O613" i="1" s="1"/>
  <c r="Q613" i="1" s="1"/>
  <c r="V612" i="1"/>
  <c r="P612" i="1"/>
  <c r="O612" i="1"/>
  <c r="N612" i="1"/>
  <c r="M612" i="1"/>
  <c r="V611" i="1"/>
  <c r="R611" i="1"/>
  <c r="P611" i="1"/>
  <c r="O611" i="1"/>
  <c r="Q611" i="1" s="1"/>
  <c r="N611" i="1"/>
  <c r="M611" i="1"/>
  <c r="V610" i="1"/>
  <c r="R610" i="1"/>
  <c r="P610" i="1"/>
  <c r="N610" i="1"/>
  <c r="O610" i="1" s="1"/>
  <c r="Q610" i="1" s="1"/>
  <c r="M610" i="1"/>
  <c r="V609" i="1"/>
  <c r="P609" i="1"/>
  <c r="M609" i="1"/>
  <c r="N609" i="1" s="1"/>
  <c r="O609" i="1" s="1"/>
  <c r="V608" i="1"/>
  <c r="P608" i="1"/>
  <c r="O608" i="1"/>
  <c r="N608" i="1"/>
  <c r="M608" i="1"/>
  <c r="V607" i="1"/>
  <c r="R607" i="1"/>
  <c r="P607" i="1"/>
  <c r="N607" i="1"/>
  <c r="O607" i="1" s="1"/>
  <c r="Q607" i="1" s="1"/>
  <c r="M607" i="1"/>
  <c r="V606" i="1"/>
  <c r="R606" i="1"/>
  <c r="P606" i="1"/>
  <c r="N606" i="1"/>
  <c r="O606" i="1" s="1"/>
  <c r="Q606" i="1" s="1"/>
  <c r="M606" i="1"/>
  <c r="V605" i="1"/>
  <c r="P605" i="1"/>
  <c r="M605" i="1"/>
  <c r="N605" i="1" s="1"/>
  <c r="O605" i="1" s="1"/>
  <c r="Q605" i="1" s="1"/>
  <c r="V604" i="1"/>
  <c r="P604" i="1"/>
  <c r="O604" i="1"/>
  <c r="N604" i="1"/>
  <c r="M604" i="1"/>
  <c r="V603" i="1"/>
  <c r="R603" i="1"/>
  <c r="P603" i="1"/>
  <c r="O603" i="1"/>
  <c r="Q603" i="1" s="1"/>
  <c r="N603" i="1"/>
  <c r="M603" i="1"/>
  <c r="V602" i="1"/>
  <c r="R602" i="1"/>
  <c r="P602" i="1"/>
  <c r="N602" i="1"/>
  <c r="O602" i="1" s="1"/>
  <c r="Q602" i="1" s="1"/>
  <c r="M602" i="1"/>
  <c r="V601" i="1"/>
  <c r="P601" i="1"/>
  <c r="M601" i="1"/>
  <c r="N601" i="1" s="1"/>
  <c r="O601" i="1" s="1"/>
  <c r="V600" i="1"/>
  <c r="P600" i="1"/>
  <c r="O600" i="1"/>
  <c r="N600" i="1"/>
  <c r="M600" i="1"/>
  <c r="V599" i="1"/>
  <c r="R599" i="1"/>
  <c r="P599" i="1"/>
  <c r="M599" i="1"/>
  <c r="N599" i="1" s="1"/>
  <c r="O599" i="1" s="1"/>
  <c r="Q599" i="1" s="1"/>
  <c r="V598" i="1"/>
  <c r="R598" i="1"/>
  <c r="P598" i="1"/>
  <c r="M598" i="1"/>
  <c r="N598" i="1" s="1"/>
  <c r="O598" i="1" s="1"/>
  <c r="Q598" i="1" s="1"/>
  <c r="V597" i="1"/>
  <c r="Q597" i="1"/>
  <c r="P597" i="1"/>
  <c r="M597" i="1"/>
  <c r="N597" i="1" s="1"/>
  <c r="O597" i="1" s="1"/>
  <c r="V596" i="1"/>
  <c r="P596" i="1"/>
  <c r="O596" i="1"/>
  <c r="N596" i="1"/>
  <c r="M596" i="1"/>
  <c r="V595" i="1"/>
  <c r="R595" i="1"/>
  <c r="P595" i="1"/>
  <c r="O595" i="1"/>
  <c r="Q595" i="1" s="1"/>
  <c r="N595" i="1"/>
  <c r="M595" i="1"/>
  <c r="V594" i="1"/>
  <c r="R594" i="1"/>
  <c r="P594" i="1"/>
  <c r="N594" i="1"/>
  <c r="O594" i="1" s="1"/>
  <c r="Q594" i="1" s="1"/>
  <c r="M594" i="1"/>
  <c r="V593" i="1"/>
  <c r="P593" i="1"/>
  <c r="O593" i="1"/>
  <c r="M593" i="1"/>
  <c r="N593" i="1" s="1"/>
  <c r="V592" i="1"/>
  <c r="P592" i="1"/>
  <c r="N592" i="1"/>
  <c r="O592" i="1" s="1"/>
  <c r="M592" i="1"/>
  <c r="V591" i="1"/>
  <c r="R591" i="1"/>
  <c r="P591" i="1"/>
  <c r="M591" i="1"/>
  <c r="N591" i="1" s="1"/>
  <c r="O591" i="1" s="1"/>
  <c r="Q591" i="1" s="1"/>
  <c r="V590" i="1"/>
  <c r="R590" i="1"/>
  <c r="Q590" i="1"/>
  <c r="P590" i="1"/>
  <c r="N590" i="1"/>
  <c r="O590" i="1" s="1"/>
  <c r="M590" i="1"/>
  <c r="V589" i="1"/>
  <c r="P589" i="1"/>
  <c r="M589" i="1"/>
  <c r="N589" i="1" s="1"/>
  <c r="O589" i="1" s="1"/>
  <c r="V588" i="1"/>
  <c r="R588" i="1"/>
  <c r="P588" i="1"/>
  <c r="O588" i="1"/>
  <c r="N588" i="1"/>
  <c r="M588" i="1"/>
  <c r="V587" i="1"/>
  <c r="R587" i="1"/>
  <c r="Q587" i="1"/>
  <c r="P587" i="1"/>
  <c r="O587" i="1"/>
  <c r="N587" i="1"/>
  <c r="M587" i="1"/>
  <c r="V586" i="1"/>
  <c r="P586" i="1"/>
  <c r="N586" i="1"/>
  <c r="O586" i="1" s="1"/>
  <c r="M586" i="1"/>
  <c r="V585" i="1"/>
  <c r="P585" i="1"/>
  <c r="O585" i="1"/>
  <c r="M585" i="1"/>
  <c r="N585" i="1" s="1"/>
  <c r="V584" i="1"/>
  <c r="P584" i="1"/>
  <c r="O584" i="1"/>
  <c r="N584" i="1"/>
  <c r="M584" i="1"/>
  <c r="V583" i="1"/>
  <c r="R583" i="1"/>
  <c r="P583" i="1"/>
  <c r="N583" i="1"/>
  <c r="O583" i="1" s="1"/>
  <c r="Q583" i="1" s="1"/>
  <c r="M583" i="1"/>
  <c r="V582" i="1"/>
  <c r="R582" i="1"/>
  <c r="P582" i="1"/>
  <c r="M582" i="1"/>
  <c r="N582" i="1" s="1"/>
  <c r="O582" i="1" s="1"/>
  <c r="Q582" i="1" s="1"/>
  <c r="V581" i="1"/>
  <c r="Q581" i="1"/>
  <c r="P581" i="1"/>
  <c r="M581" i="1"/>
  <c r="N581" i="1" s="1"/>
  <c r="O581" i="1" s="1"/>
  <c r="V580" i="1"/>
  <c r="R580" i="1"/>
  <c r="P580" i="1"/>
  <c r="O580" i="1"/>
  <c r="N580" i="1"/>
  <c r="M580" i="1"/>
  <c r="V579" i="1"/>
  <c r="R579" i="1"/>
  <c r="P579" i="1"/>
  <c r="N579" i="1"/>
  <c r="O579" i="1" s="1"/>
  <c r="Q579" i="1" s="1"/>
  <c r="M579" i="1"/>
  <c r="V578" i="1"/>
  <c r="P578" i="1"/>
  <c r="N578" i="1"/>
  <c r="O578" i="1" s="1"/>
  <c r="M578" i="1"/>
  <c r="V577" i="1"/>
  <c r="Q577" i="1"/>
  <c r="P577" i="1"/>
  <c r="M577" i="1"/>
  <c r="N577" i="1" s="1"/>
  <c r="O577" i="1" s="1"/>
  <c r="V576" i="1"/>
  <c r="R576" i="1"/>
  <c r="P576" i="1"/>
  <c r="N576" i="1"/>
  <c r="O576" i="1" s="1"/>
  <c r="M576" i="1"/>
  <c r="V575" i="1"/>
  <c r="R575" i="1"/>
  <c r="P575" i="1"/>
  <c r="M575" i="1"/>
  <c r="N575" i="1" s="1"/>
  <c r="O575" i="1" s="1"/>
  <c r="Q575" i="1" s="1"/>
  <c r="V574" i="1"/>
  <c r="P574" i="1"/>
  <c r="N574" i="1"/>
  <c r="O574" i="1" s="1"/>
  <c r="Q574" i="1" s="1"/>
  <c r="M574" i="1"/>
  <c r="V573" i="1"/>
  <c r="P573" i="1"/>
  <c r="M573" i="1"/>
  <c r="N573" i="1" s="1"/>
  <c r="O573" i="1" s="1"/>
  <c r="Q573" i="1" s="1"/>
  <c r="V572" i="1"/>
  <c r="R572" i="1"/>
  <c r="P572" i="1"/>
  <c r="N572" i="1"/>
  <c r="O572" i="1" s="1"/>
  <c r="M572" i="1"/>
  <c r="V571" i="1"/>
  <c r="R571" i="1"/>
  <c r="P571" i="1"/>
  <c r="M571" i="1"/>
  <c r="N571" i="1" s="1"/>
  <c r="O571" i="1" s="1"/>
  <c r="Q571" i="1" s="1"/>
  <c r="V570" i="1"/>
  <c r="P570" i="1"/>
  <c r="N570" i="1"/>
  <c r="O570" i="1" s="1"/>
  <c r="Q570" i="1" s="1"/>
  <c r="M570" i="1"/>
  <c r="V569" i="1"/>
  <c r="P569" i="1"/>
  <c r="M569" i="1"/>
  <c r="N569" i="1" s="1"/>
  <c r="O569" i="1" s="1"/>
  <c r="Q569" i="1" s="1"/>
  <c r="V568" i="1"/>
  <c r="R568" i="1"/>
  <c r="P568" i="1"/>
  <c r="N568" i="1"/>
  <c r="O568" i="1" s="1"/>
  <c r="M568" i="1"/>
  <c r="V567" i="1"/>
  <c r="R567" i="1"/>
  <c r="P567" i="1"/>
  <c r="M567" i="1"/>
  <c r="N567" i="1" s="1"/>
  <c r="O567" i="1" s="1"/>
  <c r="Q567" i="1" s="1"/>
  <c r="V566" i="1"/>
  <c r="P566" i="1"/>
  <c r="N566" i="1"/>
  <c r="O566" i="1" s="1"/>
  <c r="Q566" i="1" s="1"/>
  <c r="M566" i="1"/>
  <c r="V565" i="1"/>
  <c r="P565" i="1"/>
  <c r="M565" i="1"/>
  <c r="N565" i="1" s="1"/>
  <c r="O565" i="1" s="1"/>
  <c r="Q565" i="1" s="1"/>
  <c r="V564" i="1"/>
  <c r="R564" i="1"/>
  <c r="P564" i="1"/>
  <c r="N564" i="1"/>
  <c r="O564" i="1" s="1"/>
  <c r="M564" i="1"/>
  <c r="V563" i="1"/>
  <c r="R563" i="1"/>
  <c r="P563" i="1"/>
  <c r="M563" i="1"/>
  <c r="N563" i="1" s="1"/>
  <c r="O563" i="1" s="1"/>
  <c r="Q563" i="1" s="1"/>
  <c r="V562" i="1"/>
  <c r="P562" i="1"/>
  <c r="N562" i="1"/>
  <c r="O562" i="1" s="1"/>
  <c r="Q562" i="1" s="1"/>
  <c r="M562" i="1"/>
  <c r="V561" i="1"/>
  <c r="Q561" i="1"/>
  <c r="P561" i="1"/>
  <c r="M561" i="1"/>
  <c r="N561" i="1" s="1"/>
  <c r="O561" i="1" s="1"/>
  <c r="V560" i="1"/>
  <c r="R560" i="1"/>
  <c r="P560" i="1"/>
  <c r="N560" i="1"/>
  <c r="O560" i="1" s="1"/>
  <c r="M560" i="1"/>
  <c r="V559" i="1"/>
  <c r="R559" i="1"/>
  <c r="P559" i="1"/>
  <c r="M559" i="1"/>
  <c r="N559" i="1" s="1"/>
  <c r="O559" i="1" s="1"/>
  <c r="Q559" i="1" s="1"/>
  <c r="V558" i="1"/>
  <c r="P558" i="1"/>
  <c r="N558" i="1"/>
  <c r="O558" i="1" s="1"/>
  <c r="Q558" i="1" s="1"/>
  <c r="M558" i="1"/>
  <c r="V557" i="1"/>
  <c r="Q557" i="1"/>
  <c r="P557" i="1"/>
  <c r="M557" i="1"/>
  <c r="N557" i="1" s="1"/>
  <c r="O557" i="1" s="1"/>
  <c r="V556" i="1"/>
  <c r="P556" i="1"/>
  <c r="R556" i="1" s="1"/>
  <c r="O556" i="1"/>
  <c r="M556" i="1"/>
  <c r="N556" i="1" s="1"/>
  <c r="V555" i="1"/>
  <c r="P555" i="1"/>
  <c r="R555" i="1" s="1"/>
  <c r="M555" i="1"/>
  <c r="N555" i="1" s="1"/>
  <c r="O555" i="1" s="1"/>
  <c r="V554" i="1"/>
  <c r="P554" i="1"/>
  <c r="R554" i="1" s="1"/>
  <c r="M554" i="1"/>
  <c r="N554" i="1" s="1"/>
  <c r="O554" i="1" s="1"/>
  <c r="V553" i="1"/>
  <c r="P553" i="1"/>
  <c r="R553" i="1" s="1"/>
  <c r="M553" i="1"/>
  <c r="N553" i="1" s="1"/>
  <c r="O553" i="1" s="1"/>
  <c r="S553" i="1" s="1"/>
  <c r="V552" i="1"/>
  <c r="P552" i="1"/>
  <c r="R552" i="1" s="1"/>
  <c r="O552" i="1"/>
  <c r="M552" i="1"/>
  <c r="N552" i="1" s="1"/>
  <c r="V551" i="1"/>
  <c r="P551" i="1"/>
  <c r="R551" i="1" s="1"/>
  <c r="M551" i="1"/>
  <c r="N551" i="1" s="1"/>
  <c r="O551" i="1" s="1"/>
  <c r="V550" i="1"/>
  <c r="P550" i="1"/>
  <c r="R550" i="1" s="1"/>
  <c r="M550" i="1"/>
  <c r="N550" i="1" s="1"/>
  <c r="O550" i="1" s="1"/>
  <c r="V549" i="1"/>
  <c r="P549" i="1"/>
  <c r="R549" i="1" s="1"/>
  <c r="M549" i="1"/>
  <c r="N549" i="1" s="1"/>
  <c r="O549" i="1" s="1"/>
  <c r="S549" i="1" s="1"/>
  <c r="V548" i="1"/>
  <c r="P548" i="1"/>
  <c r="R548" i="1" s="1"/>
  <c r="O548" i="1"/>
  <c r="M548" i="1"/>
  <c r="N548" i="1" s="1"/>
  <c r="V547" i="1"/>
  <c r="P547" i="1"/>
  <c r="R547" i="1" s="1"/>
  <c r="M547" i="1"/>
  <c r="N547" i="1" s="1"/>
  <c r="O547" i="1" s="1"/>
  <c r="V546" i="1"/>
  <c r="P546" i="1"/>
  <c r="R546" i="1" s="1"/>
  <c r="M546" i="1"/>
  <c r="N546" i="1" s="1"/>
  <c r="O546" i="1" s="1"/>
  <c r="V545" i="1"/>
  <c r="Q545" i="1"/>
  <c r="P545" i="1"/>
  <c r="R545" i="1" s="1"/>
  <c r="M545" i="1"/>
  <c r="N545" i="1" s="1"/>
  <c r="O545" i="1" s="1"/>
  <c r="S545" i="1" s="1"/>
  <c r="V544" i="1"/>
  <c r="P544" i="1"/>
  <c r="R544" i="1" s="1"/>
  <c r="O544" i="1"/>
  <c r="M544" i="1"/>
  <c r="N544" i="1" s="1"/>
  <c r="V543" i="1"/>
  <c r="P543" i="1"/>
  <c r="R543" i="1" s="1"/>
  <c r="M543" i="1"/>
  <c r="N543" i="1" s="1"/>
  <c r="O543" i="1" s="1"/>
  <c r="V542" i="1"/>
  <c r="P542" i="1"/>
  <c r="R542" i="1" s="1"/>
  <c r="M542" i="1"/>
  <c r="N542" i="1" s="1"/>
  <c r="O542" i="1" s="1"/>
  <c r="V541" i="1"/>
  <c r="Q541" i="1"/>
  <c r="P541" i="1"/>
  <c r="R541" i="1" s="1"/>
  <c r="M541" i="1"/>
  <c r="N541" i="1" s="1"/>
  <c r="O541" i="1" s="1"/>
  <c r="S541" i="1" s="1"/>
  <c r="V540" i="1"/>
  <c r="P540" i="1"/>
  <c r="R540" i="1" s="1"/>
  <c r="O540" i="1"/>
  <c r="M540" i="1"/>
  <c r="N540" i="1" s="1"/>
  <c r="V539" i="1"/>
  <c r="P539" i="1"/>
  <c r="R539" i="1" s="1"/>
  <c r="M539" i="1"/>
  <c r="N539" i="1" s="1"/>
  <c r="O539" i="1" s="1"/>
  <c r="V538" i="1"/>
  <c r="P538" i="1"/>
  <c r="R538" i="1" s="1"/>
  <c r="M538" i="1"/>
  <c r="N538" i="1" s="1"/>
  <c r="O538" i="1" s="1"/>
  <c r="V537" i="1"/>
  <c r="P537" i="1"/>
  <c r="R537" i="1" s="1"/>
  <c r="M537" i="1"/>
  <c r="N537" i="1" s="1"/>
  <c r="O537" i="1" s="1"/>
  <c r="S537" i="1" s="1"/>
  <c r="V536" i="1"/>
  <c r="P536" i="1"/>
  <c r="R536" i="1" s="1"/>
  <c r="O536" i="1"/>
  <c r="M536" i="1"/>
  <c r="N536" i="1" s="1"/>
  <c r="V535" i="1"/>
  <c r="P535" i="1"/>
  <c r="R535" i="1" s="1"/>
  <c r="M535" i="1"/>
  <c r="N535" i="1" s="1"/>
  <c r="O535" i="1" s="1"/>
  <c r="V534" i="1"/>
  <c r="P534" i="1"/>
  <c r="R534" i="1" s="1"/>
  <c r="M534" i="1"/>
  <c r="N534" i="1" s="1"/>
  <c r="O534" i="1" s="1"/>
  <c r="V533" i="1"/>
  <c r="P533" i="1"/>
  <c r="R533" i="1" s="1"/>
  <c r="M533" i="1"/>
  <c r="N533" i="1" s="1"/>
  <c r="O533" i="1" s="1"/>
  <c r="S533" i="1" s="1"/>
  <c r="V532" i="1"/>
  <c r="P532" i="1"/>
  <c r="R532" i="1" s="1"/>
  <c r="O532" i="1"/>
  <c r="M532" i="1"/>
  <c r="N532" i="1" s="1"/>
  <c r="V531" i="1"/>
  <c r="P531" i="1"/>
  <c r="R531" i="1" s="1"/>
  <c r="M531" i="1"/>
  <c r="N531" i="1" s="1"/>
  <c r="O531" i="1" s="1"/>
  <c r="V530" i="1"/>
  <c r="P530" i="1"/>
  <c r="R530" i="1" s="1"/>
  <c r="M530" i="1"/>
  <c r="N530" i="1" s="1"/>
  <c r="O530" i="1" s="1"/>
  <c r="V529" i="1"/>
  <c r="Q529" i="1"/>
  <c r="P529" i="1"/>
  <c r="R529" i="1" s="1"/>
  <c r="M529" i="1"/>
  <c r="N529" i="1" s="1"/>
  <c r="O529" i="1" s="1"/>
  <c r="S529" i="1" s="1"/>
  <c r="V528" i="1"/>
  <c r="P528" i="1"/>
  <c r="R528" i="1" s="1"/>
  <c r="O528" i="1"/>
  <c r="M528" i="1"/>
  <c r="N528" i="1" s="1"/>
  <c r="V527" i="1"/>
  <c r="P527" i="1"/>
  <c r="R527" i="1" s="1"/>
  <c r="M527" i="1"/>
  <c r="N527" i="1" s="1"/>
  <c r="O527" i="1" s="1"/>
  <c r="V526" i="1"/>
  <c r="P526" i="1"/>
  <c r="R526" i="1" s="1"/>
  <c r="M526" i="1"/>
  <c r="N526" i="1" s="1"/>
  <c r="O526" i="1" s="1"/>
  <c r="V525" i="1"/>
  <c r="Q525" i="1"/>
  <c r="P525" i="1"/>
  <c r="R525" i="1" s="1"/>
  <c r="M525" i="1"/>
  <c r="N525" i="1" s="1"/>
  <c r="O525" i="1" s="1"/>
  <c r="S525" i="1" s="1"/>
  <c r="V524" i="1"/>
  <c r="P524" i="1"/>
  <c r="R524" i="1" s="1"/>
  <c r="O524" i="1"/>
  <c r="M524" i="1"/>
  <c r="N524" i="1" s="1"/>
  <c r="V523" i="1"/>
  <c r="P523" i="1"/>
  <c r="R523" i="1" s="1"/>
  <c r="M523" i="1"/>
  <c r="N523" i="1" s="1"/>
  <c r="O523" i="1" s="1"/>
  <c r="V522" i="1"/>
  <c r="P522" i="1"/>
  <c r="R522" i="1" s="1"/>
  <c r="M522" i="1"/>
  <c r="N522" i="1" s="1"/>
  <c r="O522" i="1" s="1"/>
  <c r="V521" i="1"/>
  <c r="P521" i="1"/>
  <c r="R521" i="1" s="1"/>
  <c r="M521" i="1"/>
  <c r="N521" i="1" s="1"/>
  <c r="O521" i="1" s="1"/>
  <c r="S521" i="1" s="1"/>
  <c r="V520" i="1"/>
  <c r="P520" i="1"/>
  <c r="R520" i="1" s="1"/>
  <c r="O520" i="1"/>
  <c r="M520" i="1"/>
  <c r="N520" i="1" s="1"/>
  <c r="V519" i="1"/>
  <c r="P519" i="1"/>
  <c r="R519" i="1" s="1"/>
  <c r="M519" i="1"/>
  <c r="N519" i="1" s="1"/>
  <c r="O519" i="1" s="1"/>
  <c r="V518" i="1"/>
  <c r="P518" i="1"/>
  <c r="R518" i="1" s="1"/>
  <c r="M518" i="1"/>
  <c r="N518" i="1" s="1"/>
  <c r="O518" i="1" s="1"/>
  <c r="V517" i="1"/>
  <c r="P517" i="1"/>
  <c r="R517" i="1" s="1"/>
  <c r="M517" i="1"/>
  <c r="N517" i="1" s="1"/>
  <c r="O517" i="1" s="1"/>
  <c r="S517" i="1" s="1"/>
  <c r="V516" i="1"/>
  <c r="P516" i="1"/>
  <c r="R516" i="1" s="1"/>
  <c r="O516" i="1"/>
  <c r="M516" i="1"/>
  <c r="N516" i="1" s="1"/>
  <c r="V515" i="1"/>
  <c r="P515" i="1"/>
  <c r="R515" i="1" s="1"/>
  <c r="M515" i="1"/>
  <c r="N515" i="1" s="1"/>
  <c r="O515" i="1" s="1"/>
  <c r="V514" i="1"/>
  <c r="P514" i="1"/>
  <c r="R514" i="1" s="1"/>
  <c r="M514" i="1"/>
  <c r="N514" i="1" s="1"/>
  <c r="O514" i="1" s="1"/>
  <c r="V513" i="1"/>
  <c r="Q513" i="1"/>
  <c r="P513" i="1"/>
  <c r="R513" i="1" s="1"/>
  <c r="M513" i="1"/>
  <c r="N513" i="1" s="1"/>
  <c r="O513" i="1" s="1"/>
  <c r="S513" i="1" s="1"/>
  <c r="V512" i="1"/>
  <c r="P512" i="1"/>
  <c r="R512" i="1" s="1"/>
  <c r="O512" i="1"/>
  <c r="M512" i="1"/>
  <c r="N512" i="1" s="1"/>
  <c r="V511" i="1"/>
  <c r="P511" i="1"/>
  <c r="R511" i="1" s="1"/>
  <c r="M511" i="1"/>
  <c r="N511" i="1" s="1"/>
  <c r="O511" i="1" s="1"/>
  <c r="V510" i="1"/>
  <c r="P510" i="1"/>
  <c r="R510" i="1" s="1"/>
  <c r="M510" i="1"/>
  <c r="N510" i="1" s="1"/>
  <c r="O510" i="1" s="1"/>
  <c r="V509" i="1"/>
  <c r="Q509" i="1"/>
  <c r="P509" i="1"/>
  <c r="R509" i="1" s="1"/>
  <c r="M509" i="1"/>
  <c r="N509" i="1" s="1"/>
  <c r="O509" i="1" s="1"/>
  <c r="S509" i="1" s="1"/>
  <c r="V508" i="1"/>
  <c r="P508" i="1"/>
  <c r="R508" i="1" s="1"/>
  <c r="O508" i="1"/>
  <c r="M508" i="1"/>
  <c r="N508" i="1" s="1"/>
  <c r="V507" i="1"/>
  <c r="P507" i="1"/>
  <c r="R507" i="1" s="1"/>
  <c r="M507" i="1"/>
  <c r="N507" i="1" s="1"/>
  <c r="O507" i="1" s="1"/>
  <c r="V506" i="1"/>
  <c r="P506" i="1"/>
  <c r="R506" i="1" s="1"/>
  <c r="M506" i="1"/>
  <c r="N506" i="1" s="1"/>
  <c r="O506" i="1" s="1"/>
  <c r="V505" i="1"/>
  <c r="P505" i="1"/>
  <c r="R505" i="1" s="1"/>
  <c r="M505" i="1"/>
  <c r="N505" i="1" s="1"/>
  <c r="O505" i="1" s="1"/>
  <c r="S505" i="1" s="1"/>
  <c r="V504" i="1"/>
  <c r="P504" i="1"/>
  <c r="R504" i="1" s="1"/>
  <c r="O504" i="1"/>
  <c r="M504" i="1"/>
  <c r="N504" i="1" s="1"/>
  <c r="V503" i="1"/>
  <c r="P503" i="1"/>
  <c r="R503" i="1" s="1"/>
  <c r="M503" i="1"/>
  <c r="N503" i="1" s="1"/>
  <c r="O503" i="1" s="1"/>
  <c r="V502" i="1"/>
  <c r="P502" i="1"/>
  <c r="R502" i="1" s="1"/>
  <c r="M502" i="1"/>
  <c r="N502" i="1" s="1"/>
  <c r="O502" i="1" s="1"/>
  <c r="V501" i="1"/>
  <c r="P501" i="1"/>
  <c r="R501" i="1" s="1"/>
  <c r="M501" i="1"/>
  <c r="N501" i="1" s="1"/>
  <c r="O501" i="1" s="1"/>
  <c r="S501" i="1" s="1"/>
  <c r="V500" i="1"/>
  <c r="P500" i="1"/>
  <c r="R500" i="1" s="1"/>
  <c r="O500" i="1"/>
  <c r="M500" i="1"/>
  <c r="N500" i="1" s="1"/>
  <c r="V499" i="1"/>
  <c r="P499" i="1"/>
  <c r="R499" i="1" s="1"/>
  <c r="M499" i="1"/>
  <c r="N499" i="1" s="1"/>
  <c r="O499" i="1" s="1"/>
  <c r="V498" i="1"/>
  <c r="P498" i="1"/>
  <c r="R498" i="1" s="1"/>
  <c r="M498" i="1"/>
  <c r="N498" i="1" s="1"/>
  <c r="O498" i="1" s="1"/>
  <c r="V497" i="1"/>
  <c r="Q497" i="1"/>
  <c r="P497" i="1"/>
  <c r="R497" i="1" s="1"/>
  <c r="M497" i="1"/>
  <c r="N497" i="1" s="1"/>
  <c r="O497" i="1" s="1"/>
  <c r="S497" i="1" s="1"/>
  <c r="V496" i="1"/>
  <c r="P496" i="1"/>
  <c r="R496" i="1" s="1"/>
  <c r="O496" i="1"/>
  <c r="M496" i="1"/>
  <c r="N496" i="1" s="1"/>
  <c r="V495" i="1"/>
  <c r="P495" i="1"/>
  <c r="R495" i="1" s="1"/>
  <c r="M495" i="1"/>
  <c r="N495" i="1" s="1"/>
  <c r="O495" i="1" s="1"/>
  <c r="V494" i="1"/>
  <c r="P494" i="1"/>
  <c r="R494" i="1" s="1"/>
  <c r="M494" i="1"/>
  <c r="N494" i="1" s="1"/>
  <c r="O494" i="1" s="1"/>
  <c r="V493" i="1"/>
  <c r="Q493" i="1"/>
  <c r="P493" i="1"/>
  <c r="R493" i="1" s="1"/>
  <c r="M493" i="1"/>
  <c r="N493" i="1" s="1"/>
  <c r="O493" i="1" s="1"/>
  <c r="S493" i="1" s="1"/>
  <c r="V492" i="1"/>
  <c r="P492" i="1"/>
  <c r="R492" i="1" s="1"/>
  <c r="O492" i="1"/>
  <c r="M492" i="1"/>
  <c r="N492" i="1" s="1"/>
  <c r="V491" i="1"/>
  <c r="P491" i="1"/>
  <c r="R491" i="1" s="1"/>
  <c r="M491" i="1"/>
  <c r="N491" i="1" s="1"/>
  <c r="O491" i="1" s="1"/>
  <c r="V490" i="1"/>
  <c r="P490" i="1"/>
  <c r="R490" i="1" s="1"/>
  <c r="M490" i="1"/>
  <c r="N490" i="1" s="1"/>
  <c r="O490" i="1" s="1"/>
  <c r="V489" i="1"/>
  <c r="P489" i="1"/>
  <c r="R489" i="1" s="1"/>
  <c r="M489" i="1"/>
  <c r="N489" i="1" s="1"/>
  <c r="O489" i="1" s="1"/>
  <c r="S489" i="1" s="1"/>
  <c r="V488" i="1"/>
  <c r="P488" i="1"/>
  <c r="R488" i="1" s="1"/>
  <c r="O488" i="1"/>
  <c r="M488" i="1"/>
  <c r="N488" i="1" s="1"/>
  <c r="V487" i="1"/>
  <c r="P487" i="1"/>
  <c r="R487" i="1" s="1"/>
  <c r="M487" i="1"/>
  <c r="N487" i="1" s="1"/>
  <c r="O487" i="1" s="1"/>
  <c r="V486" i="1"/>
  <c r="P486" i="1"/>
  <c r="R486" i="1" s="1"/>
  <c r="M486" i="1"/>
  <c r="N486" i="1" s="1"/>
  <c r="O486" i="1" s="1"/>
  <c r="V485" i="1"/>
  <c r="P485" i="1"/>
  <c r="R485" i="1" s="1"/>
  <c r="M485" i="1"/>
  <c r="N485" i="1" s="1"/>
  <c r="O485" i="1" s="1"/>
  <c r="S485" i="1" s="1"/>
  <c r="V484" i="1"/>
  <c r="P484" i="1"/>
  <c r="R484" i="1" s="1"/>
  <c r="O484" i="1"/>
  <c r="M484" i="1"/>
  <c r="N484" i="1" s="1"/>
  <c r="V483" i="1"/>
  <c r="P483" i="1"/>
  <c r="R483" i="1" s="1"/>
  <c r="M483" i="1"/>
  <c r="N483" i="1" s="1"/>
  <c r="O483" i="1" s="1"/>
  <c r="V482" i="1"/>
  <c r="P482" i="1"/>
  <c r="R482" i="1" s="1"/>
  <c r="M482" i="1"/>
  <c r="N482" i="1" s="1"/>
  <c r="O482" i="1" s="1"/>
  <c r="V481" i="1"/>
  <c r="Q481" i="1"/>
  <c r="P481" i="1"/>
  <c r="R481" i="1" s="1"/>
  <c r="M481" i="1"/>
  <c r="N481" i="1" s="1"/>
  <c r="O481" i="1" s="1"/>
  <c r="S481" i="1" s="1"/>
  <c r="V480" i="1"/>
  <c r="P480" i="1"/>
  <c r="R480" i="1" s="1"/>
  <c r="O480" i="1"/>
  <c r="M480" i="1"/>
  <c r="N480" i="1" s="1"/>
  <c r="V479" i="1"/>
  <c r="P479" i="1"/>
  <c r="R479" i="1" s="1"/>
  <c r="M479" i="1"/>
  <c r="N479" i="1" s="1"/>
  <c r="O479" i="1" s="1"/>
  <c r="V478" i="1"/>
  <c r="P478" i="1"/>
  <c r="R478" i="1" s="1"/>
  <c r="M478" i="1"/>
  <c r="N478" i="1" s="1"/>
  <c r="O478" i="1" s="1"/>
  <c r="V477" i="1"/>
  <c r="Q477" i="1"/>
  <c r="P477" i="1"/>
  <c r="R477" i="1" s="1"/>
  <c r="M477" i="1"/>
  <c r="N477" i="1" s="1"/>
  <c r="O477" i="1" s="1"/>
  <c r="S477" i="1" s="1"/>
  <c r="V476" i="1"/>
  <c r="P476" i="1"/>
  <c r="R476" i="1" s="1"/>
  <c r="O476" i="1"/>
  <c r="M476" i="1"/>
  <c r="N476" i="1" s="1"/>
  <c r="V475" i="1"/>
  <c r="P475" i="1"/>
  <c r="R475" i="1" s="1"/>
  <c r="M475" i="1"/>
  <c r="N475" i="1" s="1"/>
  <c r="O475" i="1" s="1"/>
  <c r="V474" i="1"/>
  <c r="P474" i="1"/>
  <c r="R474" i="1" s="1"/>
  <c r="M474" i="1"/>
  <c r="N474" i="1" s="1"/>
  <c r="O474" i="1" s="1"/>
  <c r="V473" i="1"/>
  <c r="P473" i="1"/>
  <c r="R473" i="1" s="1"/>
  <c r="M473" i="1"/>
  <c r="N473" i="1" s="1"/>
  <c r="O473" i="1" s="1"/>
  <c r="S473" i="1" s="1"/>
  <c r="V472" i="1"/>
  <c r="P472" i="1"/>
  <c r="R472" i="1" s="1"/>
  <c r="O472" i="1"/>
  <c r="M472" i="1"/>
  <c r="N472" i="1" s="1"/>
  <c r="V471" i="1"/>
  <c r="P471" i="1"/>
  <c r="R471" i="1" s="1"/>
  <c r="M471" i="1"/>
  <c r="N471" i="1" s="1"/>
  <c r="O471" i="1" s="1"/>
  <c r="V470" i="1"/>
  <c r="P470" i="1"/>
  <c r="R470" i="1" s="1"/>
  <c r="M470" i="1"/>
  <c r="N470" i="1" s="1"/>
  <c r="O470" i="1" s="1"/>
  <c r="V469" i="1"/>
  <c r="P469" i="1"/>
  <c r="R469" i="1" s="1"/>
  <c r="M469" i="1"/>
  <c r="N469" i="1" s="1"/>
  <c r="O469" i="1" s="1"/>
  <c r="S469" i="1" s="1"/>
  <c r="V468" i="1"/>
  <c r="P468" i="1"/>
  <c r="R468" i="1" s="1"/>
  <c r="O468" i="1"/>
  <c r="M468" i="1"/>
  <c r="N468" i="1" s="1"/>
  <c r="V467" i="1"/>
  <c r="P467" i="1"/>
  <c r="R467" i="1" s="1"/>
  <c r="M467" i="1"/>
  <c r="N467" i="1" s="1"/>
  <c r="O467" i="1" s="1"/>
  <c r="V466" i="1"/>
  <c r="P466" i="1"/>
  <c r="R466" i="1" s="1"/>
  <c r="M466" i="1"/>
  <c r="N466" i="1" s="1"/>
  <c r="O466" i="1" s="1"/>
  <c r="V465" i="1"/>
  <c r="Q465" i="1"/>
  <c r="P465" i="1"/>
  <c r="R465" i="1" s="1"/>
  <c r="M465" i="1"/>
  <c r="N465" i="1" s="1"/>
  <c r="O465" i="1" s="1"/>
  <c r="S465" i="1" s="1"/>
  <c r="V464" i="1"/>
  <c r="P464" i="1"/>
  <c r="R464" i="1" s="1"/>
  <c r="O464" i="1"/>
  <c r="M464" i="1"/>
  <c r="N464" i="1" s="1"/>
  <c r="V463" i="1"/>
  <c r="P463" i="1"/>
  <c r="R463" i="1" s="1"/>
  <c r="M463" i="1"/>
  <c r="N463" i="1" s="1"/>
  <c r="O463" i="1" s="1"/>
  <c r="V462" i="1"/>
  <c r="P462" i="1"/>
  <c r="R462" i="1" s="1"/>
  <c r="M462" i="1"/>
  <c r="N462" i="1" s="1"/>
  <c r="O462" i="1" s="1"/>
  <c r="V461" i="1"/>
  <c r="Q461" i="1"/>
  <c r="P461" i="1"/>
  <c r="R461" i="1" s="1"/>
  <c r="M461" i="1"/>
  <c r="N461" i="1" s="1"/>
  <c r="O461" i="1" s="1"/>
  <c r="S461" i="1" s="1"/>
  <c r="V460" i="1"/>
  <c r="P460" i="1"/>
  <c r="R460" i="1" s="1"/>
  <c r="O460" i="1"/>
  <c r="M460" i="1"/>
  <c r="N460" i="1" s="1"/>
  <c r="V459" i="1"/>
  <c r="P459" i="1"/>
  <c r="R459" i="1" s="1"/>
  <c r="M459" i="1"/>
  <c r="N459" i="1" s="1"/>
  <c r="O459" i="1" s="1"/>
  <c r="V458" i="1"/>
  <c r="P458" i="1"/>
  <c r="R458" i="1" s="1"/>
  <c r="M458" i="1"/>
  <c r="N458" i="1" s="1"/>
  <c r="O458" i="1" s="1"/>
  <c r="V457" i="1"/>
  <c r="P457" i="1"/>
  <c r="R457" i="1" s="1"/>
  <c r="M457" i="1"/>
  <c r="N457" i="1" s="1"/>
  <c r="O457" i="1" s="1"/>
  <c r="S457" i="1" s="1"/>
  <c r="V456" i="1"/>
  <c r="P456" i="1"/>
  <c r="R456" i="1" s="1"/>
  <c r="O456" i="1"/>
  <c r="M456" i="1"/>
  <c r="N456" i="1" s="1"/>
  <c r="V455" i="1"/>
  <c r="P455" i="1"/>
  <c r="R455" i="1" s="1"/>
  <c r="M455" i="1"/>
  <c r="N455" i="1" s="1"/>
  <c r="O455" i="1" s="1"/>
  <c r="V454" i="1"/>
  <c r="P454" i="1"/>
  <c r="R454" i="1" s="1"/>
  <c r="M454" i="1"/>
  <c r="N454" i="1" s="1"/>
  <c r="O454" i="1" s="1"/>
  <c r="V453" i="1"/>
  <c r="P453" i="1"/>
  <c r="R453" i="1" s="1"/>
  <c r="M453" i="1"/>
  <c r="N453" i="1" s="1"/>
  <c r="O453" i="1" s="1"/>
  <c r="S453" i="1" s="1"/>
  <c r="V452" i="1"/>
  <c r="P452" i="1"/>
  <c r="R452" i="1" s="1"/>
  <c r="O452" i="1"/>
  <c r="M452" i="1"/>
  <c r="N452" i="1" s="1"/>
  <c r="V451" i="1"/>
  <c r="P451" i="1"/>
  <c r="R451" i="1" s="1"/>
  <c r="M451" i="1"/>
  <c r="N451" i="1" s="1"/>
  <c r="O451" i="1" s="1"/>
  <c r="V450" i="1"/>
  <c r="P450" i="1"/>
  <c r="R450" i="1" s="1"/>
  <c r="M450" i="1"/>
  <c r="N450" i="1" s="1"/>
  <c r="O450" i="1" s="1"/>
  <c r="V449" i="1"/>
  <c r="Q449" i="1"/>
  <c r="P449" i="1"/>
  <c r="R449" i="1" s="1"/>
  <c r="M449" i="1"/>
  <c r="N449" i="1" s="1"/>
  <c r="O449" i="1" s="1"/>
  <c r="S449" i="1" s="1"/>
  <c r="V448" i="1"/>
  <c r="P448" i="1"/>
  <c r="R448" i="1" s="1"/>
  <c r="O448" i="1"/>
  <c r="M448" i="1"/>
  <c r="N448" i="1" s="1"/>
  <c r="V447" i="1"/>
  <c r="P447" i="1"/>
  <c r="R447" i="1" s="1"/>
  <c r="M447" i="1"/>
  <c r="N447" i="1" s="1"/>
  <c r="O447" i="1" s="1"/>
  <c r="V446" i="1"/>
  <c r="P446" i="1"/>
  <c r="R446" i="1" s="1"/>
  <c r="M446" i="1"/>
  <c r="N446" i="1" s="1"/>
  <c r="O446" i="1" s="1"/>
  <c r="V445" i="1"/>
  <c r="Q445" i="1"/>
  <c r="P445" i="1"/>
  <c r="R445" i="1" s="1"/>
  <c r="M445" i="1"/>
  <c r="N445" i="1" s="1"/>
  <c r="O445" i="1" s="1"/>
  <c r="S445" i="1" s="1"/>
  <c r="V444" i="1"/>
  <c r="P444" i="1"/>
  <c r="R444" i="1" s="1"/>
  <c r="O444" i="1"/>
  <c r="M444" i="1"/>
  <c r="N444" i="1" s="1"/>
  <c r="V443" i="1"/>
  <c r="R443" i="1"/>
  <c r="P443" i="1"/>
  <c r="M443" i="1"/>
  <c r="N443" i="1" s="1"/>
  <c r="O443" i="1" s="1"/>
  <c r="V442" i="1"/>
  <c r="P442" i="1"/>
  <c r="S442" i="1" s="1"/>
  <c r="M442" i="1"/>
  <c r="N442" i="1" s="1"/>
  <c r="O442" i="1" s="1"/>
  <c r="V441" i="1"/>
  <c r="P441" i="1"/>
  <c r="R441" i="1" s="1"/>
  <c r="O441" i="1"/>
  <c r="S441" i="1" s="1"/>
  <c r="M441" i="1"/>
  <c r="N441" i="1" s="1"/>
  <c r="V440" i="1"/>
  <c r="P440" i="1"/>
  <c r="R440" i="1" s="1"/>
  <c r="M440" i="1"/>
  <c r="N440" i="1" s="1"/>
  <c r="O440" i="1" s="1"/>
  <c r="S440" i="1" s="1"/>
  <c r="V439" i="1"/>
  <c r="S439" i="1"/>
  <c r="R439" i="1"/>
  <c r="P439" i="1"/>
  <c r="O439" i="1"/>
  <c r="Q439" i="1" s="1"/>
  <c r="M439" i="1"/>
  <c r="N439" i="1" s="1"/>
  <c r="V438" i="1"/>
  <c r="R438" i="1"/>
  <c r="P438" i="1"/>
  <c r="M438" i="1"/>
  <c r="N438" i="1" s="1"/>
  <c r="O438" i="1" s="1"/>
  <c r="Q438" i="1" s="1"/>
  <c r="V437" i="1"/>
  <c r="P437" i="1"/>
  <c r="O437" i="1"/>
  <c r="M437" i="1"/>
  <c r="N437" i="1" s="1"/>
  <c r="V436" i="1"/>
  <c r="P436" i="1"/>
  <c r="O436" i="1"/>
  <c r="M436" i="1"/>
  <c r="N436" i="1" s="1"/>
  <c r="V435" i="1"/>
  <c r="R435" i="1"/>
  <c r="P435" i="1"/>
  <c r="M435" i="1"/>
  <c r="N435" i="1" s="1"/>
  <c r="O435" i="1" s="1"/>
  <c r="V434" i="1"/>
  <c r="P434" i="1"/>
  <c r="M434" i="1"/>
  <c r="N434" i="1" s="1"/>
  <c r="O434" i="1" s="1"/>
  <c r="V433" i="1"/>
  <c r="P433" i="1"/>
  <c r="R433" i="1" s="1"/>
  <c r="O433" i="1"/>
  <c r="S433" i="1" s="1"/>
  <c r="M433" i="1"/>
  <c r="N433" i="1" s="1"/>
  <c r="V432" i="1"/>
  <c r="P432" i="1"/>
  <c r="R432" i="1" s="1"/>
  <c r="M432" i="1"/>
  <c r="N432" i="1" s="1"/>
  <c r="O432" i="1" s="1"/>
  <c r="S432" i="1" s="1"/>
  <c r="V431" i="1"/>
  <c r="S431" i="1"/>
  <c r="R431" i="1"/>
  <c r="P431" i="1"/>
  <c r="O431" i="1"/>
  <c r="Q431" i="1" s="1"/>
  <c r="M431" i="1"/>
  <c r="N431" i="1" s="1"/>
  <c r="V430" i="1"/>
  <c r="R430" i="1"/>
  <c r="Q430" i="1"/>
  <c r="P430" i="1"/>
  <c r="M430" i="1"/>
  <c r="N430" i="1" s="1"/>
  <c r="O430" i="1" s="1"/>
  <c r="V429" i="1"/>
  <c r="Q429" i="1"/>
  <c r="P429" i="1"/>
  <c r="O429" i="1"/>
  <c r="M429" i="1"/>
  <c r="N429" i="1" s="1"/>
  <c r="V428" i="1"/>
  <c r="P428" i="1"/>
  <c r="O428" i="1"/>
  <c r="M428" i="1"/>
  <c r="N428" i="1" s="1"/>
  <c r="V427" i="1"/>
  <c r="R427" i="1"/>
  <c r="P427" i="1"/>
  <c r="M427" i="1"/>
  <c r="N427" i="1" s="1"/>
  <c r="O427" i="1" s="1"/>
  <c r="V426" i="1"/>
  <c r="P426" i="1"/>
  <c r="S426" i="1" s="1"/>
  <c r="M426" i="1"/>
  <c r="N426" i="1" s="1"/>
  <c r="O426" i="1" s="1"/>
  <c r="V425" i="1"/>
  <c r="P425" i="1"/>
  <c r="R425" i="1" s="1"/>
  <c r="O425" i="1"/>
  <c r="S425" i="1" s="1"/>
  <c r="M425" i="1"/>
  <c r="N425" i="1" s="1"/>
  <c r="V424" i="1"/>
  <c r="P424" i="1"/>
  <c r="R424" i="1" s="1"/>
  <c r="M424" i="1"/>
  <c r="N424" i="1" s="1"/>
  <c r="O424" i="1" s="1"/>
  <c r="S424" i="1" s="1"/>
  <c r="V423" i="1"/>
  <c r="S423" i="1"/>
  <c r="R423" i="1"/>
  <c r="P423" i="1"/>
  <c r="O423" i="1"/>
  <c r="Q423" i="1" s="1"/>
  <c r="M423" i="1"/>
  <c r="N423" i="1" s="1"/>
  <c r="V422" i="1"/>
  <c r="R422" i="1"/>
  <c r="P422" i="1"/>
  <c r="M422" i="1"/>
  <c r="N422" i="1" s="1"/>
  <c r="O422" i="1" s="1"/>
  <c r="Q422" i="1" s="1"/>
  <c r="V421" i="1"/>
  <c r="Q421" i="1"/>
  <c r="P421" i="1"/>
  <c r="O421" i="1"/>
  <c r="M421" i="1"/>
  <c r="N421" i="1" s="1"/>
  <c r="V420" i="1"/>
  <c r="P420" i="1"/>
  <c r="O420" i="1"/>
  <c r="M420" i="1"/>
  <c r="N420" i="1" s="1"/>
  <c r="V419" i="1"/>
  <c r="R419" i="1"/>
  <c r="P419" i="1"/>
  <c r="M419" i="1"/>
  <c r="N419" i="1" s="1"/>
  <c r="O419" i="1" s="1"/>
  <c r="V418" i="1"/>
  <c r="P418" i="1"/>
  <c r="S418" i="1" s="1"/>
  <c r="M418" i="1"/>
  <c r="N418" i="1" s="1"/>
  <c r="O418" i="1" s="1"/>
  <c r="V417" i="1"/>
  <c r="P417" i="1"/>
  <c r="R417" i="1" s="1"/>
  <c r="O417" i="1"/>
  <c r="S417" i="1" s="1"/>
  <c r="M417" i="1"/>
  <c r="N417" i="1" s="1"/>
  <c r="V416" i="1"/>
  <c r="P416" i="1"/>
  <c r="R416" i="1" s="1"/>
  <c r="M416" i="1"/>
  <c r="N416" i="1" s="1"/>
  <c r="O416" i="1" s="1"/>
  <c r="S416" i="1" s="1"/>
  <c r="V415" i="1"/>
  <c r="S415" i="1"/>
  <c r="R415" i="1"/>
  <c r="P415" i="1"/>
  <c r="O415" i="1"/>
  <c r="Q415" i="1" s="1"/>
  <c r="M415" i="1"/>
  <c r="N415" i="1" s="1"/>
  <c r="V414" i="1"/>
  <c r="R414" i="1"/>
  <c r="Q414" i="1"/>
  <c r="P414" i="1"/>
  <c r="M414" i="1"/>
  <c r="N414" i="1" s="1"/>
  <c r="O414" i="1" s="1"/>
  <c r="V413" i="1"/>
  <c r="Q413" i="1"/>
  <c r="P413" i="1"/>
  <c r="O413" i="1"/>
  <c r="M413" i="1"/>
  <c r="N413" i="1" s="1"/>
  <c r="V412" i="1"/>
  <c r="P412" i="1"/>
  <c r="O412" i="1"/>
  <c r="M412" i="1"/>
  <c r="N412" i="1" s="1"/>
  <c r="V411" i="1"/>
  <c r="R411" i="1"/>
  <c r="P411" i="1"/>
  <c r="M411" i="1"/>
  <c r="N411" i="1" s="1"/>
  <c r="O411" i="1" s="1"/>
  <c r="V410" i="1"/>
  <c r="P410" i="1"/>
  <c r="S410" i="1" s="1"/>
  <c r="M410" i="1"/>
  <c r="N410" i="1" s="1"/>
  <c r="O410" i="1" s="1"/>
  <c r="V409" i="1"/>
  <c r="P409" i="1"/>
  <c r="R409" i="1" s="1"/>
  <c r="O409" i="1"/>
  <c r="S409" i="1" s="1"/>
  <c r="M409" i="1"/>
  <c r="N409" i="1" s="1"/>
  <c r="V408" i="1"/>
  <c r="P408" i="1"/>
  <c r="R408" i="1" s="1"/>
  <c r="M408" i="1"/>
  <c r="N408" i="1" s="1"/>
  <c r="O408" i="1" s="1"/>
  <c r="S408" i="1" s="1"/>
  <c r="V407" i="1"/>
  <c r="S407" i="1"/>
  <c r="R407" i="1"/>
  <c r="P407" i="1"/>
  <c r="O407" i="1"/>
  <c r="Q407" i="1" s="1"/>
  <c r="M407" i="1"/>
  <c r="N407" i="1" s="1"/>
  <c r="V406" i="1"/>
  <c r="R406" i="1"/>
  <c r="P406" i="1"/>
  <c r="M406" i="1"/>
  <c r="N406" i="1" s="1"/>
  <c r="O406" i="1" s="1"/>
  <c r="Q406" i="1" s="1"/>
  <c r="V405" i="1"/>
  <c r="S405" i="1"/>
  <c r="P405" i="1"/>
  <c r="R405" i="1" s="1"/>
  <c r="O405" i="1"/>
  <c r="M405" i="1"/>
  <c r="N405" i="1" s="1"/>
  <c r="V404" i="1"/>
  <c r="R404" i="1"/>
  <c r="P404" i="1"/>
  <c r="O404" i="1"/>
  <c r="M404" i="1"/>
  <c r="N404" i="1" s="1"/>
  <c r="V403" i="1"/>
  <c r="R403" i="1"/>
  <c r="P403" i="1"/>
  <c r="O403" i="1"/>
  <c r="S403" i="1" s="1"/>
  <c r="M403" i="1"/>
  <c r="N403" i="1" s="1"/>
  <c r="V402" i="1"/>
  <c r="P402" i="1"/>
  <c r="M402" i="1"/>
  <c r="N402" i="1" s="1"/>
  <c r="O402" i="1" s="1"/>
  <c r="V401" i="1"/>
  <c r="P401" i="1"/>
  <c r="R401" i="1" s="1"/>
  <c r="O401" i="1"/>
  <c r="M401" i="1"/>
  <c r="N401" i="1" s="1"/>
  <c r="V400" i="1"/>
  <c r="S400" i="1"/>
  <c r="P400" i="1"/>
  <c r="R400" i="1" s="1"/>
  <c r="M400" i="1"/>
  <c r="N400" i="1" s="1"/>
  <c r="O400" i="1" s="1"/>
  <c r="V399" i="1"/>
  <c r="S399" i="1"/>
  <c r="R399" i="1"/>
  <c r="P399" i="1"/>
  <c r="O399" i="1"/>
  <c r="Q399" i="1" s="1"/>
  <c r="M399" i="1"/>
  <c r="N399" i="1" s="1"/>
  <c r="V398" i="1"/>
  <c r="R398" i="1"/>
  <c r="Q398" i="1"/>
  <c r="P398" i="1"/>
  <c r="S398" i="1" s="1"/>
  <c r="M398" i="1"/>
  <c r="N398" i="1" s="1"/>
  <c r="O398" i="1" s="1"/>
  <c r="V397" i="1"/>
  <c r="S397" i="1"/>
  <c r="Q397" i="1"/>
  <c r="P397" i="1"/>
  <c r="R397" i="1" s="1"/>
  <c r="O397" i="1"/>
  <c r="M397" i="1"/>
  <c r="N397" i="1" s="1"/>
  <c r="V396" i="1"/>
  <c r="P396" i="1"/>
  <c r="O396" i="1"/>
  <c r="M396" i="1"/>
  <c r="N396" i="1" s="1"/>
  <c r="V395" i="1"/>
  <c r="R395" i="1"/>
  <c r="P395" i="1"/>
  <c r="M395" i="1"/>
  <c r="N395" i="1" s="1"/>
  <c r="O395" i="1" s="1"/>
  <c r="V394" i="1"/>
  <c r="R394" i="1"/>
  <c r="P394" i="1"/>
  <c r="M394" i="1"/>
  <c r="N394" i="1" s="1"/>
  <c r="O394" i="1" s="1"/>
  <c r="V393" i="1"/>
  <c r="P393" i="1"/>
  <c r="R393" i="1" s="1"/>
  <c r="O393" i="1"/>
  <c r="S393" i="1" s="1"/>
  <c r="M393" i="1"/>
  <c r="N393" i="1" s="1"/>
  <c r="V392" i="1"/>
  <c r="P392" i="1"/>
  <c r="M392" i="1"/>
  <c r="N392" i="1" s="1"/>
  <c r="O392" i="1" s="1"/>
  <c r="V391" i="1"/>
  <c r="R391" i="1"/>
  <c r="P391" i="1"/>
  <c r="O391" i="1"/>
  <c r="Q391" i="1" s="1"/>
  <c r="M391" i="1"/>
  <c r="N391" i="1" s="1"/>
  <c r="V390" i="1"/>
  <c r="R390" i="1"/>
  <c r="P390" i="1"/>
  <c r="M390" i="1"/>
  <c r="N390" i="1" s="1"/>
  <c r="O390" i="1" s="1"/>
  <c r="Q390" i="1" s="1"/>
  <c r="V389" i="1"/>
  <c r="S389" i="1"/>
  <c r="P389" i="1"/>
  <c r="R389" i="1" s="1"/>
  <c r="O389" i="1"/>
  <c r="M389" i="1"/>
  <c r="N389" i="1" s="1"/>
  <c r="V388" i="1"/>
  <c r="R388" i="1"/>
  <c r="P388" i="1"/>
  <c r="O388" i="1"/>
  <c r="M388" i="1"/>
  <c r="N388" i="1" s="1"/>
  <c r="V387" i="1"/>
  <c r="R387" i="1"/>
  <c r="P387" i="1"/>
  <c r="M387" i="1"/>
  <c r="N387" i="1" s="1"/>
  <c r="O387" i="1" s="1"/>
  <c r="V386" i="1"/>
  <c r="R386" i="1"/>
  <c r="P386" i="1"/>
  <c r="M386" i="1"/>
  <c r="N386" i="1" s="1"/>
  <c r="O386" i="1" s="1"/>
  <c r="V385" i="1"/>
  <c r="P385" i="1"/>
  <c r="R385" i="1" s="1"/>
  <c r="O385" i="1"/>
  <c r="S385" i="1" s="1"/>
  <c r="M385" i="1"/>
  <c r="N385" i="1" s="1"/>
  <c r="V384" i="1"/>
  <c r="P384" i="1"/>
  <c r="M384" i="1"/>
  <c r="N384" i="1" s="1"/>
  <c r="O384" i="1" s="1"/>
  <c r="V383" i="1"/>
  <c r="R383" i="1"/>
  <c r="P383" i="1"/>
  <c r="O383" i="1"/>
  <c r="Q383" i="1" s="1"/>
  <c r="M383" i="1"/>
  <c r="N383" i="1" s="1"/>
  <c r="V382" i="1"/>
  <c r="R382" i="1"/>
  <c r="P382" i="1"/>
  <c r="M382" i="1"/>
  <c r="N382" i="1" s="1"/>
  <c r="O382" i="1" s="1"/>
  <c r="Q382" i="1" s="1"/>
  <c r="V381" i="1"/>
  <c r="S381" i="1"/>
  <c r="P381" i="1"/>
  <c r="R381" i="1" s="1"/>
  <c r="O381" i="1"/>
  <c r="M381" i="1"/>
  <c r="N381" i="1" s="1"/>
  <c r="V380" i="1"/>
  <c r="R380" i="1"/>
  <c r="P380" i="1"/>
  <c r="O380" i="1"/>
  <c r="M380" i="1"/>
  <c r="N380" i="1" s="1"/>
  <c r="V379" i="1"/>
  <c r="R379" i="1"/>
  <c r="P379" i="1"/>
  <c r="M379" i="1"/>
  <c r="N379" i="1" s="1"/>
  <c r="O379" i="1" s="1"/>
  <c r="V378" i="1"/>
  <c r="R378" i="1"/>
  <c r="P378" i="1"/>
  <c r="M378" i="1"/>
  <c r="N378" i="1" s="1"/>
  <c r="O378" i="1" s="1"/>
  <c r="V377" i="1"/>
  <c r="Q377" i="1"/>
  <c r="P377" i="1"/>
  <c r="R377" i="1" s="1"/>
  <c r="O377" i="1"/>
  <c r="S377" i="1" s="1"/>
  <c r="M377" i="1"/>
  <c r="N377" i="1" s="1"/>
  <c r="V376" i="1"/>
  <c r="R376" i="1"/>
  <c r="P376" i="1"/>
  <c r="M376" i="1"/>
  <c r="N376" i="1" s="1"/>
  <c r="O376" i="1" s="1"/>
  <c r="V375" i="1"/>
  <c r="S375" i="1"/>
  <c r="R375" i="1"/>
  <c r="P375" i="1"/>
  <c r="O375" i="1"/>
  <c r="Q375" i="1" s="1"/>
  <c r="M375" i="1"/>
  <c r="N375" i="1" s="1"/>
  <c r="V374" i="1"/>
  <c r="Q374" i="1"/>
  <c r="P374" i="1"/>
  <c r="M374" i="1"/>
  <c r="N374" i="1" s="1"/>
  <c r="O374" i="1" s="1"/>
  <c r="V373" i="1"/>
  <c r="P373" i="1"/>
  <c r="R373" i="1" s="1"/>
  <c r="O373" i="1"/>
  <c r="M373" i="1"/>
  <c r="N373" i="1" s="1"/>
  <c r="V372" i="1"/>
  <c r="R372" i="1"/>
  <c r="P372" i="1"/>
  <c r="O372" i="1"/>
  <c r="M372" i="1"/>
  <c r="N372" i="1" s="1"/>
  <c r="V371" i="1"/>
  <c r="R371" i="1"/>
  <c r="P371" i="1"/>
  <c r="M371" i="1"/>
  <c r="N371" i="1" s="1"/>
  <c r="O371" i="1" s="1"/>
  <c r="V370" i="1"/>
  <c r="R370" i="1"/>
  <c r="P370" i="1"/>
  <c r="M370" i="1"/>
  <c r="N370" i="1" s="1"/>
  <c r="O370" i="1" s="1"/>
  <c r="V369" i="1"/>
  <c r="P369" i="1"/>
  <c r="R369" i="1" s="1"/>
  <c r="O369" i="1"/>
  <c r="S369" i="1" s="1"/>
  <c r="M369" i="1"/>
  <c r="N369" i="1" s="1"/>
  <c r="V368" i="1"/>
  <c r="S368" i="1"/>
  <c r="P368" i="1"/>
  <c r="Q368" i="1" s="1"/>
  <c r="M368" i="1"/>
  <c r="N368" i="1" s="1"/>
  <c r="O368" i="1" s="1"/>
  <c r="V367" i="1"/>
  <c r="S367" i="1"/>
  <c r="R367" i="1"/>
  <c r="P367" i="1"/>
  <c r="O367" i="1"/>
  <c r="Q367" i="1" s="1"/>
  <c r="M367" i="1"/>
  <c r="N367" i="1" s="1"/>
  <c r="V366" i="1"/>
  <c r="P366" i="1"/>
  <c r="S366" i="1" s="1"/>
  <c r="M366" i="1"/>
  <c r="N366" i="1" s="1"/>
  <c r="O366" i="1" s="1"/>
  <c r="V365" i="1"/>
  <c r="P365" i="1"/>
  <c r="R365" i="1" s="1"/>
  <c r="O365" i="1"/>
  <c r="S365" i="1" s="1"/>
  <c r="M365" i="1"/>
  <c r="N365" i="1" s="1"/>
  <c r="V364" i="1"/>
  <c r="P364" i="1"/>
  <c r="M364" i="1"/>
  <c r="N364" i="1" s="1"/>
  <c r="O364" i="1" s="1"/>
  <c r="V363" i="1"/>
  <c r="R363" i="1"/>
  <c r="Q363" i="1"/>
  <c r="P363" i="1"/>
  <c r="O363" i="1"/>
  <c r="S363" i="1" s="1"/>
  <c r="M363" i="1"/>
  <c r="N363" i="1" s="1"/>
  <c r="V362" i="1"/>
  <c r="P362" i="1"/>
  <c r="M362" i="1"/>
  <c r="N362" i="1" s="1"/>
  <c r="O362" i="1" s="1"/>
  <c r="V361" i="1"/>
  <c r="Q361" i="1"/>
  <c r="P361" i="1"/>
  <c r="R361" i="1" s="1"/>
  <c r="O361" i="1"/>
  <c r="S361" i="1" s="1"/>
  <c r="M361" i="1"/>
  <c r="N361" i="1" s="1"/>
  <c r="V360" i="1"/>
  <c r="R360" i="1"/>
  <c r="P360" i="1"/>
  <c r="M360" i="1"/>
  <c r="N360" i="1" s="1"/>
  <c r="O360" i="1" s="1"/>
  <c r="S360" i="1" s="1"/>
  <c r="V359" i="1"/>
  <c r="R359" i="1"/>
  <c r="P359" i="1"/>
  <c r="O359" i="1"/>
  <c r="S359" i="1" s="1"/>
  <c r="M359" i="1"/>
  <c r="N359" i="1" s="1"/>
  <c r="V358" i="1"/>
  <c r="R358" i="1"/>
  <c r="P358" i="1"/>
  <c r="M358" i="1"/>
  <c r="N358" i="1" s="1"/>
  <c r="O358" i="1" s="1"/>
  <c r="Q358" i="1" s="1"/>
  <c r="V357" i="1"/>
  <c r="S357" i="1"/>
  <c r="P357" i="1"/>
  <c r="R357" i="1" s="1"/>
  <c r="O357" i="1"/>
  <c r="M357" i="1"/>
  <c r="N357" i="1" s="1"/>
  <c r="V356" i="1"/>
  <c r="R356" i="1"/>
  <c r="P356" i="1"/>
  <c r="O356" i="1"/>
  <c r="M356" i="1"/>
  <c r="N356" i="1" s="1"/>
  <c r="V355" i="1"/>
  <c r="R355" i="1"/>
  <c r="P355" i="1"/>
  <c r="M355" i="1"/>
  <c r="N355" i="1" s="1"/>
  <c r="O355" i="1" s="1"/>
  <c r="V354" i="1"/>
  <c r="R354" i="1"/>
  <c r="P354" i="1"/>
  <c r="M354" i="1"/>
  <c r="N354" i="1" s="1"/>
  <c r="O354" i="1" s="1"/>
  <c r="V353" i="1"/>
  <c r="S353" i="1"/>
  <c r="Q353" i="1"/>
  <c r="P353" i="1"/>
  <c r="R353" i="1" s="1"/>
  <c r="O353" i="1"/>
  <c r="M353" i="1"/>
  <c r="N353" i="1" s="1"/>
  <c r="V352" i="1"/>
  <c r="P352" i="1"/>
  <c r="Q352" i="1" s="1"/>
  <c r="M352" i="1"/>
  <c r="N352" i="1" s="1"/>
  <c r="O352" i="1" s="1"/>
  <c r="V351" i="1"/>
  <c r="R351" i="1"/>
  <c r="Q351" i="1"/>
  <c r="P351" i="1"/>
  <c r="O351" i="1"/>
  <c r="S351" i="1" s="1"/>
  <c r="M351" i="1"/>
  <c r="N351" i="1" s="1"/>
  <c r="V350" i="1"/>
  <c r="R350" i="1"/>
  <c r="P350" i="1"/>
  <c r="S350" i="1" s="1"/>
  <c r="M350" i="1"/>
  <c r="N350" i="1" s="1"/>
  <c r="O350" i="1" s="1"/>
  <c r="V349" i="1"/>
  <c r="P349" i="1"/>
  <c r="R349" i="1" s="1"/>
  <c r="O349" i="1"/>
  <c r="Q349" i="1" s="1"/>
  <c r="M349" i="1"/>
  <c r="N349" i="1" s="1"/>
  <c r="V348" i="1"/>
  <c r="P348" i="1"/>
  <c r="M348" i="1"/>
  <c r="N348" i="1" s="1"/>
  <c r="O348" i="1" s="1"/>
  <c r="V347" i="1"/>
  <c r="S347" i="1"/>
  <c r="R347" i="1"/>
  <c r="Q347" i="1"/>
  <c r="P347" i="1"/>
  <c r="O347" i="1"/>
  <c r="M347" i="1"/>
  <c r="N347" i="1" s="1"/>
  <c r="V346" i="1"/>
  <c r="P346" i="1"/>
  <c r="M346" i="1"/>
  <c r="N346" i="1" s="1"/>
  <c r="O346" i="1" s="1"/>
  <c r="V345" i="1"/>
  <c r="P345" i="1"/>
  <c r="R345" i="1" s="1"/>
  <c r="O345" i="1"/>
  <c r="S345" i="1" s="1"/>
  <c r="M345" i="1"/>
  <c r="N345" i="1" s="1"/>
  <c r="V344" i="1"/>
  <c r="R344" i="1"/>
  <c r="P344" i="1"/>
  <c r="M344" i="1"/>
  <c r="N344" i="1" s="1"/>
  <c r="O344" i="1" s="1"/>
  <c r="V343" i="1"/>
  <c r="R343" i="1"/>
  <c r="Q343" i="1"/>
  <c r="P343" i="1"/>
  <c r="O343" i="1"/>
  <c r="S343" i="1" s="1"/>
  <c r="M343" i="1"/>
  <c r="N343" i="1" s="1"/>
  <c r="V342" i="1"/>
  <c r="P342" i="1"/>
  <c r="M342" i="1"/>
  <c r="N342" i="1" s="1"/>
  <c r="O342" i="1" s="1"/>
  <c r="Q342" i="1" s="1"/>
  <c r="V341" i="1"/>
  <c r="S341" i="1"/>
  <c r="P341" i="1"/>
  <c r="R341" i="1" s="1"/>
  <c r="O341" i="1"/>
  <c r="M341" i="1"/>
  <c r="N341" i="1" s="1"/>
  <c r="V340" i="1"/>
  <c r="R340" i="1"/>
  <c r="P340" i="1"/>
  <c r="O340" i="1"/>
  <c r="M340" i="1"/>
  <c r="N340" i="1" s="1"/>
  <c r="V339" i="1"/>
  <c r="R339" i="1"/>
  <c r="P339" i="1"/>
  <c r="M339" i="1"/>
  <c r="N339" i="1" s="1"/>
  <c r="O339" i="1" s="1"/>
  <c r="V338" i="1"/>
  <c r="R338" i="1"/>
  <c r="P338" i="1"/>
  <c r="M338" i="1"/>
  <c r="N338" i="1" s="1"/>
  <c r="O338" i="1" s="1"/>
  <c r="V337" i="1"/>
  <c r="S337" i="1"/>
  <c r="P337" i="1"/>
  <c r="R337" i="1" s="1"/>
  <c r="O337" i="1"/>
  <c r="Q337" i="1" s="1"/>
  <c r="M337" i="1"/>
  <c r="N337" i="1" s="1"/>
  <c r="V336" i="1"/>
  <c r="P336" i="1"/>
  <c r="Q336" i="1" s="1"/>
  <c r="M336" i="1"/>
  <c r="N336" i="1" s="1"/>
  <c r="O336" i="1" s="1"/>
  <c r="V335" i="1"/>
  <c r="R335" i="1"/>
  <c r="P335" i="1"/>
  <c r="O335" i="1"/>
  <c r="S335" i="1" s="1"/>
  <c r="M335" i="1"/>
  <c r="N335" i="1" s="1"/>
  <c r="V334" i="1"/>
  <c r="R334" i="1"/>
  <c r="P334" i="1"/>
  <c r="S334" i="1" s="1"/>
  <c r="M334" i="1"/>
  <c r="N334" i="1" s="1"/>
  <c r="O334" i="1" s="1"/>
  <c r="V333" i="1"/>
  <c r="Q333" i="1"/>
  <c r="P333" i="1"/>
  <c r="R333" i="1" s="1"/>
  <c r="O333" i="1"/>
  <c r="S333" i="1" s="1"/>
  <c r="M333" i="1"/>
  <c r="N333" i="1" s="1"/>
  <c r="V332" i="1"/>
  <c r="P332" i="1"/>
  <c r="M332" i="1"/>
  <c r="N332" i="1" s="1"/>
  <c r="O332" i="1" s="1"/>
  <c r="V331" i="1"/>
  <c r="S331" i="1"/>
  <c r="R331" i="1"/>
  <c r="P331" i="1"/>
  <c r="O331" i="1"/>
  <c r="Q331" i="1" s="1"/>
  <c r="M331" i="1"/>
  <c r="N331" i="1" s="1"/>
  <c r="V330" i="1"/>
  <c r="P330" i="1"/>
  <c r="M330" i="1"/>
  <c r="N330" i="1" s="1"/>
  <c r="O330" i="1" s="1"/>
  <c r="V329" i="1"/>
  <c r="P329" i="1"/>
  <c r="R329" i="1" s="1"/>
  <c r="O329" i="1"/>
  <c r="S329" i="1" s="1"/>
  <c r="M329" i="1"/>
  <c r="N329" i="1" s="1"/>
  <c r="V328" i="1"/>
  <c r="R328" i="1"/>
  <c r="P328" i="1"/>
  <c r="M328" i="1"/>
  <c r="N328" i="1" s="1"/>
  <c r="O328" i="1" s="1"/>
  <c r="S328" i="1" s="1"/>
  <c r="V327" i="1"/>
  <c r="S327" i="1"/>
  <c r="R327" i="1"/>
  <c r="Q327" i="1"/>
  <c r="P327" i="1"/>
  <c r="O327" i="1"/>
  <c r="M327" i="1"/>
  <c r="N327" i="1" s="1"/>
  <c r="V326" i="1"/>
  <c r="R326" i="1"/>
  <c r="P326" i="1"/>
  <c r="M326" i="1"/>
  <c r="N326" i="1" s="1"/>
  <c r="O326" i="1" s="1"/>
  <c r="V325" i="1"/>
  <c r="R325" i="1"/>
  <c r="Q325" i="1"/>
  <c r="P325" i="1"/>
  <c r="O325" i="1"/>
  <c r="S325" i="1" s="1"/>
  <c r="M325" i="1"/>
  <c r="N325" i="1" s="1"/>
  <c r="V324" i="1"/>
  <c r="R324" i="1"/>
  <c r="P324" i="1"/>
  <c r="M324" i="1"/>
  <c r="N324" i="1" s="1"/>
  <c r="O324" i="1" s="1"/>
  <c r="V323" i="1"/>
  <c r="R323" i="1"/>
  <c r="P323" i="1"/>
  <c r="O323" i="1"/>
  <c r="S323" i="1" s="1"/>
  <c r="M323" i="1"/>
  <c r="N323" i="1" s="1"/>
  <c r="V322" i="1"/>
  <c r="R322" i="1"/>
  <c r="P322" i="1"/>
  <c r="M322" i="1"/>
  <c r="N322" i="1" s="1"/>
  <c r="O322" i="1" s="1"/>
  <c r="V321" i="1"/>
  <c r="S321" i="1"/>
  <c r="R321" i="1"/>
  <c r="P321" i="1"/>
  <c r="O321" i="1"/>
  <c r="Q321" i="1" s="1"/>
  <c r="M321" i="1"/>
  <c r="N321" i="1" s="1"/>
  <c r="V320" i="1"/>
  <c r="R320" i="1"/>
  <c r="P320" i="1"/>
  <c r="M320" i="1"/>
  <c r="N320" i="1" s="1"/>
  <c r="O320" i="1" s="1"/>
  <c r="V319" i="1"/>
  <c r="S319" i="1"/>
  <c r="R319" i="1"/>
  <c r="Q319" i="1"/>
  <c r="P319" i="1"/>
  <c r="O319" i="1"/>
  <c r="M319" i="1"/>
  <c r="N319" i="1" s="1"/>
  <c r="V318" i="1"/>
  <c r="R318" i="1"/>
  <c r="P318" i="1"/>
  <c r="M318" i="1"/>
  <c r="N318" i="1" s="1"/>
  <c r="O318" i="1" s="1"/>
  <c r="V317" i="1"/>
  <c r="R317" i="1"/>
  <c r="Q317" i="1"/>
  <c r="P317" i="1"/>
  <c r="O317" i="1"/>
  <c r="S317" i="1" s="1"/>
  <c r="M317" i="1"/>
  <c r="N317" i="1" s="1"/>
  <c r="V316" i="1"/>
  <c r="R316" i="1"/>
  <c r="P316" i="1"/>
  <c r="M316" i="1"/>
  <c r="N316" i="1" s="1"/>
  <c r="O316" i="1" s="1"/>
  <c r="V315" i="1"/>
  <c r="R315" i="1"/>
  <c r="P315" i="1"/>
  <c r="O315" i="1"/>
  <c r="S315" i="1" s="1"/>
  <c r="M315" i="1"/>
  <c r="N315" i="1" s="1"/>
  <c r="V314" i="1"/>
  <c r="R314" i="1"/>
  <c r="P314" i="1"/>
  <c r="M314" i="1"/>
  <c r="N314" i="1" s="1"/>
  <c r="O314" i="1" s="1"/>
  <c r="V313" i="1"/>
  <c r="S313" i="1"/>
  <c r="R313" i="1"/>
  <c r="P313" i="1"/>
  <c r="O313" i="1"/>
  <c r="Q313" i="1" s="1"/>
  <c r="M313" i="1"/>
  <c r="N313" i="1" s="1"/>
  <c r="V312" i="1"/>
  <c r="R312" i="1"/>
  <c r="P312" i="1"/>
  <c r="M312" i="1"/>
  <c r="N312" i="1" s="1"/>
  <c r="O312" i="1" s="1"/>
  <c r="V311" i="1"/>
  <c r="S311" i="1"/>
  <c r="R311" i="1"/>
  <c r="Q311" i="1"/>
  <c r="P311" i="1"/>
  <c r="O311" i="1"/>
  <c r="M311" i="1"/>
  <c r="N311" i="1" s="1"/>
  <c r="V310" i="1"/>
  <c r="R310" i="1"/>
  <c r="P310" i="1"/>
  <c r="M310" i="1"/>
  <c r="N310" i="1" s="1"/>
  <c r="O310" i="1" s="1"/>
  <c r="V309" i="1"/>
  <c r="R309" i="1"/>
  <c r="Q309" i="1"/>
  <c r="P309" i="1"/>
  <c r="O309" i="1"/>
  <c r="S309" i="1" s="1"/>
  <c r="M309" i="1"/>
  <c r="N309" i="1" s="1"/>
  <c r="V308" i="1"/>
  <c r="R308" i="1"/>
  <c r="P308" i="1"/>
  <c r="M308" i="1"/>
  <c r="N308" i="1" s="1"/>
  <c r="O308" i="1" s="1"/>
  <c r="V307" i="1"/>
  <c r="R307" i="1"/>
  <c r="P307" i="1"/>
  <c r="O307" i="1"/>
  <c r="S307" i="1" s="1"/>
  <c r="M307" i="1"/>
  <c r="N307" i="1" s="1"/>
  <c r="V306" i="1"/>
  <c r="R306" i="1"/>
  <c r="P306" i="1"/>
  <c r="M306" i="1"/>
  <c r="N306" i="1" s="1"/>
  <c r="O306" i="1" s="1"/>
  <c r="V305" i="1"/>
  <c r="S305" i="1"/>
  <c r="R305" i="1"/>
  <c r="P305" i="1"/>
  <c r="O305" i="1"/>
  <c r="Q305" i="1" s="1"/>
  <c r="M305" i="1"/>
  <c r="N305" i="1" s="1"/>
  <c r="V304" i="1"/>
  <c r="R304" i="1"/>
  <c r="P304" i="1"/>
  <c r="M304" i="1"/>
  <c r="N304" i="1" s="1"/>
  <c r="O304" i="1" s="1"/>
  <c r="V303" i="1"/>
  <c r="S303" i="1"/>
  <c r="R303" i="1"/>
  <c r="Q303" i="1"/>
  <c r="P303" i="1"/>
  <c r="O303" i="1"/>
  <c r="M303" i="1"/>
  <c r="N303" i="1" s="1"/>
  <c r="V302" i="1"/>
  <c r="R302" i="1"/>
  <c r="P302" i="1"/>
  <c r="M302" i="1"/>
  <c r="N302" i="1" s="1"/>
  <c r="O302" i="1" s="1"/>
  <c r="V301" i="1"/>
  <c r="R301" i="1"/>
  <c r="Q301" i="1"/>
  <c r="P301" i="1"/>
  <c r="O301" i="1"/>
  <c r="S301" i="1" s="1"/>
  <c r="M301" i="1"/>
  <c r="N301" i="1" s="1"/>
  <c r="V300" i="1"/>
  <c r="R300" i="1"/>
  <c r="P300" i="1"/>
  <c r="M300" i="1"/>
  <c r="N300" i="1" s="1"/>
  <c r="O300" i="1" s="1"/>
  <c r="V299" i="1"/>
  <c r="R299" i="1"/>
  <c r="P299" i="1"/>
  <c r="O299" i="1"/>
  <c r="S299" i="1" s="1"/>
  <c r="M299" i="1"/>
  <c r="N299" i="1" s="1"/>
  <c r="V298" i="1"/>
  <c r="R298" i="1"/>
  <c r="P298" i="1"/>
  <c r="M298" i="1"/>
  <c r="N298" i="1" s="1"/>
  <c r="O298" i="1" s="1"/>
  <c r="V297" i="1"/>
  <c r="S297" i="1"/>
  <c r="R297" i="1"/>
  <c r="P297" i="1"/>
  <c r="O297" i="1"/>
  <c r="Q297" i="1" s="1"/>
  <c r="M297" i="1"/>
  <c r="N297" i="1" s="1"/>
  <c r="V296" i="1"/>
  <c r="R296" i="1"/>
  <c r="P296" i="1"/>
  <c r="M296" i="1"/>
  <c r="N296" i="1" s="1"/>
  <c r="O296" i="1" s="1"/>
  <c r="V295" i="1"/>
  <c r="S295" i="1"/>
  <c r="R295" i="1"/>
  <c r="Q295" i="1"/>
  <c r="P295" i="1"/>
  <c r="O295" i="1"/>
  <c r="M295" i="1"/>
  <c r="N295" i="1" s="1"/>
  <c r="V294" i="1"/>
  <c r="R294" i="1"/>
  <c r="P294" i="1"/>
  <c r="M294" i="1"/>
  <c r="N294" i="1" s="1"/>
  <c r="O294" i="1" s="1"/>
  <c r="V293" i="1"/>
  <c r="R293" i="1"/>
  <c r="Q293" i="1"/>
  <c r="P293" i="1"/>
  <c r="O293" i="1"/>
  <c r="S293" i="1" s="1"/>
  <c r="M293" i="1"/>
  <c r="N293" i="1" s="1"/>
  <c r="V292" i="1"/>
  <c r="R292" i="1"/>
  <c r="P292" i="1"/>
  <c r="M292" i="1"/>
  <c r="N292" i="1" s="1"/>
  <c r="O292" i="1" s="1"/>
  <c r="V291" i="1"/>
  <c r="R291" i="1"/>
  <c r="P291" i="1"/>
  <c r="O291" i="1"/>
  <c r="S291" i="1" s="1"/>
  <c r="M291" i="1"/>
  <c r="N291" i="1" s="1"/>
  <c r="V290" i="1"/>
  <c r="R290" i="1"/>
  <c r="P290" i="1"/>
  <c r="M290" i="1"/>
  <c r="N290" i="1" s="1"/>
  <c r="O290" i="1" s="1"/>
  <c r="V289" i="1"/>
  <c r="S289" i="1"/>
  <c r="R289" i="1"/>
  <c r="P289" i="1"/>
  <c r="O289" i="1"/>
  <c r="Q289" i="1" s="1"/>
  <c r="M289" i="1"/>
  <c r="N289" i="1" s="1"/>
  <c r="V288" i="1"/>
  <c r="R288" i="1"/>
  <c r="P288" i="1"/>
  <c r="M288" i="1"/>
  <c r="N288" i="1" s="1"/>
  <c r="O288" i="1" s="1"/>
  <c r="V287" i="1"/>
  <c r="S287" i="1"/>
  <c r="R287" i="1"/>
  <c r="Q287" i="1"/>
  <c r="P287" i="1"/>
  <c r="O287" i="1"/>
  <c r="M287" i="1"/>
  <c r="N287" i="1" s="1"/>
  <c r="V286" i="1"/>
  <c r="R286" i="1"/>
  <c r="P286" i="1"/>
  <c r="M286" i="1"/>
  <c r="N286" i="1" s="1"/>
  <c r="O286" i="1" s="1"/>
  <c r="V285" i="1"/>
  <c r="R285" i="1"/>
  <c r="Q285" i="1"/>
  <c r="P285" i="1"/>
  <c r="O285" i="1"/>
  <c r="S285" i="1" s="1"/>
  <c r="M285" i="1"/>
  <c r="N285" i="1" s="1"/>
  <c r="V284" i="1"/>
  <c r="R284" i="1"/>
  <c r="P284" i="1"/>
  <c r="M284" i="1"/>
  <c r="N284" i="1" s="1"/>
  <c r="O284" i="1" s="1"/>
  <c r="V283" i="1"/>
  <c r="R283" i="1"/>
  <c r="P283" i="1"/>
  <c r="O283" i="1"/>
  <c r="S283" i="1" s="1"/>
  <c r="M283" i="1"/>
  <c r="N283" i="1" s="1"/>
  <c r="V282" i="1"/>
  <c r="R282" i="1"/>
  <c r="P282" i="1"/>
  <c r="M282" i="1"/>
  <c r="N282" i="1" s="1"/>
  <c r="O282" i="1" s="1"/>
  <c r="V281" i="1"/>
  <c r="S281" i="1"/>
  <c r="R281" i="1"/>
  <c r="P281" i="1"/>
  <c r="O281" i="1"/>
  <c r="Q281" i="1" s="1"/>
  <c r="M281" i="1"/>
  <c r="N281" i="1" s="1"/>
  <c r="V280" i="1"/>
  <c r="R280" i="1"/>
  <c r="P280" i="1"/>
  <c r="M280" i="1"/>
  <c r="N280" i="1" s="1"/>
  <c r="O280" i="1" s="1"/>
  <c r="V279" i="1"/>
  <c r="R279" i="1"/>
  <c r="P279" i="1"/>
  <c r="M279" i="1"/>
  <c r="N279" i="1" s="1"/>
  <c r="O279" i="1" s="1"/>
  <c r="V278" i="1"/>
  <c r="R278" i="1"/>
  <c r="P278" i="1"/>
  <c r="M278" i="1"/>
  <c r="N278" i="1" s="1"/>
  <c r="O278" i="1" s="1"/>
  <c r="V277" i="1"/>
  <c r="R277" i="1"/>
  <c r="P277" i="1"/>
  <c r="M277" i="1"/>
  <c r="N277" i="1" s="1"/>
  <c r="O277" i="1" s="1"/>
  <c r="V276" i="1"/>
  <c r="R276" i="1"/>
  <c r="P276" i="1"/>
  <c r="M276" i="1"/>
  <c r="N276" i="1" s="1"/>
  <c r="O276" i="1" s="1"/>
  <c r="V275" i="1"/>
  <c r="R275" i="1"/>
  <c r="P275" i="1"/>
  <c r="M275" i="1"/>
  <c r="N275" i="1" s="1"/>
  <c r="O275" i="1" s="1"/>
  <c r="V274" i="1"/>
  <c r="R274" i="1"/>
  <c r="P274" i="1"/>
  <c r="M274" i="1"/>
  <c r="N274" i="1" s="1"/>
  <c r="O274" i="1" s="1"/>
  <c r="V273" i="1"/>
  <c r="R273" i="1"/>
  <c r="P273" i="1"/>
  <c r="M273" i="1"/>
  <c r="N273" i="1" s="1"/>
  <c r="O273" i="1" s="1"/>
  <c r="V272" i="1"/>
  <c r="R272" i="1"/>
  <c r="P272" i="1"/>
  <c r="M272" i="1"/>
  <c r="N272" i="1" s="1"/>
  <c r="O272" i="1" s="1"/>
  <c r="V271" i="1"/>
  <c r="R271" i="1"/>
  <c r="P271" i="1"/>
  <c r="M271" i="1"/>
  <c r="N271" i="1" s="1"/>
  <c r="O271" i="1" s="1"/>
  <c r="V270" i="1"/>
  <c r="R270" i="1"/>
  <c r="P270" i="1"/>
  <c r="M270" i="1"/>
  <c r="N270" i="1" s="1"/>
  <c r="O270" i="1" s="1"/>
  <c r="V269" i="1"/>
  <c r="R269" i="1"/>
  <c r="P269" i="1"/>
  <c r="M269" i="1"/>
  <c r="N269" i="1" s="1"/>
  <c r="O269" i="1" s="1"/>
  <c r="V268" i="1"/>
  <c r="R268" i="1"/>
  <c r="P268" i="1"/>
  <c r="M268" i="1"/>
  <c r="N268" i="1" s="1"/>
  <c r="O268" i="1" s="1"/>
  <c r="V267" i="1"/>
  <c r="R267" i="1"/>
  <c r="P267" i="1"/>
  <c r="M267" i="1"/>
  <c r="N267" i="1" s="1"/>
  <c r="O267" i="1" s="1"/>
  <c r="V266" i="1"/>
  <c r="R266" i="1"/>
  <c r="P266" i="1"/>
  <c r="M266" i="1"/>
  <c r="N266" i="1" s="1"/>
  <c r="O266" i="1" s="1"/>
  <c r="V265" i="1"/>
  <c r="R265" i="1"/>
  <c r="P265" i="1"/>
  <c r="M265" i="1"/>
  <c r="N265" i="1" s="1"/>
  <c r="O265" i="1" s="1"/>
  <c r="V264" i="1"/>
  <c r="R264" i="1"/>
  <c r="P264" i="1"/>
  <c r="M264" i="1"/>
  <c r="N264" i="1" s="1"/>
  <c r="O264" i="1" s="1"/>
  <c r="V263" i="1"/>
  <c r="R263" i="1"/>
  <c r="P263" i="1"/>
  <c r="M263" i="1"/>
  <c r="N263" i="1" s="1"/>
  <c r="O263" i="1" s="1"/>
  <c r="V262" i="1"/>
  <c r="R262" i="1"/>
  <c r="P262" i="1"/>
  <c r="M262" i="1"/>
  <c r="N262" i="1" s="1"/>
  <c r="O262" i="1" s="1"/>
  <c r="V261" i="1"/>
  <c r="R261" i="1"/>
  <c r="P261" i="1"/>
  <c r="M261" i="1"/>
  <c r="N261" i="1" s="1"/>
  <c r="O261" i="1" s="1"/>
  <c r="V260" i="1"/>
  <c r="R260" i="1"/>
  <c r="P260" i="1"/>
  <c r="M260" i="1"/>
  <c r="N260" i="1" s="1"/>
  <c r="O260" i="1" s="1"/>
  <c r="V259" i="1"/>
  <c r="R259" i="1"/>
  <c r="P259" i="1"/>
  <c r="M259" i="1"/>
  <c r="N259" i="1" s="1"/>
  <c r="O259" i="1" s="1"/>
  <c r="V258" i="1"/>
  <c r="R258" i="1"/>
  <c r="P258" i="1"/>
  <c r="M258" i="1"/>
  <c r="N258" i="1" s="1"/>
  <c r="O258" i="1" s="1"/>
  <c r="V257" i="1"/>
  <c r="R257" i="1"/>
  <c r="P257" i="1"/>
  <c r="M257" i="1"/>
  <c r="N257" i="1" s="1"/>
  <c r="O257" i="1" s="1"/>
  <c r="V256" i="1"/>
  <c r="R256" i="1"/>
  <c r="P256" i="1"/>
  <c r="M256" i="1"/>
  <c r="N256" i="1" s="1"/>
  <c r="O256" i="1" s="1"/>
  <c r="V255" i="1"/>
  <c r="R255" i="1"/>
  <c r="P255" i="1"/>
  <c r="M255" i="1"/>
  <c r="N255" i="1" s="1"/>
  <c r="O255" i="1" s="1"/>
  <c r="V254" i="1"/>
  <c r="R254" i="1"/>
  <c r="P254" i="1"/>
  <c r="M254" i="1"/>
  <c r="N254" i="1" s="1"/>
  <c r="O254" i="1" s="1"/>
  <c r="V253" i="1"/>
  <c r="R253" i="1"/>
  <c r="P253" i="1"/>
  <c r="M253" i="1"/>
  <c r="N253" i="1" s="1"/>
  <c r="O253" i="1" s="1"/>
  <c r="V252" i="1"/>
  <c r="R252" i="1"/>
  <c r="P252" i="1"/>
  <c r="M252" i="1"/>
  <c r="N252" i="1" s="1"/>
  <c r="O252" i="1" s="1"/>
  <c r="V251" i="1"/>
  <c r="R251" i="1"/>
  <c r="P251" i="1"/>
  <c r="M251" i="1"/>
  <c r="N251" i="1" s="1"/>
  <c r="O251" i="1" s="1"/>
  <c r="V250" i="1"/>
  <c r="R250" i="1"/>
  <c r="P250" i="1"/>
  <c r="M250" i="1"/>
  <c r="N250" i="1" s="1"/>
  <c r="O250" i="1" s="1"/>
  <c r="V249" i="1"/>
  <c r="R249" i="1"/>
  <c r="P249" i="1"/>
  <c r="M249" i="1"/>
  <c r="N249" i="1" s="1"/>
  <c r="O249" i="1" s="1"/>
  <c r="V248" i="1"/>
  <c r="R248" i="1"/>
  <c r="P248" i="1"/>
  <c r="M248" i="1"/>
  <c r="N248" i="1" s="1"/>
  <c r="O248" i="1" s="1"/>
  <c r="V247" i="1"/>
  <c r="R247" i="1"/>
  <c r="P247" i="1"/>
  <c r="M247" i="1"/>
  <c r="N247" i="1" s="1"/>
  <c r="O247" i="1" s="1"/>
  <c r="V246" i="1"/>
  <c r="R246" i="1"/>
  <c r="P246" i="1"/>
  <c r="M246" i="1"/>
  <c r="N246" i="1" s="1"/>
  <c r="O246" i="1" s="1"/>
  <c r="V245" i="1"/>
  <c r="R245" i="1"/>
  <c r="P245" i="1"/>
  <c r="M245" i="1"/>
  <c r="N245" i="1" s="1"/>
  <c r="O245" i="1" s="1"/>
  <c r="V244" i="1"/>
  <c r="R244" i="1"/>
  <c r="P244" i="1"/>
  <c r="M244" i="1"/>
  <c r="N244" i="1" s="1"/>
  <c r="O244" i="1" s="1"/>
  <c r="V243" i="1"/>
  <c r="R243" i="1"/>
  <c r="P243" i="1"/>
  <c r="M243" i="1"/>
  <c r="N243" i="1" s="1"/>
  <c r="O243" i="1" s="1"/>
  <c r="V242" i="1"/>
  <c r="R242" i="1"/>
  <c r="P242" i="1"/>
  <c r="M242" i="1"/>
  <c r="N242" i="1" s="1"/>
  <c r="O242" i="1" s="1"/>
  <c r="V241" i="1"/>
  <c r="R241" i="1"/>
  <c r="P241" i="1"/>
  <c r="M241" i="1"/>
  <c r="N241" i="1" s="1"/>
  <c r="O241" i="1" s="1"/>
  <c r="V240" i="1"/>
  <c r="R240" i="1"/>
  <c r="P240" i="1"/>
  <c r="M240" i="1"/>
  <c r="N240" i="1" s="1"/>
  <c r="O240" i="1" s="1"/>
  <c r="V239" i="1"/>
  <c r="R239" i="1"/>
  <c r="P239" i="1"/>
  <c r="M239" i="1"/>
  <c r="N239" i="1" s="1"/>
  <c r="O239" i="1" s="1"/>
  <c r="V238" i="1"/>
  <c r="R238" i="1"/>
  <c r="P238" i="1"/>
  <c r="M238" i="1"/>
  <c r="N238" i="1" s="1"/>
  <c r="O238" i="1" s="1"/>
  <c r="V237" i="1"/>
  <c r="R237" i="1"/>
  <c r="P237" i="1"/>
  <c r="M237" i="1"/>
  <c r="N237" i="1" s="1"/>
  <c r="O237" i="1" s="1"/>
  <c r="V236" i="1"/>
  <c r="R236" i="1"/>
  <c r="P236" i="1"/>
  <c r="M236" i="1"/>
  <c r="N236" i="1" s="1"/>
  <c r="O236" i="1" s="1"/>
  <c r="V235" i="1"/>
  <c r="R235" i="1"/>
  <c r="P235" i="1"/>
  <c r="M235" i="1"/>
  <c r="N235" i="1" s="1"/>
  <c r="O235" i="1" s="1"/>
  <c r="V234" i="1"/>
  <c r="R234" i="1"/>
  <c r="P234" i="1"/>
  <c r="M234" i="1"/>
  <c r="N234" i="1" s="1"/>
  <c r="O234" i="1" s="1"/>
  <c r="V233" i="1"/>
  <c r="R233" i="1"/>
  <c r="P233" i="1"/>
  <c r="M233" i="1"/>
  <c r="N233" i="1" s="1"/>
  <c r="O233" i="1" s="1"/>
  <c r="V232" i="1"/>
  <c r="R232" i="1"/>
  <c r="P232" i="1"/>
  <c r="M232" i="1"/>
  <c r="N232" i="1" s="1"/>
  <c r="O232" i="1" s="1"/>
  <c r="V231" i="1"/>
  <c r="R231" i="1"/>
  <c r="P231" i="1"/>
  <c r="M231" i="1"/>
  <c r="N231" i="1" s="1"/>
  <c r="O231" i="1" s="1"/>
  <c r="V230" i="1"/>
  <c r="R230" i="1"/>
  <c r="P230" i="1"/>
  <c r="M230" i="1"/>
  <c r="N230" i="1" s="1"/>
  <c r="O230" i="1" s="1"/>
  <c r="V229" i="1"/>
  <c r="R229" i="1"/>
  <c r="P229" i="1"/>
  <c r="M229" i="1"/>
  <c r="N229" i="1" s="1"/>
  <c r="O229" i="1" s="1"/>
  <c r="V228" i="1"/>
  <c r="R228" i="1"/>
  <c r="P228" i="1"/>
  <c r="M228" i="1"/>
  <c r="N228" i="1" s="1"/>
  <c r="O228" i="1" s="1"/>
  <c r="V227" i="1"/>
  <c r="R227" i="1"/>
  <c r="P227" i="1"/>
  <c r="M227" i="1"/>
  <c r="N227" i="1" s="1"/>
  <c r="O227" i="1" s="1"/>
  <c r="V226" i="1"/>
  <c r="R226" i="1"/>
  <c r="P226" i="1"/>
  <c r="M226" i="1"/>
  <c r="N226" i="1" s="1"/>
  <c r="O226" i="1" s="1"/>
  <c r="V225" i="1"/>
  <c r="R225" i="1"/>
  <c r="P225" i="1"/>
  <c r="M225" i="1"/>
  <c r="N225" i="1" s="1"/>
  <c r="O225" i="1" s="1"/>
  <c r="V224" i="1"/>
  <c r="R224" i="1"/>
  <c r="P224" i="1"/>
  <c r="M224" i="1"/>
  <c r="N224" i="1" s="1"/>
  <c r="O224" i="1" s="1"/>
  <c r="V223" i="1"/>
  <c r="R223" i="1"/>
  <c r="P223" i="1"/>
  <c r="M223" i="1"/>
  <c r="N223" i="1" s="1"/>
  <c r="O223" i="1" s="1"/>
  <c r="V222" i="1"/>
  <c r="R222" i="1"/>
  <c r="P222" i="1"/>
  <c r="M222" i="1"/>
  <c r="N222" i="1" s="1"/>
  <c r="O222" i="1" s="1"/>
  <c r="V221" i="1"/>
  <c r="R221" i="1"/>
  <c r="P221" i="1"/>
  <c r="M221" i="1"/>
  <c r="N221" i="1" s="1"/>
  <c r="O221" i="1" s="1"/>
  <c r="V220" i="1"/>
  <c r="R220" i="1"/>
  <c r="P220" i="1"/>
  <c r="M220" i="1"/>
  <c r="N220" i="1" s="1"/>
  <c r="O220" i="1" s="1"/>
  <c r="V219" i="1"/>
  <c r="R219" i="1"/>
  <c r="P219" i="1"/>
  <c r="M219" i="1"/>
  <c r="N219" i="1" s="1"/>
  <c r="O219" i="1" s="1"/>
  <c r="V218" i="1"/>
  <c r="R218" i="1"/>
  <c r="P218" i="1"/>
  <c r="M218" i="1"/>
  <c r="N218" i="1" s="1"/>
  <c r="O218" i="1" s="1"/>
  <c r="V217" i="1"/>
  <c r="R217" i="1"/>
  <c r="P217" i="1"/>
  <c r="M217" i="1"/>
  <c r="N217" i="1" s="1"/>
  <c r="O217" i="1" s="1"/>
  <c r="V216" i="1"/>
  <c r="R216" i="1"/>
  <c r="P216" i="1"/>
  <c r="M216" i="1"/>
  <c r="N216" i="1" s="1"/>
  <c r="O216" i="1" s="1"/>
  <c r="V215" i="1"/>
  <c r="R215" i="1"/>
  <c r="P215" i="1"/>
  <c r="M215" i="1"/>
  <c r="N215" i="1" s="1"/>
  <c r="O215" i="1" s="1"/>
  <c r="V214" i="1"/>
  <c r="R214" i="1"/>
  <c r="P214" i="1"/>
  <c r="M214" i="1"/>
  <c r="N214" i="1" s="1"/>
  <c r="O214" i="1" s="1"/>
  <c r="V213" i="1"/>
  <c r="R213" i="1"/>
  <c r="P213" i="1"/>
  <c r="M213" i="1"/>
  <c r="N213" i="1" s="1"/>
  <c r="O213" i="1" s="1"/>
  <c r="V212" i="1"/>
  <c r="R212" i="1"/>
  <c r="P212" i="1"/>
  <c r="M212" i="1"/>
  <c r="N212" i="1" s="1"/>
  <c r="O212" i="1" s="1"/>
  <c r="V211" i="1"/>
  <c r="R211" i="1"/>
  <c r="P211" i="1"/>
  <c r="M211" i="1"/>
  <c r="N211" i="1" s="1"/>
  <c r="O211" i="1" s="1"/>
  <c r="V210" i="1"/>
  <c r="R210" i="1"/>
  <c r="P210" i="1"/>
  <c r="M210" i="1"/>
  <c r="N210" i="1" s="1"/>
  <c r="O210" i="1" s="1"/>
  <c r="V209" i="1"/>
  <c r="R209" i="1"/>
  <c r="P209" i="1"/>
  <c r="M209" i="1"/>
  <c r="N209" i="1" s="1"/>
  <c r="O209" i="1" s="1"/>
  <c r="V208" i="1"/>
  <c r="R208" i="1"/>
  <c r="P208" i="1"/>
  <c r="M208" i="1"/>
  <c r="N208" i="1" s="1"/>
  <c r="O208" i="1" s="1"/>
  <c r="V207" i="1"/>
  <c r="R207" i="1"/>
  <c r="P207" i="1"/>
  <c r="M207" i="1"/>
  <c r="N207" i="1" s="1"/>
  <c r="O207" i="1" s="1"/>
  <c r="V206" i="1"/>
  <c r="R206" i="1"/>
  <c r="P206" i="1"/>
  <c r="M206" i="1"/>
  <c r="N206" i="1" s="1"/>
  <c r="O206" i="1" s="1"/>
  <c r="V205" i="1"/>
  <c r="R205" i="1"/>
  <c r="P205" i="1"/>
  <c r="M205" i="1"/>
  <c r="N205" i="1" s="1"/>
  <c r="O205" i="1" s="1"/>
  <c r="V204" i="1"/>
  <c r="R204" i="1"/>
  <c r="P204" i="1"/>
  <c r="M204" i="1"/>
  <c r="N204" i="1" s="1"/>
  <c r="O204" i="1" s="1"/>
  <c r="V203" i="1"/>
  <c r="R203" i="1"/>
  <c r="P203" i="1"/>
  <c r="M203" i="1"/>
  <c r="N203" i="1" s="1"/>
  <c r="O203" i="1" s="1"/>
  <c r="Q203" i="1" s="1"/>
  <c r="V202" i="1"/>
  <c r="R202" i="1"/>
  <c r="P202" i="1"/>
  <c r="M202" i="1"/>
  <c r="N202" i="1" s="1"/>
  <c r="O202" i="1" s="1"/>
  <c r="Q202" i="1" s="1"/>
  <c r="V201" i="1"/>
  <c r="S201" i="1"/>
  <c r="R201" i="1"/>
  <c r="P201" i="1"/>
  <c r="M201" i="1"/>
  <c r="N201" i="1" s="1"/>
  <c r="O201" i="1" s="1"/>
  <c r="Q201" i="1" s="1"/>
  <c r="V200" i="1"/>
  <c r="R200" i="1"/>
  <c r="P200" i="1"/>
  <c r="M200" i="1"/>
  <c r="N200" i="1" s="1"/>
  <c r="O200" i="1" s="1"/>
  <c r="Q200" i="1" s="1"/>
  <c r="V199" i="1"/>
  <c r="R199" i="1"/>
  <c r="P199" i="1"/>
  <c r="M199" i="1"/>
  <c r="N199" i="1" s="1"/>
  <c r="O199" i="1" s="1"/>
  <c r="Q199" i="1" s="1"/>
  <c r="V198" i="1"/>
  <c r="R198" i="1"/>
  <c r="P198" i="1"/>
  <c r="M198" i="1"/>
  <c r="N198" i="1" s="1"/>
  <c r="O198" i="1" s="1"/>
  <c r="Q198" i="1" s="1"/>
  <c r="V197" i="1"/>
  <c r="S197" i="1"/>
  <c r="R197" i="1"/>
  <c r="P197" i="1"/>
  <c r="M197" i="1"/>
  <c r="N197" i="1" s="1"/>
  <c r="O197" i="1" s="1"/>
  <c r="Q197" i="1" s="1"/>
  <c r="V196" i="1"/>
  <c r="R196" i="1"/>
  <c r="P196" i="1"/>
  <c r="M196" i="1"/>
  <c r="N196" i="1" s="1"/>
  <c r="O196" i="1" s="1"/>
  <c r="Q196" i="1" s="1"/>
  <c r="V195" i="1"/>
  <c r="R195" i="1"/>
  <c r="P195" i="1"/>
  <c r="M195" i="1"/>
  <c r="N195" i="1" s="1"/>
  <c r="O195" i="1" s="1"/>
  <c r="Q195" i="1" s="1"/>
  <c r="V194" i="1"/>
  <c r="R194" i="1"/>
  <c r="P194" i="1"/>
  <c r="M194" i="1"/>
  <c r="N194" i="1" s="1"/>
  <c r="O194" i="1" s="1"/>
  <c r="Q194" i="1" s="1"/>
  <c r="V193" i="1"/>
  <c r="S193" i="1"/>
  <c r="R193" i="1"/>
  <c r="P193" i="1"/>
  <c r="M193" i="1"/>
  <c r="N193" i="1" s="1"/>
  <c r="O193" i="1" s="1"/>
  <c r="Q193" i="1" s="1"/>
  <c r="V192" i="1"/>
  <c r="R192" i="1"/>
  <c r="P192" i="1"/>
  <c r="M192" i="1"/>
  <c r="N192" i="1" s="1"/>
  <c r="O192" i="1" s="1"/>
  <c r="Q192" i="1" s="1"/>
  <c r="V191" i="1"/>
  <c r="R191" i="1"/>
  <c r="P191" i="1"/>
  <c r="M191" i="1"/>
  <c r="N191" i="1" s="1"/>
  <c r="O191" i="1" s="1"/>
  <c r="Q191" i="1" s="1"/>
  <c r="V190" i="1"/>
  <c r="R190" i="1"/>
  <c r="P190" i="1"/>
  <c r="M190" i="1"/>
  <c r="N190" i="1" s="1"/>
  <c r="O190" i="1" s="1"/>
  <c r="Q190" i="1" s="1"/>
  <c r="V189" i="1"/>
  <c r="S189" i="1"/>
  <c r="R189" i="1"/>
  <c r="P189" i="1"/>
  <c r="M189" i="1"/>
  <c r="N189" i="1" s="1"/>
  <c r="O189" i="1" s="1"/>
  <c r="Q189" i="1" s="1"/>
  <c r="V188" i="1"/>
  <c r="R188" i="1"/>
  <c r="P188" i="1"/>
  <c r="M188" i="1"/>
  <c r="N188" i="1" s="1"/>
  <c r="O188" i="1" s="1"/>
  <c r="Q188" i="1" s="1"/>
  <c r="V187" i="1"/>
  <c r="R187" i="1"/>
  <c r="P187" i="1"/>
  <c r="M187" i="1"/>
  <c r="N187" i="1" s="1"/>
  <c r="O187" i="1" s="1"/>
  <c r="Q187" i="1" s="1"/>
  <c r="V186" i="1"/>
  <c r="R186" i="1"/>
  <c r="P186" i="1"/>
  <c r="M186" i="1"/>
  <c r="N186" i="1" s="1"/>
  <c r="O186" i="1" s="1"/>
  <c r="Q186" i="1" s="1"/>
  <c r="V185" i="1"/>
  <c r="S185" i="1"/>
  <c r="R185" i="1"/>
  <c r="P185" i="1"/>
  <c r="M185" i="1"/>
  <c r="N185" i="1" s="1"/>
  <c r="O185" i="1" s="1"/>
  <c r="Q185" i="1" s="1"/>
  <c r="V184" i="1"/>
  <c r="R184" i="1"/>
  <c r="P184" i="1"/>
  <c r="M184" i="1"/>
  <c r="N184" i="1" s="1"/>
  <c r="O184" i="1" s="1"/>
  <c r="Q184" i="1" s="1"/>
  <c r="V183" i="1"/>
  <c r="R183" i="1"/>
  <c r="P183" i="1"/>
  <c r="M183" i="1"/>
  <c r="N183" i="1" s="1"/>
  <c r="O183" i="1" s="1"/>
  <c r="Q183" i="1" s="1"/>
  <c r="V182" i="1"/>
  <c r="R182" i="1"/>
  <c r="P182" i="1"/>
  <c r="M182" i="1"/>
  <c r="N182" i="1" s="1"/>
  <c r="O182" i="1" s="1"/>
  <c r="Q182" i="1" s="1"/>
  <c r="V181" i="1"/>
  <c r="S181" i="1"/>
  <c r="R181" i="1"/>
  <c r="P181" i="1"/>
  <c r="M181" i="1"/>
  <c r="N181" i="1" s="1"/>
  <c r="O181" i="1" s="1"/>
  <c r="Q181" i="1" s="1"/>
  <c r="V180" i="1"/>
  <c r="R180" i="1"/>
  <c r="P180" i="1"/>
  <c r="M180" i="1"/>
  <c r="N180" i="1" s="1"/>
  <c r="O180" i="1" s="1"/>
  <c r="Q180" i="1" s="1"/>
  <c r="V179" i="1"/>
  <c r="R179" i="1"/>
  <c r="P179" i="1"/>
  <c r="M179" i="1"/>
  <c r="N179" i="1" s="1"/>
  <c r="O179" i="1" s="1"/>
  <c r="Q179" i="1" s="1"/>
  <c r="V178" i="1"/>
  <c r="R178" i="1"/>
  <c r="P178" i="1"/>
  <c r="M178" i="1"/>
  <c r="N178" i="1" s="1"/>
  <c r="O178" i="1" s="1"/>
  <c r="Q178" i="1" s="1"/>
  <c r="V177" i="1"/>
  <c r="S177" i="1"/>
  <c r="R177" i="1"/>
  <c r="P177" i="1"/>
  <c r="M177" i="1"/>
  <c r="N177" i="1" s="1"/>
  <c r="O177" i="1" s="1"/>
  <c r="Q177" i="1" s="1"/>
  <c r="V176" i="1"/>
  <c r="R176" i="1"/>
  <c r="P176" i="1"/>
  <c r="M176" i="1"/>
  <c r="N176" i="1" s="1"/>
  <c r="O176" i="1" s="1"/>
  <c r="Q176" i="1" s="1"/>
  <c r="V175" i="1"/>
  <c r="R175" i="1"/>
  <c r="P175" i="1"/>
  <c r="M175" i="1"/>
  <c r="N175" i="1" s="1"/>
  <c r="O175" i="1" s="1"/>
  <c r="Q175" i="1" s="1"/>
  <c r="V174" i="1"/>
  <c r="R174" i="1"/>
  <c r="P174" i="1"/>
  <c r="M174" i="1"/>
  <c r="N174" i="1" s="1"/>
  <c r="O174" i="1" s="1"/>
  <c r="Q174" i="1" s="1"/>
  <c r="V173" i="1"/>
  <c r="S173" i="1"/>
  <c r="R173" i="1"/>
  <c r="P173" i="1"/>
  <c r="M173" i="1"/>
  <c r="N173" i="1" s="1"/>
  <c r="O173" i="1" s="1"/>
  <c r="Q173" i="1" s="1"/>
  <c r="V172" i="1"/>
  <c r="R172" i="1"/>
  <c r="P172" i="1"/>
  <c r="M172" i="1"/>
  <c r="N172" i="1" s="1"/>
  <c r="O172" i="1" s="1"/>
  <c r="Q172" i="1" s="1"/>
  <c r="V171" i="1"/>
  <c r="R171" i="1"/>
  <c r="P171" i="1"/>
  <c r="M171" i="1"/>
  <c r="N171" i="1" s="1"/>
  <c r="O171" i="1" s="1"/>
  <c r="Q171" i="1" s="1"/>
  <c r="V170" i="1"/>
  <c r="R170" i="1"/>
  <c r="P170" i="1"/>
  <c r="M170" i="1"/>
  <c r="N170" i="1" s="1"/>
  <c r="O170" i="1" s="1"/>
  <c r="Q170" i="1" s="1"/>
  <c r="V169" i="1"/>
  <c r="S169" i="1"/>
  <c r="R169" i="1"/>
  <c r="P169" i="1"/>
  <c r="M169" i="1"/>
  <c r="N169" i="1" s="1"/>
  <c r="O169" i="1" s="1"/>
  <c r="Q169" i="1" s="1"/>
  <c r="V168" i="1"/>
  <c r="R168" i="1"/>
  <c r="P168" i="1"/>
  <c r="M168" i="1"/>
  <c r="N168" i="1" s="1"/>
  <c r="O168" i="1" s="1"/>
  <c r="Q168" i="1" s="1"/>
  <c r="V167" i="1"/>
  <c r="R167" i="1"/>
  <c r="P167" i="1"/>
  <c r="M167" i="1"/>
  <c r="N167" i="1" s="1"/>
  <c r="O167" i="1" s="1"/>
  <c r="Q167" i="1" s="1"/>
  <c r="V166" i="1"/>
  <c r="R166" i="1"/>
  <c r="P166" i="1"/>
  <c r="M166" i="1"/>
  <c r="N166" i="1" s="1"/>
  <c r="O166" i="1" s="1"/>
  <c r="Q166" i="1" s="1"/>
  <c r="V165" i="1"/>
  <c r="S165" i="1"/>
  <c r="R165" i="1"/>
  <c r="P165" i="1"/>
  <c r="M165" i="1"/>
  <c r="N165" i="1" s="1"/>
  <c r="O165" i="1" s="1"/>
  <c r="Q165" i="1" s="1"/>
  <c r="V164" i="1"/>
  <c r="R164" i="1"/>
  <c r="P164" i="1"/>
  <c r="M164" i="1"/>
  <c r="N164" i="1" s="1"/>
  <c r="O164" i="1" s="1"/>
  <c r="Q164" i="1" s="1"/>
  <c r="V163" i="1"/>
  <c r="R163" i="1"/>
  <c r="P163" i="1"/>
  <c r="M163" i="1"/>
  <c r="N163" i="1" s="1"/>
  <c r="O163" i="1" s="1"/>
  <c r="Q163" i="1" s="1"/>
  <c r="V162" i="1"/>
  <c r="R162" i="1"/>
  <c r="P162" i="1"/>
  <c r="M162" i="1"/>
  <c r="N162" i="1" s="1"/>
  <c r="O162" i="1" s="1"/>
  <c r="Q162" i="1" s="1"/>
  <c r="V161" i="1"/>
  <c r="S161" i="1"/>
  <c r="R161" i="1"/>
  <c r="P161" i="1"/>
  <c r="M161" i="1"/>
  <c r="N161" i="1" s="1"/>
  <c r="O161" i="1" s="1"/>
  <c r="Q161" i="1" s="1"/>
  <c r="V160" i="1"/>
  <c r="R160" i="1"/>
  <c r="P160" i="1"/>
  <c r="M160" i="1"/>
  <c r="N160" i="1" s="1"/>
  <c r="O160" i="1" s="1"/>
  <c r="Q160" i="1" s="1"/>
  <c r="V159" i="1"/>
  <c r="R159" i="1"/>
  <c r="P159" i="1"/>
  <c r="M159" i="1"/>
  <c r="N159" i="1" s="1"/>
  <c r="O159" i="1" s="1"/>
  <c r="Q159" i="1" s="1"/>
  <c r="V158" i="1"/>
  <c r="R158" i="1"/>
  <c r="P158" i="1"/>
  <c r="M158" i="1"/>
  <c r="N158" i="1" s="1"/>
  <c r="O158" i="1" s="1"/>
  <c r="Q158" i="1" s="1"/>
  <c r="V157" i="1"/>
  <c r="S157" i="1"/>
  <c r="R157" i="1"/>
  <c r="P157" i="1"/>
  <c r="M157" i="1"/>
  <c r="N157" i="1" s="1"/>
  <c r="O157" i="1" s="1"/>
  <c r="Q157" i="1" s="1"/>
  <c r="V156" i="1"/>
  <c r="R156" i="1"/>
  <c r="P156" i="1"/>
  <c r="M156" i="1"/>
  <c r="N156" i="1" s="1"/>
  <c r="O156" i="1" s="1"/>
  <c r="Q156" i="1" s="1"/>
  <c r="V155" i="1"/>
  <c r="R155" i="1"/>
  <c r="P155" i="1"/>
  <c r="M155" i="1"/>
  <c r="N155" i="1" s="1"/>
  <c r="O155" i="1" s="1"/>
  <c r="Q155" i="1" s="1"/>
  <c r="V154" i="1"/>
  <c r="R154" i="1"/>
  <c r="P154" i="1"/>
  <c r="M154" i="1"/>
  <c r="N154" i="1" s="1"/>
  <c r="O154" i="1" s="1"/>
  <c r="Q154" i="1" s="1"/>
  <c r="V153" i="1"/>
  <c r="S153" i="1"/>
  <c r="R153" i="1"/>
  <c r="P153" i="1"/>
  <c r="M153" i="1"/>
  <c r="N153" i="1" s="1"/>
  <c r="O153" i="1" s="1"/>
  <c r="Q153" i="1" s="1"/>
  <c r="V152" i="1"/>
  <c r="R152" i="1"/>
  <c r="P152" i="1"/>
  <c r="M152" i="1"/>
  <c r="N152" i="1" s="1"/>
  <c r="O152" i="1" s="1"/>
  <c r="Q152" i="1" s="1"/>
  <c r="V151" i="1"/>
  <c r="R151" i="1"/>
  <c r="P151" i="1"/>
  <c r="M151" i="1"/>
  <c r="N151" i="1" s="1"/>
  <c r="O151" i="1" s="1"/>
  <c r="Q151" i="1" s="1"/>
  <c r="V150" i="1"/>
  <c r="R150" i="1"/>
  <c r="P150" i="1"/>
  <c r="M150" i="1"/>
  <c r="N150" i="1" s="1"/>
  <c r="O150" i="1" s="1"/>
  <c r="Q150" i="1" s="1"/>
  <c r="V149" i="1"/>
  <c r="S149" i="1"/>
  <c r="R149" i="1"/>
  <c r="P149" i="1"/>
  <c r="M149" i="1"/>
  <c r="N149" i="1" s="1"/>
  <c r="O149" i="1" s="1"/>
  <c r="Q149" i="1" s="1"/>
  <c r="V148" i="1"/>
  <c r="R148" i="1"/>
  <c r="P148" i="1"/>
  <c r="M148" i="1"/>
  <c r="N148" i="1" s="1"/>
  <c r="O148" i="1" s="1"/>
  <c r="Q148" i="1" s="1"/>
  <c r="V147" i="1"/>
  <c r="R147" i="1"/>
  <c r="P147" i="1"/>
  <c r="M147" i="1"/>
  <c r="N147" i="1" s="1"/>
  <c r="O147" i="1" s="1"/>
  <c r="Q147" i="1" s="1"/>
  <c r="V146" i="1"/>
  <c r="R146" i="1"/>
  <c r="P146" i="1"/>
  <c r="M146" i="1"/>
  <c r="N146" i="1" s="1"/>
  <c r="O146" i="1" s="1"/>
  <c r="Q146" i="1" s="1"/>
  <c r="V145" i="1"/>
  <c r="S145" i="1"/>
  <c r="R145" i="1"/>
  <c r="P145" i="1"/>
  <c r="M145" i="1"/>
  <c r="N145" i="1" s="1"/>
  <c r="O145" i="1" s="1"/>
  <c r="Q145" i="1" s="1"/>
  <c r="V144" i="1"/>
  <c r="R144" i="1"/>
  <c r="P144" i="1"/>
  <c r="M144" i="1"/>
  <c r="N144" i="1" s="1"/>
  <c r="O144" i="1" s="1"/>
  <c r="Q144" i="1" s="1"/>
  <c r="V143" i="1"/>
  <c r="R143" i="1"/>
  <c r="P143" i="1"/>
  <c r="M143" i="1"/>
  <c r="N143" i="1" s="1"/>
  <c r="O143" i="1" s="1"/>
  <c r="Q143" i="1" s="1"/>
  <c r="V142" i="1"/>
  <c r="R142" i="1"/>
  <c r="P142" i="1"/>
  <c r="M142" i="1"/>
  <c r="N142" i="1" s="1"/>
  <c r="O142" i="1" s="1"/>
  <c r="Q142" i="1" s="1"/>
  <c r="V141" i="1"/>
  <c r="S141" i="1"/>
  <c r="R141" i="1"/>
  <c r="P141" i="1"/>
  <c r="M141" i="1"/>
  <c r="N141" i="1" s="1"/>
  <c r="O141" i="1" s="1"/>
  <c r="Q141" i="1" s="1"/>
  <c r="V140" i="1"/>
  <c r="R140" i="1"/>
  <c r="P140" i="1"/>
  <c r="M140" i="1"/>
  <c r="N140" i="1" s="1"/>
  <c r="O140" i="1" s="1"/>
  <c r="Q140" i="1" s="1"/>
  <c r="V139" i="1"/>
  <c r="R139" i="1"/>
  <c r="P139" i="1"/>
  <c r="M139" i="1"/>
  <c r="N139" i="1" s="1"/>
  <c r="O139" i="1" s="1"/>
  <c r="Q139" i="1" s="1"/>
  <c r="V138" i="1"/>
  <c r="R138" i="1"/>
  <c r="P138" i="1"/>
  <c r="M138" i="1"/>
  <c r="N138" i="1" s="1"/>
  <c r="O138" i="1" s="1"/>
  <c r="Q138" i="1" s="1"/>
  <c r="V137" i="1"/>
  <c r="S137" i="1"/>
  <c r="R137" i="1"/>
  <c r="P137" i="1"/>
  <c r="M137" i="1"/>
  <c r="N137" i="1" s="1"/>
  <c r="O137" i="1" s="1"/>
  <c r="Q137" i="1" s="1"/>
  <c r="V136" i="1"/>
  <c r="R136" i="1"/>
  <c r="P136" i="1"/>
  <c r="M136" i="1"/>
  <c r="N136" i="1" s="1"/>
  <c r="O136" i="1" s="1"/>
  <c r="Q136" i="1" s="1"/>
  <c r="V135" i="1"/>
  <c r="R135" i="1"/>
  <c r="P135" i="1"/>
  <c r="M135" i="1"/>
  <c r="N135" i="1" s="1"/>
  <c r="O135" i="1" s="1"/>
  <c r="Q135" i="1" s="1"/>
  <c r="V134" i="1"/>
  <c r="R134" i="1"/>
  <c r="P134" i="1"/>
  <c r="M134" i="1"/>
  <c r="N134" i="1" s="1"/>
  <c r="O134" i="1" s="1"/>
  <c r="Q134" i="1" s="1"/>
  <c r="V133" i="1"/>
  <c r="S133" i="1"/>
  <c r="R133" i="1"/>
  <c r="P133" i="1"/>
  <c r="M133" i="1"/>
  <c r="N133" i="1" s="1"/>
  <c r="O133" i="1" s="1"/>
  <c r="Q133" i="1" s="1"/>
  <c r="V132" i="1"/>
  <c r="R132" i="1"/>
  <c r="P132" i="1"/>
  <c r="M132" i="1"/>
  <c r="N132" i="1" s="1"/>
  <c r="O132" i="1" s="1"/>
  <c r="Q132" i="1" s="1"/>
  <c r="V131" i="1"/>
  <c r="R131" i="1"/>
  <c r="P131" i="1"/>
  <c r="M131" i="1"/>
  <c r="N131" i="1" s="1"/>
  <c r="O131" i="1" s="1"/>
  <c r="Q131" i="1" s="1"/>
  <c r="V130" i="1"/>
  <c r="R130" i="1"/>
  <c r="P130" i="1"/>
  <c r="M130" i="1"/>
  <c r="N130" i="1" s="1"/>
  <c r="O130" i="1" s="1"/>
  <c r="Q130" i="1" s="1"/>
  <c r="V129" i="1"/>
  <c r="S129" i="1"/>
  <c r="R129" i="1"/>
  <c r="P129" i="1"/>
  <c r="M129" i="1"/>
  <c r="N129" i="1" s="1"/>
  <c r="O129" i="1" s="1"/>
  <c r="Q129" i="1" s="1"/>
  <c r="V128" i="1"/>
  <c r="R128" i="1"/>
  <c r="P128" i="1"/>
  <c r="M128" i="1"/>
  <c r="N128" i="1" s="1"/>
  <c r="O128" i="1" s="1"/>
  <c r="Q128" i="1" s="1"/>
  <c r="V127" i="1"/>
  <c r="R127" i="1"/>
  <c r="P127" i="1"/>
  <c r="M127" i="1"/>
  <c r="N127" i="1" s="1"/>
  <c r="O127" i="1" s="1"/>
  <c r="Q127" i="1" s="1"/>
  <c r="V126" i="1"/>
  <c r="R126" i="1"/>
  <c r="P126" i="1"/>
  <c r="M126" i="1"/>
  <c r="N126" i="1" s="1"/>
  <c r="O126" i="1" s="1"/>
  <c r="Q126" i="1" s="1"/>
  <c r="V125" i="1"/>
  <c r="S125" i="1"/>
  <c r="R125" i="1"/>
  <c r="P125" i="1"/>
  <c r="M125" i="1"/>
  <c r="N125" i="1" s="1"/>
  <c r="O125" i="1" s="1"/>
  <c r="Q125" i="1" s="1"/>
  <c r="V124" i="1"/>
  <c r="R124" i="1"/>
  <c r="P124" i="1"/>
  <c r="M124" i="1"/>
  <c r="N124" i="1" s="1"/>
  <c r="O124" i="1" s="1"/>
  <c r="Q124" i="1" s="1"/>
  <c r="V123" i="1"/>
  <c r="R123" i="1"/>
  <c r="P123" i="1"/>
  <c r="M123" i="1"/>
  <c r="N123" i="1" s="1"/>
  <c r="O123" i="1" s="1"/>
  <c r="Q123" i="1" s="1"/>
  <c r="V122" i="1"/>
  <c r="R122" i="1"/>
  <c r="P122" i="1"/>
  <c r="M122" i="1"/>
  <c r="N122" i="1" s="1"/>
  <c r="O122" i="1" s="1"/>
  <c r="Q122" i="1" s="1"/>
  <c r="V121" i="1"/>
  <c r="S121" i="1"/>
  <c r="R121" i="1"/>
  <c r="P121" i="1"/>
  <c r="M121" i="1"/>
  <c r="N121" i="1" s="1"/>
  <c r="O121" i="1" s="1"/>
  <c r="Q121" i="1" s="1"/>
  <c r="V120" i="1"/>
  <c r="R120" i="1"/>
  <c r="P120" i="1"/>
  <c r="M120" i="1"/>
  <c r="N120" i="1" s="1"/>
  <c r="O120" i="1" s="1"/>
  <c r="Q120" i="1" s="1"/>
  <c r="V119" i="1"/>
  <c r="R119" i="1"/>
  <c r="P119" i="1"/>
  <c r="M119" i="1"/>
  <c r="N119" i="1" s="1"/>
  <c r="O119" i="1" s="1"/>
  <c r="Q119" i="1" s="1"/>
  <c r="V118" i="1"/>
  <c r="R118" i="1"/>
  <c r="P118" i="1"/>
  <c r="M118" i="1"/>
  <c r="N118" i="1" s="1"/>
  <c r="O118" i="1" s="1"/>
  <c r="Q118" i="1" s="1"/>
  <c r="V117" i="1"/>
  <c r="S117" i="1"/>
  <c r="R117" i="1"/>
  <c r="P117" i="1"/>
  <c r="M117" i="1"/>
  <c r="N117" i="1" s="1"/>
  <c r="O117" i="1" s="1"/>
  <c r="Q117" i="1" s="1"/>
  <c r="V116" i="1"/>
  <c r="R116" i="1"/>
  <c r="P116" i="1"/>
  <c r="M116" i="1"/>
  <c r="N116" i="1" s="1"/>
  <c r="O116" i="1" s="1"/>
  <c r="S116" i="1" s="1"/>
  <c r="V115" i="1"/>
  <c r="R115" i="1"/>
  <c r="P115" i="1"/>
  <c r="Q115" i="1" s="1"/>
  <c r="M115" i="1"/>
  <c r="N115" i="1" s="1"/>
  <c r="O115" i="1" s="1"/>
  <c r="S115" i="1" s="1"/>
  <c r="V114" i="1"/>
  <c r="R114" i="1"/>
  <c r="P114" i="1"/>
  <c r="Q114" i="1" s="1"/>
  <c r="M114" i="1"/>
  <c r="N114" i="1" s="1"/>
  <c r="O114" i="1" s="1"/>
  <c r="S114" i="1" s="1"/>
  <c r="V113" i="1"/>
  <c r="S113" i="1"/>
  <c r="R113" i="1"/>
  <c r="P113" i="1"/>
  <c r="Q113" i="1" s="1"/>
  <c r="M113" i="1"/>
  <c r="N113" i="1" s="1"/>
  <c r="O113" i="1" s="1"/>
  <c r="V112" i="1"/>
  <c r="R112" i="1"/>
  <c r="P112" i="1"/>
  <c r="M112" i="1"/>
  <c r="N112" i="1" s="1"/>
  <c r="O112" i="1" s="1"/>
  <c r="S112" i="1" s="1"/>
  <c r="V111" i="1"/>
  <c r="R111" i="1"/>
  <c r="P111" i="1"/>
  <c r="M111" i="1"/>
  <c r="N111" i="1" s="1"/>
  <c r="O111" i="1" s="1"/>
  <c r="S111" i="1" s="1"/>
  <c r="V110" i="1"/>
  <c r="R110" i="1"/>
  <c r="P110" i="1"/>
  <c r="M110" i="1"/>
  <c r="N110" i="1" s="1"/>
  <c r="O110" i="1" s="1"/>
  <c r="S110" i="1" s="1"/>
  <c r="V109" i="1"/>
  <c r="S109" i="1"/>
  <c r="R109" i="1"/>
  <c r="P109" i="1"/>
  <c r="M109" i="1"/>
  <c r="N109" i="1" s="1"/>
  <c r="O109" i="1" s="1"/>
  <c r="V108" i="1"/>
  <c r="R108" i="1"/>
  <c r="P108" i="1"/>
  <c r="M108" i="1"/>
  <c r="N108" i="1" s="1"/>
  <c r="O108" i="1" s="1"/>
  <c r="S108" i="1" s="1"/>
  <c r="V107" i="1"/>
  <c r="R107" i="1"/>
  <c r="P107" i="1"/>
  <c r="Q107" i="1" s="1"/>
  <c r="M107" i="1"/>
  <c r="N107" i="1" s="1"/>
  <c r="O107" i="1" s="1"/>
  <c r="S107" i="1" s="1"/>
  <c r="V106" i="1"/>
  <c r="R106" i="1"/>
  <c r="P106" i="1"/>
  <c r="Q106" i="1" s="1"/>
  <c r="M106" i="1"/>
  <c r="N106" i="1" s="1"/>
  <c r="O106" i="1" s="1"/>
  <c r="S106" i="1" s="1"/>
  <c r="V105" i="1"/>
  <c r="S105" i="1"/>
  <c r="R105" i="1"/>
  <c r="P105" i="1"/>
  <c r="Q105" i="1" s="1"/>
  <c r="M105" i="1"/>
  <c r="N105" i="1" s="1"/>
  <c r="O105" i="1" s="1"/>
  <c r="V104" i="1"/>
  <c r="R104" i="1"/>
  <c r="P104" i="1"/>
  <c r="M104" i="1"/>
  <c r="N104" i="1" s="1"/>
  <c r="O104" i="1" s="1"/>
  <c r="S104" i="1" s="1"/>
  <c r="V103" i="1"/>
  <c r="R103" i="1"/>
  <c r="P103" i="1"/>
  <c r="M103" i="1"/>
  <c r="N103" i="1" s="1"/>
  <c r="O103" i="1" s="1"/>
  <c r="S103" i="1" s="1"/>
  <c r="V102" i="1"/>
  <c r="S102" i="1"/>
  <c r="R102" i="1"/>
  <c r="P102" i="1"/>
  <c r="M102" i="1"/>
  <c r="N102" i="1" s="1"/>
  <c r="O102" i="1" s="1"/>
  <c r="V101" i="1"/>
  <c r="S101" i="1"/>
  <c r="R101" i="1"/>
  <c r="P101" i="1"/>
  <c r="M101" i="1"/>
  <c r="N101" i="1" s="1"/>
  <c r="O101" i="1" s="1"/>
  <c r="V100" i="1"/>
  <c r="R100" i="1"/>
  <c r="P100" i="1"/>
  <c r="M100" i="1"/>
  <c r="N100" i="1" s="1"/>
  <c r="O100" i="1" s="1"/>
  <c r="S100" i="1" s="1"/>
  <c r="V99" i="1"/>
  <c r="R99" i="1"/>
  <c r="P99" i="1"/>
  <c r="Q99" i="1" s="1"/>
  <c r="M99" i="1"/>
  <c r="N99" i="1" s="1"/>
  <c r="O99" i="1" s="1"/>
  <c r="S99" i="1" s="1"/>
  <c r="V98" i="1"/>
  <c r="R98" i="1"/>
  <c r="P98" i="1"/>
  <c r="Q98" i="1" s="1"/>
  <c r="M98" i="1"/>
  <c r="N98" i="1" s="1"/>
  <c r="O98" i="1" s="1"/>
  <c r="S98" i="1" s="1"/>
  <c r="V97" i="1"/>
  <c r="S97" i="1"/>
  <c r="R97" i="1"/>
  <c r="P97" i="1"/>
  <c r="Q97" i="1" s="1"/>
  <c r="M97" i="1"/>
  <c r="N97" i="1" s="1"/>
  <c r="O97" i="1" s="1"/>
  <c r="V96" i="1"/>
  <c r="R96" i="1"/>
  <c r="P96" i="1"/>
  <c r="M96" i="1"/>
  <c r="N96" i="1" s="1"/>
  <c r="O96" i="1" s="1"/>
  <c r="S96" i="1" s="1"/>
  <c r="V95" i="1"/>
  <c r="R95" i="1"/>
  <c r="P95" i="1"/>
  <c r="M95" i="1"/>
  <c r="N95" i="1" s="1"/>
  <c r="O95" i="1" s="1"/>
  <c r="S95" i="1" s="1"/>
  <c r="V94" i="1"/>
  <c r="S94" i="1"/>
  <c r="R94" i="1"/>
  <c r="P94" i="1"/>
  <c r="M94" i="1"/>
  <c r="N94" i="1" s="1"/>
  <c r="O94" i="1" s="1"/>
  <c r="V93" i="1"/>
  <c r="S93" i="1"/>
  <c r="R93" i="1"/>
  <c r="P93" i="1"/>
  <c r="M93" i="1"/>
  <c r="N93" i="1" s="1"/>
  <c r="O93" i="1" s="1"/>
  <c r="V92" i="1"/>
  <c r="R92" i="1"/>
  <c r="P92" i="1"/>
  <c r="M92" i="1"/>
  <c r="N92" i="1" s="1"/>
  <c r="O92" i="1" s="1"/>
  <c r="S92" i="1" s="1"/>
  <c r="V91" i="1"/>
  <c r="R91" i="1"/>
  <c r="P91" i="1"/>
  <c r="Q91" i="1" s="1"/>
  <c r="M91" i="1"/>
  <c r="N91" i="1" s="1"/>
  <c r="O91" i="1" s="1"/>
  <c r="S91" i="1" s="1"/>
  <c r="V90" i="1"/>
  <c r="R90" i="1"/>
  <c r="P90" i="1"/>
  <c r="Q90" i="1" s="1"/>
  <c r="M90" i="1"/>
  <c r="N90" i="1" s="1"/>
  <c r="O90" i="1" s="1"/>
  <c r="S90" i="1" s="1"/>
  <c r="V89" i="1"/>
  <c r="S89" i="1"/>
  <c r="R89" i="1"/>
  <c r="P89" i="1"/>
  <c r="Q89" i="1" s="1"/>
  <c r="M89" i="1"/>
  <c r="N89" i="1" s="1"/>
  <c r="O89" i="1" s="1"/>
  <c r="V88" i="1"/>
  <c r="R88" i="1"/>
  <c r="P88" i="1"/>
  <c r="M88" i="1"/>
  <c r="N88" i="1" s="1"/>
  <c r="O88" i="1" s="1"/>
  <c r="S88" i="1" s="1"/>
  <c r="V87" i="1"/>
  <c r="R87" i="1"/>
  <c r="P87" i="1"/>
  <c r="M87" i="1"/>
  <c r="N87" i="1" s="1"/>
  <c r="O87" i="1" s="1"/>
  <c r="S87" i="1" s="1"/>
  <c r="V86" i="1"/>
  <c r="S86" i="1"/>
  <c r="R86" i="1"/>
  <c r="P86" i="1"/>
  <c r="M86" i="1"/>
  <c r="N86" i="1" s="1"/>
  <c r="O86" i="1" s="1"/>
  <c r="V85" i="1"/>
  <c r="S85" i="1"/>
  <c r="R85" i="1"/>
  <c r="P85" i="1"/>
  <c r="M85" i="1"/>
  <c r="N85" i="1" s="1"/>
  <c r="O85" i="1" s="1"/>
  <c r="V84" i="1"/>
  <c r="R84" i="1"/>
  <c r="P84" i="1"/>
  <c r="M84" i="1"/>
  <c r="N84" i="1" s="1"/>
  <c r="O84" i="1" s="1"/>
  <c r="S84" i="1" s="1"/>
  <c r="V83" i="1"/>
  <c r="R83" i="1"/>
  <c r="P83" i="1"/>
  <c r="Q83" i="1" s="1"/>
  <c r="M83" i="1"/>
  <c r="N83" i="1" s="1"/>
  <c r="O83" i="1" s="1"/>
  <c r="S83" i="1" s="1"/>
  <c r="V82" i="1"/>
  <c r="R82" i="1"/>
  <c r="P82" i="1"/>
  <c r="Q82" i="1" s="1"/>
  <c r="M82" i="1"/>
  <c r="N82" i="1" s="1"/>
  <c r="O82" i="1" s="1"/>
  <c r="S82" i="1" s="1"/>
  <c r="V81" i="1"/>
  <c r="S81" i="1"/>
  <c r="R81" i="1"/>
  <c r="P81" i="1"/>
  <c r="Q81" i="1" s="1"/>
  <c r="M81" i="1"/>
  <c r="N81" i="1" s="1"/>
  <c r="O81" i="1" s="1"/>
  <c r="V80" i="1"/>
  <c r="R80" i="1"/>
  <c r="P80" i="1"/>
  <c r="M80" i="1"/>
  <c r="N80" i="1" s="1"/>
  <c r="O80" i="1" s="1"/>
  <c r="S80" i="1" s="1"/>
  <c r="V79" i="1"/>
  <c r="R79" i="1"/>
  <c r="P79" i="1"/>
  <c r="M79" i="1"/>
  <c r="N79" i="1" s="1"/>
  <c r="O79" i="1" s="1"/>
  <c r="S79" i="1" s="1"/>
  <c r="V78" i="1"/>
  <c r="S78" i="1"/>
  <c r="R78" i="1"/>
  <c r="P78" i="1"/>
  <c r="M78" i="1"/>
  <c r="N78" i="1" s="1"/>
  <c r="O78" i="1" s="1"/>
  <c r="V77" i="1"/>
  <c r="S77" i="1"/>
  <c r="R77" i="1"/>
  <c r="P77" i="1"/>
  <c r="M77" i="1"/>
  <c r="N77" i="1" s="1"/>
  <c r="O77" i="1" s="1"/>
  <c r="V76" i="1"/>
  <c r="R76" i="1"/>
  <c r="P76" i="1"/>
  <c r="M76" i="1"/>
  <c r="N76" i="1" s="1"/>
  <c r="O76" i="1" s="1"/>
  <c r="S76" i="1" s="1"/>
  <c r="V75" i="1"/>
  <c r="R75" i="1"/>
  <c r="P75" i="1"/>
  <c r="Q75" i="1" s="1"/>
  <c r="M75" i="1"/>
  <c r="N75" i="1" s="1"/>
  <c r="O75" i="1" s="1"/>
  <c r="S75" i="1" s="1"/>
  <c r="V74" i="1"/>
  <c r="R74" i="1"/>
  <c r="P74" i="1"/>
  <c r="Q74" i="1" s="1"/>
  <c r="M74" i="1"/>
  <c r="N74" i="1" s="1"/>
  <c r="O74" i="1" s="1"/>
  <c r="S74" i="1" s="1"/>
  <c r="V73" i="1"/>
  <c r="S73" i="1"/>
  <c r="R73" i="1"/>
  <c r="P73" i="1"/>
  <c r="Q73" i="1" s="1"/>
  <c r="M73" i="1"/>
  <c r="N73" i="1" s="1"/>
  <c r="O73" i="1" s="1"/>
  <c r="V72" i="1"/>
  <c r="R72" i="1"/>
  <c r="P72" i="1"/>
  <c r="M72" i="1"/>
  <c r="N72" i="1" s="1"/>
  <c r="O72" i="1" s="1"/>
  <c r="S72" i="1" s="1"/>
  <c r="V71" i="1"/>
  <c r="R71" i="1"/>
  <c r="P71" i="1"/>
  <c r="M71" i="1"/>
  <c r="N71" i="1" s="1"/>
  <c r="O71" i="1" s="1"/>
  <c r="S71" i="1" s="1"/>
  <c r="V70" i="1"/>
  <c r="S70" i="1"/>
  <c r="R70" i="1"/>
  <c r="P70" i="1"/>
  <c r="M70" i="1"/>
  <c r="N70" i="1" s="1"/>
  <c r="O70" i="1" s="1"/>
  <c r="V69" i="1"/>
  <c r="S69" i="1"/>
  <c r="R69" i="1"/>
  <c r="P69" i="1"/>
  <c r="M69" i="1"/>
  <c r="N69" i="1" s="1"/>
  <c r="O69" i="1" s="1"/>
  <c r="V68" i="1"/>
  <c r="R68" i="1"/>
  <c r="P68" i="1"/>
  <c r="M68" i="1"/>
  <c r="N68" i="1" s="1"/>
  <c r="O68" i="1" s="1"/>
  <c r="S68" i="1" s="1"/>
  <c r="V67" i="1"/>
  <c r="R67" i="1"/>
  <c r="P67" i="1"/>
  <c r="Q67" i="1" s="1"/>
  <c r="M67" i="1"/>
  <c r="N67" i="1" s="1"/>
  <c r="O67" i="1" s="1"/>
  <c r="S67" i="1" s="1"/>
  <c r="V66" i="1"/>
  <c r="R66" i="1"/>
  <c r="P66" i="1"/>
  <c r="Q66" i="1" s="1"/>
  <c r="M66" i="1"/>
  <c r="N66" i="1" s="1"/>
  <c r="O66" i="1" s="1"/>
  <c r="S66" i="1" s="1"/>
  <c r="V65" i="1"/>
  <c r="S65" i="1"/>
  <c r="R65" i="1"/>
  <c r="P65" i="1"/>
  <c r="Q65" i="1" s="1"/>
  <c r="M65" i="1"/>
  <c r="N65" i="1" s="1"/>
  <c r="O65" i="1" s="1"/>
  <c r="V64" i="1"/>
  <c r="R64" i="1"/>
  <c r="P64" i="1"/>
  <c r="M64" i="1"/>
  <c r="N64" i="1" s="1"/>
  <c r="O64" i="1" s="1"/>
  <c r="S64" i="1" s="1"/>
  <c r="V63" i="1"/>
  <c r="R63" i="1"/>
  <c r="P63" i="1"/>
  <c r="M63" i="1"/>
  <c r="N63" i="1" s="1"/>
  <c r="O63" i="1" s="1"/>
  <c r="S63" i="1" s="1"/>
  <c r="V62" i="1"/>
  <c r="S62" i="1"/>
  <c r="R62" i="1"/>
  <c r="P62" i="1"/>
  <c r="M62" i="1"/>
  <c r="N62" i="1" s="1"/>
  <c r="O62" i="1" s="1"/>
  <c r="V61" i="1"/>
  <c r="S61" i="1"/>
  <c r="R61" i="1"/>
  <c r="P61" i="1"/>
  <c r="M61" i="1"/>
  <c r="N61" i="1" s="1"/>
  <c r="O61" i="1" s="1"/>
  <c r="V60" i="1"/>
  <c r="R60" i="1"/>
  <c r="P60" i="1"/>
  <c r="M60" i="1"/>
  <c r="N60" i="1" s="1"/>
  <c r="O60" i="1" s="1"/>
  <c r="S60" i="1" s="1"/>
  <c r="V59" i="1"/>
  <c r="R59" i="1"/>
  <c r="P59" i="1"/>
  <c r="Q59" i="1" s="1"/>
  <c r="M59" i="1"/>
  <c r="N59" i="1" s="1"/>
  <c r="O59" i="1" s="1"/>
  <c r="S59" i="1" s="1"/>
  <c r="V58" i="1"/>
  <c r="R58" i="1"/>
  <c r="P58" i="1"/>
  <c r="Q58" i="1" s="1"/>
  <c r="M58" i="1"/>
  <c r="N58" i="1" s="1"/>
  <c r="O58" i="1" s="1"/>
  <c r="S58" i="1" s="1"/>
  <c r="V57" i="1"/>
  <c r="S57" i="1"/>
  <c r="R57" i="1"/>
  <c r="P57" i="1"/>
  <c r="Q57" i="1" s="1"/>
  <c r="M57" i="1"/>
  <c r="N57" i="1" s="1"/>
  <c r="O57" i="1" s="1"/>
  <c r="V56" i="1"/>
  <c r="R56" i="1"/>
  <c r="P56" i="1"/>
  <c r="M56" i="1"/>
  <c r="N56" i="1" s="1"/>
  <c r="O56" i="1" s="1"/>
  <c r="S56" i="1" s="1"/>
  <c r="V55" i="1"/>
  <c r="R55" i="1"/>
  <c r="P55" i="1"/>
  <c r="M55" i="1"/>
  <c r="N55" i="1" s="1"/>
  <c r="O55" i="1" s="1"/>
  <c r="S55" i="1" s="1"/>
  <c r="V54" i="1"/>
  <c r="S54" i="1"/>
  <c r="R54" i="1"/>
  <c r="P54" i="1"/>
  <c r="M54" i="1"/>
  <c r="N54" i="1" s="1"/>
  <c r="O54" i="1" s="1"/>
  <c r="V53" i="1"/>
  <c r="S53" i="1"/>
  <c r="R53" i="1"/>
  <c r="P53" i="1"/>
  <c r="M53" i="1"/>
  <c r="N53" i="1" s="1"/>
  <c r="O53" i="1" s="1"/>
  <c r="V52" i="1"/>
  <c r="R52" i="1"/>
  <c r="P52" i="1"/>
  <c r="M52" i="1"/>
  <c r="N52" i="1" s="1"/>
  <c r="O52" i="1" s="1"/>
  <c r="S52" i="1" s="1"/>
  <c r="V51" i="1"/>
  <c r="R51" i="1"/>
  <c r="P51" i="1"/>
  <c r="Q51" i="1" s="1"/>
  <c r="M51" i="1"/>
  <c r="N51" i="1" s="1"/>
  <c r="O51" i="1" s="1"/>
  <c r="S51" i="1" s="1"/>
  <c r="V50" i="1"/>
  <c r="S50" i="1"/>
  <c r="R50" i="1"/>
  <c r="P50" i="1"/>
  <c r="Q50" i="1" s="1"/>
  <c r="M50" i="1"/>
  <c r="N50" i="1" s="1"/>
  <c r="O50" i="1" s="1"/>
  <c r="V49" i="1"/>
  <c r="S49" i="1"/>
  <c r="R49" i="1"/>
  <c r="P49" i="1"/>
  <c r="Q49" i="1" s="1"/>
  <c r="M49" i="1"/>
  <c r="N49" i="1" s="1"/>
  <c r="O49" i="1" s="1"/>
  <c r="V48" i="1"/>
  <c r="R48" i="1"/>
  <c r="P48" i="1"/>
  <c r="M48" i="1"/>
  <c r="N48" i="1" s="1"/>
  <c r="O48" i="1" s="1"/>
  <c r="S48" i="1" s="1"/>
  <c r="V47" i="1"/>
  <c r="R47" i="1"/>
  <c r="P47" i="1"/>
  <c r="M47" i="1"/>
  <c r="N47" i="1" s="1"/>
  <c r="O47" i="1" s="1"/>
  <c r="S47" i="1" s="1"/>
  <c r="V46" i="1"/>
  <c r="S46" i="1"/>
  <c r="R46" i="1"/>
  <c r="P46" i="1"/>
  <c r="M46" i="1"/>
  <c r="N46" i="1" s="1"/>
  <c r="O46" i="1" s="1"/>
  <c r="V45" i="1"/>
  <c r="S45" i="1"/>
  <c r="R45" i="1"/>
  <c r="P45" i="1"/>
  <c r="M45" i="1"/>
  <c r="N45" i="1" s="1"/>
  <c r="O45" i="1" s="1"/>
  <c r="V44" i="1"/>
  <c r="R44" i="1"/>
  <c r="P44" i="1"/>
  <c r="M44" i="1"/>
  <c r="N44" i="1" s="1"/>
  <c r="O44" i="1" s="1"/>
  <c r="S44" i="1" s="1"/>
  <c r="V43" i="1"/>
  <c r="R43" i="1"/>
  <c r="P43" i="1"/>
  <c r="Q43" i="1" s="1"/>
  <c r="M43" i="1"/>
  <c r="N43" i="1" s="1"/>
  <c r="O43" i="1" s="1"/>
  <c r="S43" i="1" s="1"/>
  <c r="V42" i="1"/>
  <c r="S42" i="1"/>
  <c r="R42" i="1"/>
  <c r="P42" i="1"/>
  <c r="Q42" i="1" s="1"/>
  <c r="M42" i="1"/>
  <c r="N42" i="1" s="1"/>
  <c r="O42" i="1" s="1"/>
  <c r="V41" i="1"/>
  <c r="S41" i="1"/>
  <c r="R41" i="1"/>
  <c r="P41" i="1"/>
  <c r="Q41" i="1" s="1"/>
  <c r="M41" i="1"/>
  <c r="N41" i="1" s="1"/>
  <c r="O41" i="1" s="1"/>
  <c r="V40" i="1"/>
  <c r="R40" i="1"/>
  <c r="P40" i="1"/>
  <c r="M40" i="1"/>
  <c r="N40" i="1" s="1"/>
  <c r="O40" i="1" s="1"/>
  <c r="S40" i="1" s="1"/>
  <c r="V39" i="1"/>
  <c r="R39" i="1"/>
  <c r="P39" i="1"/>
  <c r="M39" i="1"/>
  <c r="N39" i="1" s="1"/>
  <c r="O39" i="1" s="1"/>
  <c r="S39" i="1" s="1"/>
  <c r="V38" i="1"/>
  <c r="S38" i="1"/>
  <c r="R38" i="1"/>
  <c r="P38" i="1"/>
  <c r="M38" i="1"/>
  <c r="N38" i="1" s="1"/>
  <c r="O38" i="1" s="1"/>
  <c r="V37" i="1"/>
  <c r="S37" i="1"/>
  <c r="R37" i="1"/>
  <c r="P37" i="1"/>
  <c r="M37" i="1"/>
  <c r="N37" i="1" s="1"/>
  <c r="O37" i="1" s="1"/>
  <c r="V36" i="1"/>
  <c r="R36" i="1"/>
  <c r="P36" i="1"/>
  <c r="M36" i="1"/>
  <c r="N36" i="1" s="1"/>
  <c r="O36" i="1" s="1"/>
  <c r="S36" i="1" s="1"/>
  <c r="V35" i="1"/>
  <c r="R35" i="1"/>
  <c r="P35" i="1"/>
  <c r="Q35" i="1" s="1"/>
  <c r="M35" i="1"/>
  <c r="N35" i="1" s="1"/>
  <c r="O35" i="1" s="1"/>
  <c r="S35" i="1" s="1"/>
  <c r="V34" i="1"/>
  <c r="S34" i="1"/>
  <c r="R34" i="1"/>
  <c r="P34" i="1"/>
  <c r="Q34" i="1" s="1"/>
  <c r="M34" i="1"/>
  <c r="N34" i="1" s="1"/>
  <c r="O34" i="1" s="1"/>
  <c r="V33" i="1"/>
  <c r="S33" i="1"/>
  <c r="R33" i="1"/>
  <c r="P33" i="1"/>
  <c r="Q33" i="1" s="1"/>
  <c r="M33" i="1"/>
  <c r="N33" i="1" s="1"/>
  <c r="O33" i="1" s="1"/>
  <c r="V32" i="1"/>
  <c r="R32" i="1"/>
  <c r="P32" i="1"/>
  <c r="M32" i="1"/>
  <c r="N32" i="1" s="1"/>
  <c r="O32" i="1" s="1"/>
  <c r="S32" i="1" s="1"/>
  <c r="V31" i="1"/>
  <c r="R31" i="1"/>
  <c r="P31" i="1"/>
  <c r="M31" i="1"/>
  <c r="N31" i="1" s="1"/>
  <c r="O31" i="1" s="1"/>
  <c r="S31" i="1" s="1"/>
  <c r="V30" i="1"/>
  <c r="S30" i="1"/>
  <c r="R30" i="1"/>
  <c r="P30" i="1"/>
  <c r="M30" i="1"/>
  <c r="N30" i="1" s="1"/>
  <c r="O30" i="1" s="1"/>
  <c r="V29" i="1"/>
  <c r="S29" i="1"/>
  <c r="R29" i="1"/>
  <c r="P29" i="1"/>
  <c r="M29" i="1"/>
  <c r="N29" i="1" s="1"/>
  <c r="O29" i="1" s="1"/>
  <c r="V28" i="1"/>
  <c r="R28" i="1"/>
  <c r="P28" i="1"/>
  <c r="M28" i="1"/>
  <c r="N28" i="1" s="1"/>
  <c r="O28" i="1" s="1"/>
  <c r="S28" i="1" s="1"/>
  <c r="V27" i="1"/>
  <c r="R27" i="1"/>
  <c r="P27" i="1"/>
  <c r="Q27" i="1" s="1"/>
  <c r="M27" i="1"/>
  <c r="N27" i="1" s="1"/>
  <c r="O27" i="1" s="1"/>
  <c r="S27" i="1" s="1"/>
  <c r="V26" i="1"/>
  <c r="S26" i="1"/>
  <c r="R26" i="1"/>
  <c r="P26" i="1"/>
  <c r="Q26" i="1" s="1"/>
  <c r="M26" i="1"/>
  <c r="N26" i="1" s="1"/>
  <c r="O26" i="1" s="1"/>
  <c r="V25" i="1"/>
  <c r="S25" i="1"/>
  <c r="R25" i="1"/>
  <c r="P25" i="1"/>
  <c r="M25" i="1"/>
  <c r="N25" i="1" s="1"/>
  <c r="O25" i="1" s="1"/>
  <c r="V24" i="1"/>
  <c r="R24" i="1"/>
  <c r="P24" i="1"/>
  <c r="M24" i="1"/>
  <c r="N24" i="1" s="1"/>
  <c r="O24" i="1" s="1"/>
  <c r="S24" i="1" s="1"/>
  <c r="V23" i="1"/>
  <c r="R23" i="1"/>
  <c r="P23" i="1"/>
  <c r="M23" i="1"/>
  <c r="N23" i="1" s="1"/>
  <c r="O23" i="1" s="1"/>
  <c r="S23" i="1" s="1"/>
  <c r="V22" i="1"/>
  <c r="S22" i="1"/>
  <c r="R22" i="1"/>
  <c r="P22" i="1"/>
  <c r="M22" i="1"/>
  <c r="N22" i="1" s="1"/>
  <c r="O22" i="1" s="1"/>
  <c r="V21" i="1"/>
  <c r="S21" i="1"/>
  <c r="R21" i="1"/>
  <c r="P21" i="1"/>
  <c r="M21" i="1"/>
  <c r="N21" i="1" s="1"/>
  <c r="O21" i="1" s="1"/>
  <c r="V20" i="1"/>
  <c r="R20" i="1"/>
  <c r="P20" i="1"/>
  <c r="M20" i="1"/>
  <c r="N20" i="1" s="1"/>
  <c r="O20" i="1" s="1"/>
  <c r="S20" i="1" s="1"/>
  <c r="V19" i="1"/>
  <c r="R19" i="1"/>
  <c r="P19" i="1"/>
  <c r="Q19" i="1" s="1"/>
  <c r="M19" i="1"/>
  <c r="N19" i="1" s="1"/>
  <c r="O19" i="1" s="1"/>
  <c r="S19" i="1" s="1"/>
  <c r="V18" i="1"/>
  <c r="S18" i="1"/>
  <c r="R18" i="1"/>
  <c r="P18" i="1"/>
  <c r="Q18" i="1" s="1"/>
  <c r="M18" i="1"/>
  <c r="N18" i="1" s="1"/>
  <c r="O18" i="1" s="1"/>
  <c r="V17" i="1"/>
  <c r="S17" i="1"/>
  <c r="R17" i="1"/>
  <c r="P17" i="1"/>
  <c r="M17" i="1"/>
  <c r="N17" i="1" s="1"/>
  <c r="O17" i="1" s="1"/>
  <c r="V16" i="1"/>
  <c r="R16" i="1"/>
  <c r="P16" i="1"/>
  <c r="M16" i="1"/>
  <c r="N16" i="1" s="1"/>
  <c r="O16" i="1" s="1"/>
  <c r="S16" i="1" s="1"/>
  <c r="V15" i="1"/>
  <c r="R15" i="1"/>
  <c r="P15" i="1"/>
  <c r="M15" i="1"/>
  <c r="N15" i="1" s="1"/>
  <c r="O15" i="1" s="1"/>
  <c r="S15" i="1" s="1"/>
  <c r="V14" i="1"/>
  <c r="S14" i="1"/>
  <c r="R14" i="1"/>
  <c r="P14" i="1"/>
  <c r="M14" i="1"/>
  <c r="N14" i="1" s="1"/>
  <c r="O14" i="1" s="1"/>
  <c r="V13" i="1"/>
  <c r="S13" i="1"/>
  <c r="R13" i="1"/>
  <c r="P13" i="1"/>
  <c r="M13" i="1"/>
  <c r="N13" i="1" s="1"/>
  <c r="O13" i="1" s="1"/>
  <c r="V12" i="1"/>
  <c r="R12" i="1"/>
  <c r="P12" i="1"/>
  <c r="M12" i="1"/>
  <c r="N12" i="1" s="1"/>
  <c r="O12" i="1" s="1"/>
  <c r="S12" i="1" s="1"/>
  <c r="V11" i="1"/>
  <c r="R11" i="1"/>
  <c r="P11" i="1"/>
  <c r="Q11" i="1" s="1"/>
  <c r="M11" i="1"/>
  <c r="N11" i="1" s="1"/>
  <c r="O11" i="1" s="1"/>
  <c r="S11" i="1" s="1"/>
  <c r="V10" i="1"/>
  <c r="S10" i="1"/>
  <c r="R10" i="1"/>
  <c r="P10" i="1"/>
  <c r="Q10" i="1" s="1"/>
  <c r="M10" i="1"/>
  <c r="N10" i="1" s="1"/>
  <c r="O10" i="1" s="1"/>
  <c r="V9" i="1"/>
  <c r="S9" i="1"/>
  <c r="R9" i="1"/>
  <c r="P9" i="1"/>
  <c r="M9" i="1"/>
  <c r="N9" i="1" s="1"/>
  <c r="O9" i="1" s="1"/>
  <c r="V8" i="1"/>
  <c r="R8" i="1"/>
  <c r="P8" i="1"/>
  <c r="M8" i="1"/>
  <c r="N8" i="1" s="1"/>
  <c r="O8" i="1" s="1"/>
  <c r="S8" i="1" s="1"/>
  <c r="V7" i="1"/>
  <c r="R7" i="1"/>
  <c r="P7" i="1"/>
  <c r="M7" i="1"/>
  <c r="N7" i="1" s="1"/>
  <c r="O7" i="1" s="1"/>
  <c r="S7" i="1" s="1"/>
  <c r="V6" i="1"/>
  <c r="S6" i="1"/>
  <c r="R6" i="1"/>
  <c r="P6" i="1"/>
  <c r="M6" i="1"/>
  <c r="N6" i="1" s="1"/>
  <c r="O6" i="1" s="1"/>
  <c r="V5" i="1"/>
  <c r="S5" i="1"/>
  <c r="R5" i="1"/>
  <c r="P5" i="1"/>
  <c r="M5" i="1"/>
  <c r="N5" i="1" s="1"/>
  <c r="O5" i="1" s="1"/>
  <c r="V4" i="1"/>
  <c r="R4" i="1"/>
  <c r="P4" i="1"/>
  <c r="M4" i="1"/>
  <c r="N4" i="1" s="1"/>
  <c r="O4" i="1" s="1"/>
  <c r="S4" i="1" s="1"/>
  <c r="V3" i="1"/>
  <c r="R3" i="1"/>
  <c r="P3" i="1"/>
  <c r="Q3" i="1" s="1"/>
  <c r="M3" i="1"/>
  <c r="N3" i="1" s="1"/>
  <c r="O3" i="1" s="1"/>
  <c r="S3" i="1" s="1"/>
  <c r="V2" i="1"/>
  <c r="S2" i="1"/>
  <c r="R2" i="1"/>
  <c r="P2" i="1"/>
  <c r="Q2" i="1" s="1"/>
  <c r="M2" i="1"/>
  <c r="N2" i="1" s="1"/>
  <c r="O2" i="1" s="1"/>
  <c r="S120" i="1" l="1"/>
  <c r="S128" i="1"/>
  <c r="S136" i="1"/>
  <c r="S144" i="1"/>
  <c r="S152" i="1"/>
  <c r="S160" i="1"/>
  <c r="S168" i="1"/>
  <c r="S176" i="1"/>
  <c r="S184" i="1"/>
  <c r="S192" i="1"/>
  <c r="S200" i="1"/>
  <c r="Q7" i="1"/>
  <c r="Q15" i="1"/>
  <c r="Q23" i="1"/>
  <c r="Q31" i="1"/>
  <c r="Q39" i="1"/>
  <c r="Q47" i="1"/>
  <c r="Q55" i="1"/>
  <c r="Q63" i="1"/>
  <c r="Q71" i="1"/>
  <c r="Q79" i="1"/>
  <c r="Q87" i="1"/>
  <c r="Q95" i="1"/>
  <c r="Q103" i="1"/>
  <c r="Q111" i="1"/>
  <c r="Q204" i="1"/>
  <c r="S204" i="1"/>
  <c r="Q206" i="1"/>
  <c r="S206" i="1"/>
  <c r="Q208" i="1"/>
  <c r="S208" i="1"/>
  <c r="Q210" i="1"/>
  <c r="S210" i="1"/>
  <c r="Q212" i="1"/>
  <c r="S212" i="1"/>
  <c r="Q214" i="1"/>
  <c r="S214" i="1"/>
  <c r="Q216" i="1"/>
  <c r="S216" i="1"/>
  <c r="Q218" i="1"/>
  <c r="S218" i="1"/>
  <c r="Q220" i="1"/>
  <c r="S220" i="1"/>
  <c r="Q222" i="1"/>
  <c r="S222" i="1"/>
  <c r="Q224" i="1"/>
  <c r="S224" i="1"/>
  <c r="Q226" i="1"/>
  <c r="S226" i="1"/>
  <c r="Q228" i="1"/>
  <c r="S228" i="1"/>
  <c r="Q230" i="1"/>
  <c r="S230" i="1"/>
  <c r="Q232" i="1"/>
  <c r="S232" i="1"/>
  <c r="Q234" i="1"/>
  <c r="S234" i="1"/>
  <c r="Q236" i="1"/>
  <c r="S236" i="1"/>
  <c r="Q238" i="1"/>
  <c r="S238" i="1"/>
  <c r="Q240" i="1"/>
  <c r="S240" i="1"/>
  <c r="Q242" i="1"/>
  <c r="S242" i="1"/>
  <c r="Q244" i="1"/>
  <c r="S244" i="1"/>
  <c r="Q246" i="1"/>
  <c r="S246" i="1"/>
  <c r="Q248" i="1"/>
  <c r="S248" i="1"/>
  <c r="Q250" i="1"/>
  <c r="S250" i="1"/>
  <c r="Q252" i="1"/>
  <c r="S252" i="1"/>
  <c r="Q254" i="1"/>
  <c r="S254" i="1"/>
  <c r="Q256" i="1"/>
  <c r="S256" i="1"/>
  <c r="Q258" i="1"/>
  <c r="S258" i="1"/>
  <c r="Q260" i="1"/>
  <c r="S260" i="1"/>
  <c r="Q262" i="1"/>
  <c r="S262" i="1"/>
  <c r="Q264" i="1"/>
  <c r="S264" i="1"/>
  <c r="Q266" i="1"/>
  <c r="S266" i="1"/>
  <c r="Q268" i="1"/>
  <c r="S268" i="1"/>
  <c r="Q270" i="1"/>
  <c r="S270" i="1"/>
  <c r="Q272" i="1"/>
  <c r="S272" i="1"/>
  <c r="Q274" i="1"/>
  <c r="S274" i="1"/>
  <c r="Q276" i="1"/>
  <c r="S276" i="1"/>
  <c r="Q278" i="1"/>
  <c r="S278" i="1"/>
  <c r="S280" i="1"/>
  <c r="Q280" i="1"/>
  <c r="S288" i="1"/>
  <c r="Q288" i="1"/>
  <c r="S296" i="1"/>
  <c r="Q296" i="1"/>
  <c r="S304" i="1"/>
  <c r="Q304" i="1"/>
  <c r="S312" i="1"/>
  <c r="Q312" i="1"/>
  <c r="S320" i="1"/>
  <c r="Q320" i="1"/>
  <c r="S387" i="1"/>
  <c r="Q387" i="1"/>
  <c r="Q4" i="1"/>
  <c r="Q12" i="1"/>
  <c r="Q20" i="1"/>
  <c r="Q28" i="1"/>
  <c r="Q36" i="1"/>
  <c r="Q44" i="1"/>
  <c r="Q52" i="1"/>
  <c r="Q60" i="1"/>
  <c r="Q68" i="1"/>
  <c r="Q76" i="1"/>
  <c r="Q84" i="1"/>
  <c r="Q92" i="1"/>
  <c r="Q100" i="1"/>
  <c r="Q108" i="1"/>
  <c r="Q116" i="1"/>
  <c r="S122" i="1"/>
  <c r="S130" i="1"/>
  <c r="S138" i="1"/>
  <c r="S146" i="1"/>
  <c r="S154" i="1"/>
  <c r="S162" i="1"/>
  <c r="S170" i="1"/>
  <c r="S178" i="1"/>
  <c r="S186" i="1"/>
  <c r="S194" i="1"/>
  <c r="S202" i="1"/>
  <c r="S411" i="1"/>
  <c r="Q411" i="1"/>
  <c r="Q9" i="1"/>
  <c r="Q17" i="1"/>
  <c r="Q25" i="1"/>
  <c r="S119" i="1"/>
  <c r="S127" i="1"/>
  <c r="S135" i="1"/>
  <c r="S143" i="1"/>
  <c r="S151" i="1"/>
  <c r="S159" i="1"/>
  <c r="S167" i="1"/>
  <c r="S175" i="1"/>
  <c r="S183" i="1"/>
  <c r="S191" i="1"/>
  <c r="S199" i="1"/>
  <c r="S282" i="1"/>
  <c r="Q282" i="1"/>
  <c r="S290" i="1"/>
  <c r="Q290" i="1"/>
  <c r="S298" i="1"/>
  <c r="Q298" i="1"/>
  <c r="S306" i="1"/>
  <c r="Q306" i="1"/>
  <c r="S314" i="1"/>
  <c r="Q314" i="1"/>
  <c r="S322" i="1"/>
  <c r="Q322" i="1"/>
  <c r="S371" i="1"/>
  <c r="Q371" i="1"/>
  <c r="S395" i="1"/>
  <c r="Q395" i="1"/>
  <c r="Q6" i="1"/>
  <c r="Q14" i="1"/>
  <c r="Q22" i="1"/>
  <c r="Q30" i="1"/>
  <c r="Q38" i="1"/>
  <c r="Q46" i="1"/>
  <c r="Q54" i="1"/>
  <c r="Q62" i="1"/>
  <c r="Q70" i="1"/>
  <c r="Q78" i="1"/>
  <c r="Q86" i="1"/>
  <c r="Q94" i="1"/>
  <c r="Q102" i="1"/>
  <c r="Q110" i="1"/>
  <c r="S124" i="1"/>
  <c r="S132" i="1"/>
  <c r="S140" i="1"/>
  <c r="S148" i="1"/>
  <c r="S156" i="1"/>
  <c r="S164" i="1"/>
  <c r="S172" i="1"/>
  <c r="S180" i="1"/>
  <c r="S188" i="1"/>
  <c r="S196" i="1"/>
  <c r="S284" i="1"/>
  <c r="Q284" i="1"/>
  <c r="S292" i="1"/>
  <c r="Q292" i="1"/>
  <c r="S300" i="1"/>
  <c r="Q300" i="1"/>
  <c r="S308" i="1"/>
  <c r="Q308" i="1"/>
  <c r="S316" i="1"/>
  <c r="Q316" i="1"/>
  <c r="S324" i="1"/>
  <c r="Q324" i="1"/>
  <c r="S419" i="1"/>
  <c r="Q419" i="1"/>
  <c r="Q205" i="1"/>
  <c r="S205" i="1"/>
  <c r="Q207" i="1"/>
  <c r="S207" i="1"/>
  <c r="Q209" i="1"/>
  <c r="S209" i="1"/>
  <c r="Q211" i="1"/>
  <c r="S211" i="1"/>
  <c r="Q213" i="1"/>
  <c r="S213" i="1"/>
  <c r="Q215" i="1"/>
  <c r="S215" i="1"/>
  <c r="Q217" i="1"/>
  <c r="S217" i="1"/>
  <c r="Q219" i="1"/>
  <c r="S219" i="1"/>
  <c r="Q221" i="1"/>
  <c r="S221" i="1"/>
  <c r="Q223" i="1"/>
  <c r="S223" i="1"/>
  <c r="Q225" i="1"/>
  <c r="S225" i="1"/>
  <c r="Q227" i="1"/>
  <c r="S227" i="1"/>
  <c r="Q229" i="1"/>
  <c r="S229" i="1"/>
  <c r="Q231" i="1"/>
  <c r="S231" i="1"/>
  <c r="Q233" i="1"/>
  <c r="S233" i="1"/>
  <c r="Q235" i="1"/>
  <c r="S235" i="1"/>
  <c r="Q237" i="1"/>
  <c r="S237" i="1"/>
  <c r="Q239" i="1"/>
  <c r="S239" i="1"/>
  <c r="Q241" i="1"/>
  <c r="S241" i="1"/>
  <c r="Q243" i="1"/>
  <c r="S243" i="1"/>
  <c r="Q245" i="1"/>
  <c r="S245" i="1"/>
  <c r="Q247" i="1"/>
  <c r="S247" i="1"/>
  <c r="Q249" i="1"/>
  <c r="S249" i="1"/>
  <c r="Q251" i="1"/>
  <c r="S251" i="1"/>
  <c r="Q253" i="1"/>
  <c r="S253" i="1"/>
  <c r="Q255" i="1"/>
  <c r="S255" i="1"/>
  <c r="Q257" i="1"/>
  <c r="S257" i="1"/>
  <c r="Q259" i="1"/>
  <c r="S259" i="1"/>
  <c r="Q261" i="1"/>
  <c r="S261" i="1"/>
  <c r="Q263" i="1"/>
  <c r="S263" i="1"/>
  <c r="Q265" i="1"/>
  <c r="S265" i="1"/>
  <c r="Q267" i="1"/>
  <c r="S267" i="1"/>
  <c r="Q269" i="1"/>
  <c r="S269" i="1"/>
  <c r="Q271" i="1"/>
  <c r="S271" i="1"/>
  <c r="Q273" i="1"/>
  <c r="S273" i="1"/>
  <c r="Q275" i="1"/>
  <c r="S275" i="1"/>
  <c r="Q277" i="1"/>
  <c r="S277" i="1"/>
  <c r="Q279" i="1"/>
  <c r="S279" i="1"/>
  <c r="S427" i="1"/>
  <c r="Q427" i="1"/>
  <c r="Q8" i="1"/>
  <c r="Q16" i="1"/>
  <c r="Q24" i="1"/>
  <c r="Q32" i="1"/>
  <c r="Q40" i="1"/>
  <c r="Q48" i="1"/>
  <c r="Q56" i="1"/>
  <c r="Q64" i="1"/>
  <c r="Q72" i="1"/>
  <c r="Q80" i="1"/>
  <c r="Q88" i="1"/>
  <c r="Q96" i="1"/>
  <c r="Q104" i="1"/>
  <c r="Q112" i="1"/>
  <c r="S118" i="1"/>
  <c r="S126" i="1"/>
  <c r="S134" i="1"/>
  <c r="S142" i="1"/>
  <c r="S150" i="1"/>
  <c r="S158" i="1"/>
  <c r="S166" i="1"/>
  <c r="S174" i="1"/>
  <c r="S182" i="1"/>
  <c r="S190" i="1"/>
  <c r="S198" i="1"/>
  <c r="Q286" i="1"/>
  <c r="S286" i="1"/>
  <c r="Q294" i="1"/>
  <c r="S294" i="1"/>
  <c r="Q302" i="1"/>
  <c r="S302" i="1"/>
  <c r="Q310" i="1"/>
  <c r="S310" i="1"/>
  <c r="Q318" i="1"/>
  <c r="S318" i="1"/>
  <c r="Q326" i="1"/>
  <c r="S326" i="1"/>
  <c r="S355" i="1"/>
  <c r="Q355" i="1"/>
  <c r="Q5" i="1"/>
  <c r="Q13" i="1"/>
  <c r="Q21" i="1"/>
  <c r="Q29" i="1"/>
  <c r="Q37" i="1"/>
  <c r="Q45" i="1"/>
  <c r="Q53" i="1"/>
  <c r="Q61" i="1"/>
  <c r="Q69" i="1"/>
  <c r="Q77" i="1"/>
  <c r="Q85" i="1"/>
  <c r="Q93" i="1"/>
  <c r="Q101" i="1"/>
  <c r="Q109" i="1"/>
  <c r="S123" i="1"/>
  <c r="S131" i="1"/>
  <c r="S139" i="1"/>
  <c r="S147" i="1"/>
  <c r="S155" i="1"/>
  <c r="S163" i="1"/>
  <c r="S171" i="1"/>
  <c r="S179" i="1"/>
  <c r="S187" i="1"/>
  <c r="S195" i="1"/>
  <c r="S203" i="1"/>
  <c r="S339" i="1"/>
  <c r="Q339" i="1"/>
  <c r="S379" i="1"/>
  <c r="Q379" i="1"/>
  <c r="S346" i="1"/>
  <c r="Q346" i="1"/>
  <c r="S1265" i="1"/>
  <c r="Q1265" i="1"/>
  <c r="R1265" i="1"/>
  <c r="S1269" i="1"/>
  <c r="Q1269" i="1"/>
  <c r="R1269" i="1"/>
  <c r="S1273" i="1"/>
  <c r="Q1273" i="1"/>
  <c r="R1273" i="1"/>
  <c r="S1277" i="1"/>
  <c r="Q1277" i="1"/>
  <c r="R1277" i="1"/>
  <c r="S1281" i="1"/>
  <c r="Q1281" i="1"/>
  <c r="R1281" i="1"/>
  <c r="S1285" i="1"/>
  <c r="Q1285" i="1"/>
  <c r="R1285" i="1"/>
  <c r="S1289" i="1"/>
  <c r="Q1289" i="1"/>
  <c r="R1289" i="1"/>
  <c r="S1293" i="1"/>
  <c r="Q1293" i="1"/>
  <c r="R1293" i="1"/>
  <c r="S1297" i="1"/>
  <c r="Q1297" i="1"/>
  <c r="R1297" i="1"/>
  <c r="S1301" i="1"/>
  <c r="Q1301" i="1"/>
  <c r="R1301" i="1"/>
  <c r="S1305" i="1"/>
  <c r="Q1305" i="1"/>
  <c r="R1305" i="1"/>
  <c r="S1309" i="1"/>
  <c r="Q1309" i="1"/>
  <c r="R1309" i="1"/>
  <c r="S1313" i="1"/>
  <c r="Q1313" i="1"/>
  <c r="R1313" i="1"/>
  <c r="S1319" i="1"/>
  <c r="Q1319" i="1"/>
  <c r="R1319" i="1"/>
  <c r="S1381" i="1"/>
  <c r="Q1381" i="1"/>
  <c r="R1381" i="1"/>
  <c r="R1685" i="1"/>
  <c r="Q1685" i="1"/>
  <c r="S1685" i="1"/>
  <c r="R1687" i="1"/>
  <c r="Q1687" i="1"/>
  <c r="S1687" i="1"/>
  <c r="R1689" i="1"/>
  <c r="Q1689" i="1"/>
  <c r="S1689" i="1"/>
  <c r="R1691" i="1"/>
  <c r="Q1691" i="1"/>
  <c r="S1691" i="1"/>
  <c r="R1693" i="1"/>
  <c r="Q1693" i="1"/>
  <c r="S1693" i="1"/>
  <c r="R1695" i="1"/>
  <c r="Q1695" i="1"/>
  <c r="S1695" i="1"/>
  <c r="R1697" i="1"/>
  <c r="Q1697" i="1"/>
  <c r="S1697" i="1"/>
  <c r="R1699" i="1"/>
  <c r="Q1699" i="1"/>
  <c r="S1699" i="1"/>
  <c r="R1701" i="1"/>
  <c r="Q1701" i="1"/>
  <c r="S1701" i="1"/>
  <c r="R1705" i="1"/>
  <c r="Q1705" i="1"/>
  <c r="S1705" i="1"/>
  <c r="S1709" i="1"/>
  <c r="Q1709" i="1"/>
  <c r="R1709" i="1"/>
  <c r="S1752" i="1"/>
  <c r="Q1752" i="1"/>
  <c r="R1752" i="1"/>
  <c r="R336" i="1"/>
  <c r="S342" i="1"/>
  <c r="R346" i="1"/>
  <c r="S356" i="1"/>
  <c r="Q356" i="1"/>
  <c r="Q366" i="1"/>
  <c r="Q373" i="1"/>
  <c r="Q376" i="1"/>
  <c r="S382" i="1"/>
  <c r="S383" i="1"/>
  <c r="S388" i="1"/>
  <c r="Q388" i="1"/>
  <c r="S404" i="1"/>
  <c r="Q404" i="1"/>
  <c r="S438" i="1"/>
  <c r="S609" i="1"/>
  <c r="R609" i="1"/>
  <c r="Q609" i="1"/>
  <c r="S723" i="1"/>
  <c r="Q723" i="1"/>
  <c r="S726" i="1"/>
  <c r="R726" i="1"/>
  <c r="Q726" i="1"/>
  <c r="S742" i="1"/>
  <c r="R742" i="1"/>
  <c r="Q742" i="1"/>
  <c r="Q283" i="1"/>
  <c r="Q291" i="1"/>
  <c r="Q299" i="1"/>
  <c r="Q307" i="1"/>
  <c r="Q315" i="1"/>
  <c r="Q323" i="1"/>
  <c r="Q329" i="1"/>
  <c r="S332" i="1"/>
  <c r="Q332" i="1"/>
  <c r="S336" i="1"/>
  <c r="Q359" i="1"/>
  <c r="S362" i="1"/>
  <c r="Q362" i="1"/>
  <c r="R366" i="1"/>
  <c r="S373" i="1"/>
  <c r="Q385" i="1"/>
  <c r="S396" i="1"/>
  <c r="Q396" i="1"/>
  <c r="S434" i="1"/>
  <c r="S436" i="1"/>
  <c r="Q457" i="1"/>
  <c r="Q473" i="1"/>
  <c r="Q489" i="1"/>
  <c r="Q505" i="1"/>
  <c r="Q521" i="1"/>
  <c r="Q537" i="1"/>
  <c r="Q553" i="1"/>
  <c r="Q328" i="1"/>
  <c r="R332" i="1"/>
  <c r="Q335" i="1"/>
  <c r="S338" i="1"/>
  <c r="Q338" i="1"/>
  <c r="R342" i="1"/>
  <c r="S349" i="1"/>
  <c r="R352" i="1"/>
  <c r="S358" i="1"/>
  <c r="R362" i="1"/>
  <c r="Q369" i="1"/>
  <c r="S372" i="1"/>
  <c r="Q372" i="1"/>
  <c r="S376" i="1"/>
  <c r="S378" i="1"/>
  <c r="Q378" i="1"/>
  <c r="S390" i="1"/>
  <c r="S391" i="1"/>
  <c r="R396" i="1"/>
  <c r="S401" i="1"/>
  <c r="Q401" i="1"/>
  <c r="S406" i="1"/>
  <c r="S413" i="1"/>
  <c r="R413" i="1"/>
  <c r="S420" i="1"/>
  <c r="R420" i="1"/>
  <c r="Q420" i="1"/>
  <c r="S422" i="1"/>
  <c r="S429" i="1"/>
  <c r="R429" i="1"/>
  <c r="S707" i="1"/>
  <c r="Q707" i="1"/>
  <c r="Q345" i="1"/>
  <c r="S348" i="1"/>
  <c r="Q348" i="1"/>
  <c r="S352" i="1"/>
  <c r="Q365" i="1"/>
  <c r="R384" i="1"/>
  <c r="Q384" i="1"/>
  <c r="Q393" i="1"/>
  <c r="Q403" i="1"/>
  <c r="S435" i="1"/>
  <c r="Q435" i="1"/>
  <c r="Q453" i="1"/>
  <c r="Q469" i="1"/>
  <c r="Q485" i="1"/>
  <c r="Q501" i="1"/>
  <c r="Q517" i="1"/>
  <c r="Q533" i="1"/>
  <c r="Q549" i="1"/>
  <c r="S604" i="1"/>
  <c r="Q604" i="1"/>
  <c r="R604" i="1"/>
  <c r="S866" i="1"/>
  <c r="R866" i="1"/>
  <c r="Q866" i="1"/>
  <c r="Q334" i="1"/>
  <c r="Q341" i="1"/>
  <c r="Q344" i="1"/>
  <c r="R348" i="1"/>
  <c r="S354" i="1"/>
  <c r="Q354" i="1"/>
  <c r="R368" i="1"/>
  <c r="S374" i="1"/>
  <c r="Q381" i="1"/>
  <c r="S384" i="1"/>
  <c r="S386" i="1"/>
  <c r="Q386" i="1"/>
  <c r="S691" i="1"/>
  <c r="Q691" i="1"/>
  <c r="S838" i="1"/>
  <c r="R838" i="1"/>
  <c r="Q838" i="1"/>
  <c r="S330" i="1"/>
  <c r="Q330" i="1"/>
  <c r="S364" i="1"/>
  <c r="Q364" i="1"/>
  <c r="R392" i="1"/>
  <c r="Q392" i="1"/>
  <c r="S437" i="1"/>
  <c r="R437" i="1"/>
  <c r="Q437" i="1"/>
  <c r="S443" i="1"/>
  <c r="Q443" i="1"/>
  <c r="S584" i="1"/>
  <c r="R584" i="1"/>
  <c r="Q584" i="1"/>
  <c r="S684" i="1"/>
  <c r="Q684" i="1"/>
  <c r="R330" i="1"/>
  <c r="S340" i="1"/>
  <c r="Q340" i="1"/>
  <c r="S344" i="1"/>
  <c r="Q350" i="1"/>
  <c r="Q357" i="1"/>
  <c r="Q360" i="1"/>
  <c r="R364" i="1"/>
  <c r="S370" i="1"/>
  <c r="Q370" i="1"/>
  <c r="R374" i="1"/>
  <c r="S380" i="1"/>
  <c r="Q380" i="1"/>
  <c r="Q389" i="1"/>
  <c r="S392" i="1"/>
  <c r="S394" i="1"/>
  <c r="Q394" i="1"/>
  <c r="S402" i="1"/>
  <c r="R402" i="1"/>
  <c r="Q402" i="1"/>
  <c r="Q405" i="1"/>
  <c r="S412" i="1"/>
  <c r="R412" i="1"/>
  <c r="Q412" i="1"/>
  <c r="S414" i="1"/>
  <c r="S421" i="1"/>
  <c r="R421" i="1"/>
  <c r="S428" i="1"/>
  <c r="R428" i="1"/>
  <c r="Q428" i="1"/>
  <c r="S430" i="1"/>
  <c r="S675" i="1"/>
  <c r="Q675" i="1"/>
  <c r="S586" i="1"/>
  <c r="S593" i="1"/>
  <c r="R593" i="1"/>
  <c r="S600" i="1"/>
  <c r="R600" i="1"/>
  <c r="Q600" i="1"/>
  <c r="S617" i="1"/>
  <c r="R617" i="1"/>
  <c r="S620" i="1"/>
  <c r="S632" i="1"/>
  <c r="R632" i="1"/>
  <c r="Q632" i="1"/>
  <c r="S641" i="1"/>
  <c r="R641" i="1"/>
  <c r="S659" i="1"/>
  <c r="S677" i="1"/>
  <c r="Q677" i="1"/>
  <c r="S686" i="1"/>
  <c r="Q686" i="1"/>
  <c r="R698" i="1"/>
  <c r="S698" i="1"/>
  <c r="R714" i="1"/>
  <c r="S714" i="1"/>
  <c r="S870" i="1"/>
  <c r="R870" i="1"/>
  <c r="Q870" i="1"/>
  <c r="Q944" i="1"/>
  <c r="S944" i="1"/>
  <c r="Q1020" i="1"/>
  <c r="R1020" i="1"/>
  <c r="S1020" i="1"/>
  <c r="S1229" i="1"/>
  <c r="R1229" i="1"/>
  <c r="Q1229" i="1"/>
  <c r="Q436" i="1"/>
  <c r="Q444" i="1"/>
  <c r="Q448" i="1"/>
  <c r="Q452" i="1"/>
  <c r="Q456" i="1"/>
  <c r="Q460" i="1"/>
  <c r="Q464" i="1"/>
  <c r="Q468" i="1"/>
  <c r="Q472" i="1"/>
  <c r="Q476" i="1"/>
  <c r="Q480" i="1"/>
  <c r="Q484" i="1"/>
  <c r="Q488" i="1"/>
  <c r="Q492" i="1"/>
  <c r="Q496" i="1"/>
  <c r="Q500" i="1"/>
  <c r="Q504" i="1"/>
  <c r="Q508" i="1"/>
  <c r="Q512" i="1"/>
  <c r="Q516" i="1"/>
  <c r="Q520" i="1"/>
  <c r="Q524" i="1"/>
  <c r="Q528" i="1"/>
  <c r="Q532" i="1"/>
  <c r="Q536" i="1"/>
  <c r="Q540" i="1"/>
  <c r="Q544" i="1"/>
  <c r="Q548" i="1"/>
  <c r="Q552" i="1"/>
  <c r="Q556" i="1"/>
  <c r="S560" i="1"/>
  <c r="Q560" i="1"/>
  <c r="S564" i="1"/>
  <c r="Q564" i="1"/>
  <c r="S568" i="1"/>
  <c r="Q568" i="1"/>
  <c r="S572" i="1"/>
  <c r="Q572" i="1"/>
  <c r="S576" i="1"/>
  <c r="Q576" i="1"/>
  <c r="S580" i="1"/>
  <c r="Q580" i="1"/>
  <c r="Q586" i="1"/>
  <c r="Q593" i="1"/>
  <c r="S602" i="1"/>
  <c r="S612" i="1"/>
  <c r="R612" i="1"/>
  <c r="Q612" i="1"/>
  <c r="Q617" i="1"/>
  <c r="Q641" i="1"/>
  <c r="S679" i="1"/>
  <c r="Q679" i="1"/>
  <c r="Q698" i="1"/>
  <c r="Q714" i="1"/>
  <c r="S739" i="1"/>
  <c r="Q739" i="1"/>
  <c r="S775" i="1"/>
  <c r="R775" i="1"/>
  <c r="R944" i="1"/>
  <c r="Q1024" i="1"/>
  <c r="R1024" i="1"/>
  <c r="S1024" i="1"/>
  <c r="R436" i="1"/>
  <c r="S444" i="1"/>
  <c r="S448" i="1"/>
  <c r="S452" i="1"/>
  <c r="S456" i="1"/>
  <c r="S460" i="1"/>
  <c r="S464" i="1"/>
  <c r="S468" i="1"/>
  <c r="S472" i="1"/>
  <c r="S476" i="1"/>
  <c r="S480" i="1"/>
  <c r="S484" i="1"/>
  <c r="S488" i="1"/>
  <c r="S492" i="1"/>
  <c r="S496" i="1"/>
  <c r="S500" i="1"/>
  <c r="S504" i="1"/>
  <c r="S508" i="1"/>
  <c r="S512" i="1"/>
  <c r="S516" i="1"/>
  <c r="S520" i="1"/>
  <c r="S524" i="1"/>
  <c r="S528" i="1"/>
  <c r="S532" i="1"/>
  <c r="S536" i="1"/>
  <c r="S540" i="1"/>
  <c r="S544" i="1"/>
  <c r="S548" i="1"/>
  <c r="S552" i="1"/>
  <c r="S556" i="1"/>
  <c r="R586" i="1"/>
  <c r="S589" i="1"/>
  <c r="R589" i="1"/>
  <c r="S674" i="1"/>
  <c r="Q674" i="1"/>
  <c r="S681" i="1"/>
  <c r="Q681" i="1"/>
  <c r="S690" i="1"/>
  <c r="Q690" i="1"/>
  <c r="S760" i="1"/>
  <c r="Q760" i="1"/>
  <c r="Q410" i="1"/>
  <c r="Q418" i="1"/>
  <c r="Q426" i="1"/>
  <c r="Q434" i="1"/>
  <c r="Q442" i="1"/>
  <c r="Q447" i="1"/>
  <c r="Q451" i="1"/>
  <c r="Q455" i="1"/>
  <c r="Q459" i="1"/>
  <c r="Q463" i="1"/>
  <c r="Q467" i="1"/>
  <c r="Q471" i="1"/>
  <c r="Q475" i="1"/>
  <c r="Q479" i="1"/>
  <c r="Q483" i="1"/>
  <c r="Q487" i="1"/>
  <c r="Q491" i="1"/>
  <c r="Q495" i="1"/>
  <c r="Q499" i="1"/>
  <c r="Q503" i="1"/>
  <c r="Q507" i="1"/>
  <c r="Q511" i="1"/>
  <c r="Q515" i="1"/>
  <c r="Q519" i="1"/>
  <c r="Q523" i="1"/>
  <c r="Q527" i="1"/>
  <c r="Q531" i="1"/>
  <c r="Q535" i="1"/>
  <c r="Q539" i="1"/>
  <c r="Q543" i="1"/>
  <c r="Q547" i="1"/>
  <c r="Q551" i="1"/>
  <c r="Q555" i="1"/>
  <c r="S558" i="1"/>
  <c r="S562" i="1"/>
  <c r="S566" i="1"/>
  <c r="S570" i="1"/>
  <c r="S574" i="1"/>
  <c r="S578" i="1"/>
  <c r="S585" i="1"/>
  <c r="R585" i="1"/>
  <c r="Q589" i="1"/>
  <c r="S596" i="1"/>
  <c r="Q596" i="1"/>
  <c r="S624" i="1"/>
  <c r="R624" i="1"/>
  <c r="Q624" i="1"/>
  <c r="S633" i="1"/>
  <c r="R633" i="1"/>
  <c r="S647" i="1"/>
  <c r="R647" i="1"/>
  <c r="Q647" i="1"/>
  <c r="S683" i="1"/>
  <c r="Q683" i="1"/>
  <c r="S736" i="1"/>
  <c r="Q736" i="1"/>
  <c r="R754" i="1"/>
  <c r="Q754" i="1"/>
  <c r="S766" i="1"/>
  <c r="R766" i="1"/>
  <c r="Q766" i="1"/>
  <c r="S798" i="1"/>
  <c r="R798" i="1"/>
  <c r="Q798" i="1"/>
  <c r="Q409" i="1"/>
  <c r="R410" i="1"/>
  <c r="Q417" i="1"/>
  <c r="R418" i="1"/>
  <c r="Q425" i="1"/>
  <c r="R426" i="1"/>
  <c r="Q433" i="1"/>
  <c r="R434" i="1"/>
  <c r="Q441" i="1"/>
  <c r="R442" i="1"/>
  <c r="S447" i="1"/>
  <c r="S451" i="1"/>
  <c r="S455" i="1"/>
  <c r="S459" i="1"/>
  <c r="S463" i="1"/>
  <c r="S467" i="1"/>
  <c r="S471" i="1"/>
  <c r="S475" i="1"/>
  <c r="S479" i="1"/>
  <c r="S483" i="1"/>
  <c r="S487" i="1"/>
  <c r="S491" i="1"/>
  <c r="S495" i="1"/>
  <c r="S499" i="1"/>
  <c r="S503" i="1"/>
  <c r="S507" i="1"/>
  <c r="S511" i="1"/>
  <c r="S515" i="1"/>
  <c r="S519" i="1"/>
  <c r="S523" i="1"/>
  <c r="S527" i="1"/>
  <c r="S531" i="1"/>
  <c r="S535" i="1"/>
  <c r="S539" i="1"/>
  <c r="S543" i="1"/>
  <c r="S547" i="1"/>
  <c r="S551" i="1"/>
  <c r="S555" i="1"/>
  <c r="Q578" i="1"/>
  <c r="Q585" i="1"/>
  <c r="S592" i="1"/>
  <c r="R592" i="1"/>
  <c r="Q592" i="1"/>
  <c r="R596" i="1"/>
  <c r="S601" i="1"/>
  <c r="R601" i="1"/>
  <c r="S608" i="1"/>
  <c r="R608" i="1"/>
  <c r="Q608" i="1"/>
  <c r="Q633" i="1"/>
  <c r="S651" i="1"/>
  <c r="S667" i="1"/>
  <c r="S678" i="1"/>
  <c r="Q678" i="1"/>
  <c r="S685" i="1"/>
  <c r="Q685" i="1"/>
  <c r="S731" i="1"/>
  <c r="Q731" i="1"/>
  <c r="S734" i="1"/>
  <c r="R734" i="1"/>
  <c r="Q734" i="1"/>
  <c r="S754" i="1"/>
  <c r="Q756" i="1"/>
  <c r="Q400" i="1"/>
  <c r="Q408" i="1"/>
  <c r="Q416" i="1"/>
  <c r="Q424" i="1"/>
  <c r="Q432" i="1"/>
  <c r="Q440" i="1"/>
  <c r="Q446" i="1"/>
  <c r="Q450" i="1"/>
  <c r="Q454" i="1"/>
  <c r="Q458" i="1"/>
  <c r="Q462" i="1"/>
  <c r="Q466" i="1"/>
  <c r="Q470" i="1"/>
  <c r="Q474" i="1"/>
  <c r="Q478" i="1"/>
  <c r="Q482" i="1"/>
  <c r="Q486" i="1"/>
  <c r="Q490" i="1"/>
  <c r="Q494" i="1"/>
  <c r="Q498" i="1"/>
  <c r="Q502" i="1"/>
  <c r="Q506" i="1"/>
  <c r="Q510" i="1"/>
  <c r="Q514" i="1"/>
  <c r="Q518" i="1"/>
  <c r="Q522" i="1"/>
  <c r="Q526" i="1"/>
  <c r="Q530" i="1"/>
  <c r="Q534" i="1"/>
  <c r="Q538" i="1"/>
  <c r="Q542" i="1"/>
  <c r="Q546" i="1"/>
  <c r="Q550" i="1"/>
  <c r="Q554" i="1"/>
  <c r="R558" i="1"/>
  <c r="R562" i="1"/>
  <c r="R566" i="1"/>
  <c r="R570" i="1"/>
  <c r="R574" i="1"/>
  <c r="R578" i="1"/>
  <c r="S581" i="1"/>
  <c r="R581" i="1"/>
  <c r="S594" i="1"/>
  <c r="Q601" i="1"/>
  <c r="S616" i="1"/>
  <c r="R616" i="1"/>
  <c r="Q616" i="1"/>
  <c r="S640" i="1"/>
  <c r="R640" i="1"/>
  <c r="Q640" i="1"/>
  <c r="Q676" i="1"/>
  <c r="S687" i="1"/>
  <c r="Q687" i="1"/>
  <c r="R701" i="1"/>
  <c r="Q701" i="1"/>
  <c r="S701" i="1"/>
  <c r="R717" i="1"/>
  <c r="Q717" i="1"/>
  <c r="S717" i="1"/>
  <c r="S814" i="1"/>
  <c r="R814" i="1"/>
  <c r="Q814" i="1"/>
  <c r="Q909" i="1"/>
  <c r="S909" i="1"/>
  <c r="R909" i="1"/>
  <c r="S446" i="1"/>
  <c r="S450" i="1"/>
  <c r="S454" i="1"/>
  <c r="S458" i="1"/>
  <c r="S462" i="1"/>
  <c r="S466" i="1"/>
  <c r="S470" i="1"/>
  <c r="S474" i="1"/>
  <c r="S478" i="1"/>
  <c r="S482" i="1"/>
  <c r="S486" i="1"/>
  <c r="S490" i="1"/>
  <c r="S494" i="1"/>
  <c r="S498" i="1"/>
  <c r="S502" i="1"/>
  <c r="S506" i="1"/>
  <c r="S510" i="1"/>
  <c r="S514" i="1"/>
  <c r="S518" i="1"/>
  <c r="S522" i="1"/>
  <c r="S526" i="1"/>
  <c r="S530" i="1"/>
  <c r="S534" i="1"/>
  <c r="S538" i="1"/>
  <c r="S542" i="1"/>
  <c r="S546" i="1"/>
  <c r="S550" i="1"/>
  <c r="S554" i="1"/>
  <c r="S557" i="1"/>
  <c r="R557" i="1"/>
  <c r="S561" i="1"/>
  <c r="R561" i="1"/>
  <c r="S565" i="1"/>
  <c r="R565" i="1"/>
  <c r="S569" i="1"/>
  <c r="R569" i="1"/>
  <c r="S573" i="1"/>
  <c r="R573" i="1"/>
  <c r="S577" i="1"/>
  <c r="R577" i="1"/>
  <c r="S588" i="1"/>
  <c r="Q588" i="1"/>
  <c r="S625" i="1"/>
  <c r="R625" i="1"/>
  <c r="S682" i="1"/>
  <c r="Q682" i="1"/>
  <c r="S689" i="1"/>
  <c r="Q689" i="1"/>
  <c r="S728" i="1"/>
  <c r="Q728" i="1"/>
  <c r="S751" i="1"/>
  <c r="R751" i="1"/>
  <c r="Q751" i="1"/>
  <c r="S763" i="1"/>
  <c r="Q763" i="1"/>
  <c r="S784" i="1"/>
  <c r="Q784" i="1"/>
  <c r="S834" i="1"/>
  <c r="R834" i="1"/>
  <c r="S559" i="1"/>
  <c r="S567" i="1"/>
  <c r="S575" i="1"/>
  <c r="S583" i="1"/>
  <c r="S591" i="1"/>
  <c r="S599" i="1"/>
  <c r="S607" i="1"/>
  <c r="S615" i="1"/>
  <c r="S623" i="1"/>
  <c r="S631" i="1"/>
  <c r="S639" i="1"/>
  <c r="S694" i="1"/>
  <c r="R694" i="1"/>
  <c r="S703" i="1"/>
  <c r="S710" i="1"/>
  <c r="R710" i="1"/>
  <c r="S719" i="1"/>
  <c r="R770" i="1"/>
  <c r="Q770" i="1"/>
  <c r="Q777" i="1"/>
  <c r="S782" i="1"/>
  <c r="R782" i="1"/>
  <c r="Q782" i="1"/>
  <c r="S842" i="1"/>
  <c r="R842" i="1"/>
  <c r="S874" i="1"/>
  <c r="R874" i="1"/>
  <c r="Q962" i="1"/>
  <c r="R962" i="1"/>
  <c r="S962" i="1"/>
  <c r="S582" i="1"/>
  <c r="S590" i="1"/>
  <c r="S598" i="1"/>
  <c r="S606" i="1"/>
  <c r="S614" i="1"/>
  <c r="S622" i="1"/>
  <c r="S630" i="1"/>
  <c r="S638" i="1"/>
  <c r="S646" i="1"/>
  <c r="S650" i="1"/>
  <c r="S654" i="1"/>
  <c r="S658" i="1"/>
  <c r="S662" i="1"/>
  <c r="S666" i="1"/>
  <c r="S670" i="1"/>
  <c r="Q700" i="1"/>
  <c r="Q716" i="1"/>
  <c r="R746" i="1"/>
  <c r="Q746" i="1"/>
  <c r="Q753" i="1"/>
  <c r="S758" i="1"/>
  <c r="R758" i="1"/>
  <c r="Q758" i="1"/>
  <c r="S767" i="1"/>
  <c r="R767" i="1"/>
  <c r="S802" i="1"/>
  <c r="R802" i="1"/>
  <c r="S818" i="1"/>
  <c r="R818" i="1"/>
  <c r="Q842" i="1"/>
  <c r="S846" i="1"/>
  <c r="R846" i="1"/>
  <c r="Q874" i="1"/>
  <c r="S878" i="1"/>
  <c r="R878" i="1"/>
  <c r="Q968" i="1"/>
  <c r="S968" i="1"/>
  <c r="R968" i="1"/>
  <c r="Q984" i="1"/>
  <c r="S984" i="1"/>
  <c r="R984" i="1"/>
  <c r="Q1076" i="1"/>
  <c r="R1076" i="1"/>
  <c r="S597" i="1"/>
  <c r="S605" i="1"/>
  <c r="S613" i="1"/>
  <c r="S621" i="1"/>
  <c r="Q622" i="1"/>
  <c r="S629" i="1"/>
  <c r="Q630" i="1"/>
  <c r="S637" i="1"/>
  <c r="Q638" i="1"/>
  <c r="S645" i="1"/>
  <c r="Q646" i="1"/>
  <c r="R697" i="1"/>
  <c r="R713" i="1"/>
  <c r="S727" i="1"/>
  <c r="R727" i="1"/>
  <c r="S735" i="1"/>
  <c r="R735" i="1"/>
  <c r="S743" i="1"/>
  <c r="R743" i="1"/>
  <c r="R786" i="1"/>
  <c r="Q786" i="1"/>
  <c r="S850" i="1"/>
  <c r="R850" i="1"/>
  <c r="S882" i="1"/>
  <c r="R882" i="1"/>
  <c r="Q932" i="1"/>
  <c r="S932" i="1"/>
  <c r="R932" i="1"/>
  <c r="S1076" i="1"/>
  <c r="S628" i="1"/>
  <c r="S636" i="1"/>
  <c r="S644" i="1"/>
  <c r="S649" i="1"/>
  <c r="S653" i="1"/>
  <c r="S657" i="1"/>
  <c r="S661" i="1"/>
  <c r="S665" i="1"/>
  <c r="S669" i="1"/>
  <c r="S673" i="1"/>
  <c r="R693" i="1"/>
  <c r="Q693" i="1"/>
  <c r="R709" i="1"/>
  <c r="Q709" i="1"/>
  <c r="R762" i="1"/>
  <c r="Q762" i="1"/>
  <c r="S774" i="1"/>
  <c r="R774" i="1"/>
  <c r="Q774" i="1"/>
  <c r="S783" i="1"/>
  <c r="R783" i="1"/>
  <c r="S790" i="1"/>
  <c r="R790" i="1"/>
  <c r="S806" i="1"/>
  <c r="R806" i="1"/>
  <c r="S822" i="1"/>
  <c r="R822" i="1"/>
  <c r="S854" i="1"/>
  <c r="R854" i="1"/>
  <c r="S886" i="1"/>
  <c r="R886" i="1"/>
  <c r="Q925" i="1"/>
  <c r="S925" i="1"/>
  <c r="R925" i="1"/>
  <c r="Q1002" i="1"/>
  <c r="R1002" i="1"/>
  <c r="S1002" i="1"/>
  <c r="S563" i="1"/>
  <c r="S571" i="1"/>
  <c r="S579" i="1"/>
  <c r="S587" i="1"/>
  <c r="S595" i="1"/>
  <c r="R597" i="1"/>
  <c r="S603" i="1"/>
  <c r="R605" i="1"/>
  <c r="S611" i="1"/>
  <c r="R613" i="1"/>
  <c r="S619" i="1"/>
  <c r="Q620" i="1"/>
  <c r="R621" i="1"/>
  <c r="S627" i="1"/>
  <c r="Q628" i="1"/>
  <c r="R629" i="1"/>
  <c r="S635" i="1"/>
  <c r="Q636" i="1"/>
  <c r="R637" i="1"/>
  <c r="S643" i="1"/>
  <c r="Q644" i="1"/>
  <c r="R645" i="1"/>
  <c r="S693" i="1"/>
  <c r="S695" i="1"/>
  <c r="Q699" i="1"/>
  <c r="S702" i="1"/>
  <c r="R702" i="1"/>
  <c r="S706" i="1"/>
  <c r="S709" i="1"/>
  <c r="S711" i="1"/>
  <c r="Q715" i="1"/>
  <c r="S718" i="1"/>
  <c r="R718" i="1"/>
  <c r="S722" i="1"/>
  <c r="Q724" i="1"/>
  <c r="S730" i="1"/>
  <c r="Q732" i="1"/>
  <c r="S738" i="1"/>
  <c r="Q740" i="1"/>
  <c r="Q745" i="1"/>
  <c r="S750" i="1"/>
  <c r="R750" i="1"/>
  <c r="Q750" i="1"/>
  <c r="Q752" i="1"/>
  <c r="S759" i="1"/>
  <c r="R759" i="1"/>
  <c r="S762" i="1"/>
  <c r="Q764" i="1"/>
  <c r="Q783" i="1"/>
  <c r="Q790" i="1"/>
  <c r="Q806" i="1"/>
  <c r="Q822" i="1"/>
  <c r="S826" i="1"/>
  <c r="R826" i="1"/>
  <c r="Q854" i="1"/>
  <c r="S858" i="1"/>
  <c r="R858" i="1"/>
  <c r="Q886" i="1"/>
  <c r="S890" i="1"/>
  <c r="R890" i="1"/>
  <c r="Q899" i="1"/>
  <c r="R899" i="1"/>
  <c r="Q947" i="1"/>
  <c r="S947" i="1"/>
  <c r="R947" i="1"/>
  <c r="S610" i="1"/>
  <c r="S618" i="1"/>
  <c r="R620" i="1"/>
  <c r="S626" i="1"/>
  <c r="R628" i="1"/>
  <c r="S634" i="1"/>
  <c r="R636" i="1"/>
  <c r="S642" i="1"/>
  <c r="R644" i="1"/>
  <c r="S648" i="1"/>
  <c r="S652" i="1"/>
  <c r="S656" i="1"/>
  <c r="S660" i="1"/>
  <c r="S664" i="1"/>
  <c r="S668" i="1"/>
  <c r="S672" i="1"/>
  <c r="Q692" i="1"/>
  <c r="Q708" i="1"/>
  <c r="Q771" i="1"/>
  <c r="R778" i="1"/>
  <c r="Q778" i="1"/>
  <c r="S794" i="1"/>
  <c r="R794" i="1"/>
  <c r="S810" i="1"/>
  <c r="R810" i="1"/>
  <c r="S830" i="1"/>
  <c r="R830" i="1"/>
  <c r="S862" i="1"/>
  <c r="R862" i="1"/>
  <c r="S894" i="1"/>
  <c r="R894" i="1"/>
  <c r="Q903" i="1"/>
  <c r="R903" i="1"/>
  <c r="Q916" i="1"/>
  <c r="S916" i="1"/>
  <c r="R916" i="1"/>
  <c r="Q1044" i="1"/>
  <c r="R1044" i="1"/>
  <c r="S1044" i="1"/>
  <c r="S789" i="1"/>
  <c r="S793" i="1"/>
  <c r="S797" i="1"/>
  <c r="S801" i="1"/>
  <c r="S805" i="1"/>
  <c r="S809" i="1"/>
  <c r="S813" i="1"/>
  <c r="S817" i="1"/>
  <c r="S821" i="1"/>
  <c r="S825" i="1"/>
  <c r="S829" i="1"/>
  <c r="S833" i="1"/>
  <c r="S837" i="1"/>
  <c r="S841" i="1"/>
  <c r="S845" i="1"/>
  <c r="S849" i="1"/>
  <c r="S853" i="1"/>
  <c r="S857" i="1"/>
  <c r="S861" i="1"/>
  <c r="S865" i="1"/>
  <c r="S869" i="1"/>
  <c r="S873" i="1"/>
  <c r="S877" i="1"/>
  <c r="S881" i="1"/>
  <c r="S885" i="1"/>
  <c r="S889" i="1"/>
  <c r="S893" i="1"/>
  <c r="Q897" i="1"/>
  <c r="Q901" i="1"/>
  <c r="Q905" i="1"/>
  <c r="Q919" i="1"/>
  <c r="R919" i="1"/>
  <c r="Q935" i="1"/>
  <c r="R935" i="1"/>
  <c r="Q952" i="1"/>
  <c r="S952" i="1"/>
  <c r="R952" i="1"/>
  <c r="Q986" i="1"/>
  <c r="R986" i="1"/>
  <c r="Q1050" i="1"/>
  <c r="R1050" i="1"/>
  <c r="Q1092" i="1"/>
  <c r="R1092" i="1"/>
  <c r="Q1162" i="1"/>
  <c r="S1162" i="1"/>
  <c r="R1162" i="1"/>
  <c r="Q725" i="1"/>
  <c r="Q733" i="1"/>
  <c r="Q741" i="1"/>
  <c r="Q749" i="1"/>
  <c r="Q757" i="1"/>
  <c r="Q765" i="1"/>
  <c r="Q773" i="1"/>
  <c r="Q781" i="1"/>
  <c r="Q789" i="1"/>
  <c r="Q793" i="1"/>
  <c r="Q797" i="1"/>
  <c r="Q801" i="1"/>
  <c r="Q805" i="1"/>
  <c r="Q809" i="1"/>
  <c r="Q813" i="1"/>
  <c r="Q817" i="1"/>
  <c r="Q821" i="1"/>
  <c r="Q825" i="1"/>
  <c r="Q829" i="1"/>
  <c r="Q833" i="1"/>
  <c r="Q837" i="1"/>
  <c r="Q841" i="1"/>
  <c r="Q845" i="1"/>
  <c r="Q849" i="1"/>
  <c r="Q853" i="1"/>
  <c r="Q857" i="1"/>
  <c r="Q861" i="1"/>
  <c r="Q865" i="1"/>
  <c r="Q869" i="1"/>
  <c r="Q873" i="1"/>
  <c r="Q877" i="1"/>
  <c r="Q881" i="1"/>
  <c r="Q885" i="1"/>
  <c r="Q889" i="1"/>
  <c r="Q893" i="1"/>
  <c r="R897" i="1"/>
  <c r="R901" i="1"/>
  <c r="R905" i="1"/>
  <c r="Q912" i="1"/>
  <c r="S912" i="1"/>
  <c r="S919" i="1"/>
  <c r="Q921" i="1"/>
  <c r="Q928" i="1"/>
  <c r="S928" i="1"/>
  <c r="S935" i="1"/>
  <c r="Q937" i="1"/>
  <c r="Q970" i="1"/>
  <c r="R970" i="1"/>
  <c r="S986" i="1"/>
  <c r="Q1008" i="1"/>
  <c r="R1008" i="1"/>
  <c r="Q1028" i="1"/>
  <c r="R1028" i="1"/>
  <c r="S1028" i="1"/>
  <c r="S1050" i="1"/>
  <c r="S1092" i="1"/>
  <c r="R789" i="1"/>
  <c r="S792" i="1"/>
  <c r="R793" i="1"/>
  <c r="S796" i="1"/>
  <c r="R797" i="1"/>
  <c r="S800" i="1"/>
  <c r="R801" i="1"/>
  <c r="S804" i="1"/>
  <c r="R805" i="1"/>
  <c r="S808" i="1"/>
  <c r="R809" i="1"/>
  <c r="S812" i="1"/>
  <c r="R813" i="1"/>
  <c r="S816" i="1"/>
  <c r="R817" i="1"/>
  <c r="S820" i="1"/>
  <c r="R821" i="1"/>
  <c r="S824" i="1"/>
  <c r="R825" i="1"/>
  <c r="S828" i="1"/>
  <c r="R829" i="1"/>
  <c r="S832" i="1"/>
  <c r="R833" i="1"/>
  <c r="S836" i="1"/>
  <c r="R837" i="1"/>
  <c r="S840" i="1"/>
  <c r="R841" i="1"/>
  <c r="S844" i="1"/>
  <c r="R845" i="1"/>
  <c r="S848" i="1"/>
  <c r="R849" i="1"/>
  <c r="S852" i="1"/>
  <c r="R853" i="1"/>
  <c r="S856" i="1"/>
  <c r="R857" i="1"/>
  <c r="S860" i="1"/>
  <c r="R861" i="1"/>
  <c r="S864" i="1"/>
  <c r="R865" i="1"/>
  <c r="S868" i="1"/>
  <c r="R869" i="1"/>
  <c r="S872" i="1"/>
  <c r="R873" i="1"/>
  <c r="S876" i="1"/>
  <c r="R877" i="1"/>
  <c r="S880" i="1"/>
  <c r="R881" i="1"/>
  <c r="S884" i="1"/>
  <c r="R885" i="1"/>
  <c r="S888" i="1"/>
  <c r="R889" i="1"/>
  <c r="S892" i="1"/>
  <c r="R893" i="1"/>
  <c r="S896" i="1"/>
  <c r="S897" i="1"/>
  <c r="S901" i="1"/>
  <c r="S905" i="1"/>
  <c r="R912" i="1"/>
  <c r="R921" i="1"/>
  <c r="R928" i="1"/>
  <c r="R937" i="1"/>
  <c r="Q940" i="1"/>
  <c r="S940" i="1"/>
  <c r="R940" i="1"/>
  <c r="Q954" i="1"/>
  <c r="R954" i="1"/>
  <c r="S970" i="1"/>
  <c r="Q992" i="1"/>
  <c r="S992" i="1"/>
  <c r="S1008" i="1"/>
  <c r="Q1032" i="1"/>
  <c r="R1032" i="1"/>
  <c r="Q1108" i="1"/>
  <c r="R1108" i="1"/>
  <c r="Q900" i="1"/>
  <c r="S900" i="1"/>
  <c r="Q904" i="1"/>
  <c r="S904" i="1"/>
  <c r="Q908" i="1"/>
  <c r="S908" i="1"/>
  <c r="R908" i="1"/>
  <c r="Q917" i="1"/>
  <c r="S917" i="1"/>
  <c r="Q924" i="1"/>
  <c r="S924" i="1"/>
  <c r="R924" i="1"/>
  <c r="Q933" i="1"/>
  <c r="S933" i="1"/>
  <c r="Q943" i="1"/>
  <c r="S943" i="1"/>
  <c r="R943" i="1"/>
  <c r="Q976" i="1"/>
  <c r="S976" i="1"/>
  <c r="Q1012" i="1"/>
  <c r="R1012" i="1"/>
  <c r="S1012" i="1"/>
  <c r="S1032" i="1"/>
  <c r="S1108" i="1"/>
  <c r="Q1194" i="1"/>
  <c r="S791" i="1"/>
  <c r="S795" i="1"/>
  <c r="S799" i="1"/>
  <c r="S803" i="1"/>
  <c r="S807" i="1"/>
  <c r="S811" i="1"/>
  <c r="S815" i="1"/>
  <c r="S819" i="1"/>
  <c r="S823" i="1"/>
  <c r="S827" i="1"/>
  <c r="S831" i="1"/>
  <c r="S835" i="1"/>
  <c r="S839" i="1"/>
  <c r="S843" i="1"/>
  <c r="S847" i="1"/>
  <c r="S851" i="1"/>
  <c r="S855" i="1"/>
  <c r="S859" i="1"/>
  <c r="S863" i="1"/>
  <c r="S867" i="1"/>
  <c r="S871" i="1"/>
  <c r="S875" i="1"/>
  <c r="S879" i="1"/>
  <c r="S883" i="1"/>
  <c r="S887" i="1"/>
  <c r="S891" i="1"/>
  <c r="S895" i="1"/>
  <c r="R900" i="1"/>
  <c r="R904" i="1"/>
  <c r="Q911" i="1"/>
  <c r="R911" i="1"/>
  <c r="R917" i="1"/>
  <c r="Q927" i="1"/>
  <c r="R927" i="1"/>
  <c r="R933" i="1"/>
  <c r="Q960" i="1"/>
  <c r="S960" i="1"/>
  <c r="R976" i="1"/>
  <c r="Q994" i="1"/>
  <c r="R994" i="1"/>
  <c r="S994" i="1"/>
  <c r="Q1016" i="1"/>
  <c r="R1016" i="1"/>
  <c r="Q1036" i="1"/>
  <c r="R1036" i="1"/>
  <c r="S1036" i="1"/>
  <c r="Q1060" i="1"/>
  <c r="R1060" i="1"/>
  <c r="Q791" i="1"/>
  <c r="Q795" i="1"/>
  <c r="Q799" i="1"/>
  <c r="Q803" i="1"/>
  <c r="Q807" i="1"/>
  <c r="Q811" i="1"/>
  <c r="Q815" i="1"/>
  <c r="Q819" i="1"/>
  <c r="Q823" i="1"/>
  <c r="Q827" i="1"/>
  <c r="Q831" i="1"/>
  <c r="Q835" i="1"/>
  <c r="Q839" i="1"/>
  <c r="Q843" i="1"/>
  <c r="Q847" i="1"/>
  <c r="Q851" i="1"/>
  <c r="Q855" i="1"/>
  <c r="Q859" i="1"/>
  <c r="Q863" i="1"/>
  <c r="Q867" i="1"/>
  <c r="Q871" i="1"/>
  <c r="Q875" i="1"/>
  <c r="Q879" i="1"/>
  <c r="Q883" i="1"/>
  <c r="Q887" i="1"/>
  <c r="Q891" i="1"/>
  <c r="Q895" i="1"/>
  <c r="S911" i="1"/>
  <c r="Q913" i="1"/>
  <c r="Q920" i="1"/>
  <c r="S920" i="1"/>
  <c r="S927" i="1"/>
  <c r="Q929" i="1"/>
  <c r="Q936" i="1"/>
  <c r="S936" i="1"/>
  <c r="Q950" i="1"/>
  <c r="R950" i="1"/>
  <c r="R960" i="1"/>
  <c r="Q978" i="1"/>
  <c r="R978" i="1"/>
  <c r="S978" i="1"/>
  <c r="Q1000" i="1"/>
  <c r="S1000" i="1"/>
  <c r="R1000" i="1"/>
  <c r="S1016" i="1"/>
  <c r="Q1040" i="1"/>
  <c r="R1040" i="1"/>
  <c r="S1060" i="1"/>
  <c r="Q1130" i="1"/>
  <c r="S1130" i="1"/>
  <c r="R1130" i="1"/>
  <c r="Q902" i="1"/>
  <c r="Q910" i="1"/>
  <c r="Q918" i="1"/>
  <c r="Q926" i="1"/>
  <c r="Q934" i="1"/>
  <c r="Q942" i="1"/>
  <c r="Q948" i="1"/>
  <c r="Q953" i="1"/>
  <c r="Q956" i="1"/>
  <c r="R956" i="1"/>
  <c r="Q966" i="1"/>
  <c r="R966" i="1"/>
  <c r="Q972" i="1"/>
  <c r="R972" i="1"/>
  <c r="Q982" i="1"/>
  <c r="R982" i="1"/>
  <c r="Q988" i="1"/>
  <c r="R988" i="1"/>
  <c r="Q998" i="1"/>
  <c r="R998" i="1"/>
  <c r="Q1004" i="1"/>
  <c r="R1004" i="1"/>
  <c r="Q1010" i="1"/>
  <c r="R1010" i="1"/>
  <c r="Q1018" i="1"/>
  <c r="R1018" i="1"/>
  <c r="Q1026" i="1"/>
  <c r="R1026" i="1"/>
  <c r="Q1034" i="1"/>
  <c r="R1034" i="1"/>
  <c r="Q1042" i="1"/>
  <c r="R1042" i="1"/>
  <c r="Q1052" i="1"/>
  <c r="R1052" i="1"/>
  <c r="S1233" i="1"/>
  <c r="S1235" i="1"/>
  <c r="Q1235" i="1"/>
  <c r="Q941" i="1"/>
  <c r="Q959" i="1"/>
  <c r="S959" i="1"/>
  <c r="Q975" i="1"/>
  <c r="S975" i="1"/>
  <c r="Q991" i="1"/>
  <c r="S991" i="1"/>
  <c r="Q1007" i="1"/>
  <c r="S1034" i="1"/>
  <c r="S1042" i="1"/>
  <c r="S1052" i="1"/>
  <c r="Q1066" i="1"/>
  <c r="S1066" i="1"/>
  <c r="R1066" i="1"/>
  <c r="Q1082" i="1"/>
  <c r="S1082" i="1"/>
  <c r="R1082" i="1"/>
  <c r="Q1098" i="1"/>
  <c r="S1098" i="1"/>
  <c r="R1098" i="1"/>
  <c r="Q1114" i="1"/>
  <c r="S1114" i="1"/>
  <c r="R1114" i="1"/>
  <c r="Q1138" i="1"/>
  <c r="S1138" i="1"/>
  <c r="R1138" i="1"/>
  <c r="Q1170" i="1"/>
  <c r="S1170" i="1"/>
  <c r="R1170" i="1"/>
  <c r="S1237" i="1"/>
  <c r="Q1237" i="1"/>
  <c r="Q1068" i="1"/>
  <c r="R1068" i="1"/>
  <c r="Q1084" i="1"/>
  <c r="R1084" i="1"/>
  <c r="Q1100" i="1"/>
  <c r="R1100" i="1"/>
  <c r="Q1116" i="1"/>
  <c r="R1116" i="1"/>
  <c r="S1225" i="1"/>
  <c r="R1225" i="1"/>
  <c r="Q1225" i="1"/>
  <c r="Q915" i="1"/>
  <c r="Q923" i="1"/>
  <c r="Q931" i="1"/>
  <c r="Q939" i="1"/>
  <c r="S941" i="1"/>
  <c r="Q1056" i="1"/>
  <c r="S1056" i="1"/>
  <c r="R1056" i="1"/>
  <c r="S1068" i="1"/>
  <c r="S1084" i="1"/>
  <c r="S1100" i="1"/>
  <c r="S1116" i="1"/>
  <c r="Q1146" i="1"/>
  <c r="S1146" i="1"/>
  <c r="R1146" i="1"/>
  <c r="Q1178" i="1"/>
  <c r="S1178" i="1"/>
  <c r="R1178" i="1"/>
  <c r="Q1210" i="1"/>
  <c r="Q898" i="1"/>
  <c r="Q906" i="1"/>
  <c r="R907" i="1"/>
  <c r="Q914" i="1"/>
  <c r="R915" i="1"/>
  <c r="Q922" i="1"/>
  <c r="R923" i="1"/>
  <c r="Q930" i="1"/>
  <c r="R931" i="1"/>
  <c r="Q938" i="1"/>
  <c r="R939" i="1"/>
  <c r="Q946" i="1"/>
  <c r="Q951" i="1"/>
  <c r="S951" i="1"/>
  <c r="Q958" i="1"/>
  <c r="R958" i="1"/>
  <c r="Q964" i="1"/>
  <c r="R964" i="1"/>
  <c r="Q974" i="1"/>
  <c r="R974" i="1"/>
  <c r="Q980" i="1"/>
  <c r="R980" i="1"/>
  <c r="Q990" i="1"/>
  <c r="R990" i="1"/>
  <c r="Q996" i="1"/>
  <c r="R996" i="1"/>
  <c r="Q1006" i="1"/>
  <c r="R1006" i="1"/>
  <c r="Q1014" i="1"/>
  <c r="R1014" i="1"/>
  <c r="Q1022" i="1"/>
  <c r="R1022" i="1"/>
  <c r="Q1030" i="1"/>
  <c r="R1030" i="1"/>
  <c r="Q1038" i="1"/>
  <c r="R1038" i="1"/>
  <c r="Q1058" i="1"/>
  <c r="R1058" i="1"/>
  <c r="Q945" i="1"/>
  <c r="Q967" i="1"/>
  <c r="S967" i="1"/>
  <c r="Q983" i="1"/>
  <c r="S983" i="1"/>
  <c r="Q999" i="1"/>
  <c r="S999" i="1"/>
  <c r="Q1048" i="1"/>
  <c r="S1048" i="1"/>
  <c r="R1048" i="1"/>
  <c r="S1058" i="1"/>
  <c r="Q1074" i="1"/>
  <c r="S1074" i="1"/>
  <c r="R1074" i="1"/>
  <c r="Q1090" i="1"/>
  <c r="S1090" i="1"/>
  <c r="R1090" i="1"/>
  <c r="Q1106" i="1"/>
  <c r="S1106" i="1"/>
  <c r="R1106" i="1"/>
  <c r="Q1122" i="1"/>
  <c r="S1122" i="1"/>
  <c r="R1122" i="1"/>
  <c r="Q1154" i="1"/>
  <c r="S1154" i="1"/>
  <c r="R1154" i="1"/>
  <c r="Q1186" i="1"/>
  <c r="S1186" i="1"/>
  <c r="R1186" i="1"/>
  <c r="Q1202" i="1"/>
  <c r="S1236" i="1"/>
  <c r="Q1236" i="1"/>
  <c r="Q961" i="1"/>
  <c r="Q969" i="1"/>
  <c r="Q977" i="1"/>
  <c r="Q985" i="1"/>
  <c r="Q993" i="1"/>
  <c r="Q1001" i="1"/>
  <c r="Q1009" i="1"/>
  <c r="Q1017" i="1"/>
  <c r="Q1025" i="1"/>
  <c r="Q1033" i="1"/>
  <c r="Q1041" i="1"/>
  <c r="Q1049" i="1"/>
  <c r="Q1057" i="1"/>
  <c r="Q1065" i="1"/>
  <c r="Q1073" i="1"/>
  <c r="Q1081" i="1"/>
  <c r="Q1089" i="1"/>
  <c r="Q1097" i="1"/>
  <c r="Q1105" i="1"/>
  <c r="Q1113" i="1"/>
  <c r="Q1121" i="1"/>
  <c r="Q1129" i="1"/>
  <c r="Q1137" i="1"/>
  <c r="Q1145" i="1"/>
  <c r="Q1153" i="1"/>
  <c r="Q1161" i="1"/>
  <c r="Q1169" i="1"/>
  <c r="Q1177" i="1"/>
  <c r="Q1185" i="1"/>
  <c r="Q1193" i="1"/>
  <c r="Q1201" i="1"/>
  <c r="Q1209" i="1"/>
  <c r="Q1217" i="1"/>
  <c r="Q1064" i="1"/>
  <c r="Q1072" i="1"/>
  <c r="Q1080" i="1"/>
  <c r="Q1088" i="1"/>
  <c r="Q1096" i="1"/>
  <c r="Q1104" i="1"/>
  <c r="Q1112" i="1"/>
  <c r="Q1120" i="1"/>
  <c r="Q1128" i="1"/>
  <c r="Q1136" i="1"/>
  <c r="Q1144" i="1"/>
  <c r="Q1152" i="1"/>
  <c r="Q1160" i="1"/>
  <c r="Q1168" i="1"/>
  <c r="Q1176" i="1"/>
  <c r="Q1184" i="1"/>
  <c r="Q1192" i="1"/>
  <c r="Q1200" i="1"/>
  <c r="Q1208" i="1"/>
  <c r="Q1216" i="1"/>
  <c r="S1228" i="1"/>
  <c r="S1240" i="1"/>
  <c r="Q1240" i="1"/>
  <c r="S1258" i="1"/>
  <c r="Q1258" i="1"/>
  <c r="R1258" i="1"/>
  <c r="Q1015" i="1"/>
  <c r="Q1023" i="1"/>
  <c r="Q1031" i="1"/>
  <c r="Q1039" i="1"/>
  <c r="Q1047" i="1"/>
  <c r="Q1055" i="1"/>
  <c r="S1057" i="1"/>
  <c r="Q1063" i="1"/>
  <c r="R1064" i="1"/>
  <c r="S1065" i="1"/>
  <c r="Q1071" i="1"/>
  <c r="R1072" i="1"/>
  <c r="S1073" i="1"/>
  <c r="Q1079" i="1"/>
  <c r="R1080" i="1"/>
  <c r="S1081" i="1"/>
  <c r="Q1087" i="1"/>
  <c r="R1088" i="1"/>
  <c r="S1089" i="1"/>
  <c r="Q1095" i="1"/>
  <c r="R1096" i="1"/>
  <c r="S1097" i="1"/>
  <c r="Q1103" i="1"/>
  <c r="R1104" i="1"/>
  <c r="S1105" i="1"/>
  <c r="Q1111" i="1"/>
  <c r="R1112" i="1"/>
  <c r="S1113" i="1"/>
  <c r="Q1119" i="1"/>
  <c r="R1120" i="1"/>
  <c r="S1121" i="1"/>
  <c r="Q1127" i="1"/>
  <c r="R1128" i="1"/>
  <c r="S1129" i="1"/>
  <c r="Q1135" i="1"/>
  <c r="R1136" i="1"/>
  <c r="S1137" i="1"/>
  <c r="Q1143" i="1"/>
  <c r="R1144" i="1"/>
  <c r="S1145" i="1"/>
  <c r="Q1151" i="1"/>
  <c r="R1152" i="1"/>
  <c r="S1153" i="1"/>
  <c r="Q1159" i="1"/>
  <c r="R1160" i="1"/>
  <c r="S1161" i="1"/>
  <c r="Q1167" i="1"/>
  <c r="R1168" i="1"/>
  <c r="S1169" i="1"/>
  <c r="Q1175" i="1"/>
  <c r="R1176" i="1"/>
  <c r="S1177" i="1"/>
  <c r="Q1183" i="1"/>
  <c r="R1184" i="1"/>
  <c r="S1185" i="1"/>
  <c r="Q1191" i="1"/>
  <c r="R1192" i="1"/>
  <c r="S1193" i="1"/>
  <c r="Q1199" i="1"/>
  <c r="Q1207" i="1"/>
  <c r="Q1215" i="1"/>
  <c r="Q1223" i="1"/>
  <c r="S1227" i="1"/>
  <c r="Q1228" i="1"/>
  <c r="Q1046" i="1"/>
  <c r="Q1054" i="1"/>
  <c r="Q1062" i="1"/>
  <c r="S1064" i="1"/>
  <c r="Q1070" i="1"/>
  <c r="S1072" i="1"/>
  <c r="Q1078" i="1"/>
  <c r="S1080" i="1"/>
  <c r="Q1086" i="1"/>
  <c r="S1088" i="1"/>
  <c r="Q1094" i="1"/>
  <c r="S1096" i="1"/>
  <c r="Q1102" i="1"/>
  <c r="S1104" i="1"/>
  <c r="Q1110" i="1"/>
  <c r="S1112" i="1"/>
  <c r="Q1118" i="1"/>
  <c r="S1120" i="1"/>
  <c r="Q1126" i="1"/>
  <c r="S1128" i="1"/>
  <c r="Q1134" i="1"/>
  <c r="S1136" i="1"/>
  <c r="Q1142" i="1"/>
  <c r="S1144" i="1"/>
  <c r="Q1150" i="1"/>
  <c r="S1152" i="1"/>
  <c r="Q1158" i="1"/>
  <c r="S1160" i="1"/>
  <c r="Q1166" i="1"/>
  <c r="S1168" i="1"/>
  <c r="Q1174" i="1"/>
  <c r="S1176" i="1"/>
  <c r="Q1182" i="1"/>
  <c r="S1184" i="1"/>
  <c r="Q1190" i="1"/>
  <c r="S1192" i="1"/>
  <c r="Q1198" i="1"/>
  <c r="Q1206" i="1"/>
  <c r="Q1214" i="1"/>
  <c r="Q1222" i="1"/>
  <c r="R1228" i="1"/>
  <c r="S1242" i="1"/>
  <c r="Q1242" i="1"/>
  <c r="Q949" i="1"/>
  <c r="Q957" i="1"/>
  <c r="Q965" i="1"/>
  <c r="Q973" i="1"/>
  <c r="Q981" i="1"/>
  <c r="Q989" i="1"/>
  <c r="Q997" i="1"/>
  <c r="Q1005" i="1"/>
  <c r="S1007" i="1"/>
  <c r="Q1013" i="1"/>
  <c r="S1015" i="1"/>
  <c r="Q1021" i="1"/>
  <c r="S1023" i="1"/>
  <c r="Q1029" i="1"/>
  <c r="S1031" i="1"/>
  <c r="Q1037" i="1"/>
  <c r="S1039" i="1"/>
  <c r="Q1045" i="1"/>
  <c r="R1046" i="1"/>
  <c r="S1047" i="1"/>
  <c r="Q1053" i="1"/>
  <c r="R1054" i="1"/>
  <c r="S1055" i="1"/>
  <c r="Q1061" i="1"/>
  <c r="R1062" i="1"/>
  <c r="S1063" i="1"/>
  <c r="Q1069" i="1"/>
  <c r="R1070" i="1"/>
  <c r="S1071" i="1"/>
  <c r="Q1077" i="1"/>
  <c r="R1078" i="1"/>
  <c r="S1079" i="1"/>
  <c r="Q1085" i="1"/>
  <c r="R1086" i="1"/>
  <c r="S1087" i="1"/>
  <c r="Q1093" i="1"/>
  <c r="R1094" i="1"/>
  <c r="S1095" i="1"/>
  <c r="Q1101" i="1"/>
  <c r="R1102" i="1"/>
  <c r="S1103" i="1"/>
  <c r="Q1109" i="1"/>
  <c r="R1110" i="1"/>
  <c r="S1111" i="1"/>
  <c r="Q1117" i="1"/>
  <c r="R1118" i="1"/>
  <c r="S1119" i="1"/>
  <c r="Q1125" i="1"/>
  <c r="R1126" i="1"/>
  <c r="S1127" i="1"/>
  <c r="Q1133" i="1"/>
  <c r="R1134" i="1"/>
  <c r="S1135" i="1"/>
  <c r="Q1141" i="1"/>
  <c r="R1142" i="1"/>
  <c r="S1143" i="1"/>
  <c r="Q1149" i="1"/>
  <c r="R1150" i="1"/>
  <c r="Q1157" i="1"/>
  <c r="R1158" i="1"/>
  <c r="Q1165" i="1"/>
  <c r="R1166" i="1"/>
  <c r="Q1173" i="1"/>
  <c r="R1174" i="1"/>
  <c r="S1175" i="1"/>
  <c r="Q1181" i="1"/>
  <c r="R1182" i="1"/>
  <c r="S1183" i="1"/>
  <c r="Q1189" i="1"/>
  <c r="R1190" i="1"/>
  <c r="S1191" i="1"/>
  <c r="Q1197" i="1"/>
  <c r="Q1205" i="1"/>
  <c r="Q1213" i="1"/>
  <c r="Q1221" i="1"/>
  <c r="S1226" i="1"/>
  <c r="R1226" i="1"/>
  <c r="R1227" i="1"/>
  <c r="S1230" i="1"/>
  <c r="Q1124" i="1"/>
  <c r="S1126" i="1"/>
  <c r="Q1132" i="1"/>
  <c r="S1134" i="1"/>
  <c r="Q1140" i="1"/>
  <c r="S1142" i="1"/>
  <c r="Q1148" i="1"/>
  <c r="S1150" i="1"/>
  <c r="Q1156" i="1"/>
  <c r="S1158" i="1"/>
  <c r="Q1164" i="1"/>
  <c r="S1166" i="1"/>
  <c r="Q1172" i="1"/>
  <c r="S1174" i="1"/>
  <c r="Q1180" i="1"/>
  <c r="S1182" i="1"/>
  <c r="Q1188" i="1"/>
  <c r="S1190" i="1"/>
  <c r="Q1196" i="1"/>
  <c r="Q1204" i="1"/>
  <c r="Q1212" i="1"/>
  <c r="Q1220" i="1"/>
  <c r="S1234" i="1"/>
  <c r="Q1239" i="1"/>
  <c r="Q955" i="1"/>
  <c r="S957" i="1"/>
  <c r="Q963" i="1"/>
  <c r="S965" i="1"/>
  <c r="Q971" i="1"/>
  <c r="S973" i="1"/>
  <c r="Q979" i="1"/>
  <c r="S981" i="1"/>
  <c r="Q987" i="1"/>
  <c r="S989" i="1"/>
  <c r="Q995" i="1"/>
  <c r="S997" i="1"/>
  <c r="Q1003" i="1"/>
  <c r="S1005" i="1"/>
  <c r="Q1011" i="1"/>
  <c r="S1013" i="1"/>
  <c r="Q1019" i="1"/>
  <c r="S1021" i="1"/>
  <c r="Q1027" i="1"/>
  <c r="S1029" i="1"/>
  <c r="Q1035" i="1"/>
  <c r="S1037" i="1"/>
  <c r="Q1043" i="1"/>
  <c r="S1045" i="1"/>
  <c r="Q1051" i="1"/>
  <c r="S1053" i="1"/>
  <c r="Q1059" i="1"/>
  <c r="S1061" i="1"/>
  <c r="Q1067" i="1"/>
  <c r="S1069" i="1"/>
  <c r="Q1075" i="1"/>
  <c r="S1077" i="1"/>
  <c r="Q1083" i="1"/>
  <c r="S1085" i="1"/>
  <c r="Q1091" i="1"/>
  <c r="S1093" i="1"/>
  <c r="Q1099" i="1"/>
  <c r="S1101" i="1"/>
  <c r="Q1107" i="1"/>
  <c r="S1109" i="1"/>
  <c r="Q1115" i="1"/>
  <c r="S1117" i="1"/>
  <c r="Q1123" i="1"/>
  <c r="R1124" i="1"/>
  <c r="S1125" i="1"/>
  <c r="Q1131" i="1"/>
  <c r="R1132" i="1"/>
  <c r="S1133" i="1"/>
  <c r="Q1139" i="1"/>
  <c r="R1140" i="1"/>
  <c r="S1141" i="1"/>
  <c r="Q1147" i="1"/>
  <c r="R1148" i="1"/>
  <c r="S1149" i="1"/>
  <c r="Q1155" i="1"/>
  <c r="R1156" i="1"/>
  <c r="S1157" i="1"/>
  <c r="Q1163" i="1"/>
  <c r="R1164" i="1"/>
  <c r="S1165" i="1"/>
  <c r="Q1171" i="1"/>
  <c r="R1172" i="1"/>
  <c r="S1173" i="1"/>
  <c r="Q1179" i="1"/>
  <c r="R1180" i="1"/>
  <c r="S1181" i="1"/>
  <c r="Q1187" i="1"/>
  <c r="R1188" i="1"/>
  <c r="S1189" i="1"/>
  <c r="Q1195" i="1"/>
  <c r="Q1203" i="1"/>
  <c r="Q1211" i="1"/>
  <c r="Q1219" i="1"/>
  <c r="R1230" i="1"/>
  <c r="S1257" i="1"/>
  <c r="Q1257" i="1"/>
  <c r="R1257" i="1"/>
  <c r="Q1246" i="1"/>
  <c r="Q1250" i="1"/>
  <c r="S1317" i="1"/>
  <c r="Q1317" i="1"/>
  <c r="R1317" i="1"/>
  <c r="S1325" i="1"/>
  <c r="Q1325" i="1"/>
  <c r="R1325" i="1"/>
  <c r="S1333" i="1"/>
  <c r="Q1333" i="1"/>
  <c r="R1333" i="1"/>
  <c r="S1341" i="1"/>
  <c r="Q1341" i="1"/>
  <c r="R1341" i="1"/>
  <c r="S1349" i="1"/>
  <c r="Q1349" i="1"/>
  <c r="R1349" i="1"/>
  <c r="S1357" i="1"/>
  <c r="Q1357" i="1"/>
  <c r="R1357" i="1"/>
  <c r="S1365" i="1"/>
  <c r="Q1365" i="1"/>
  <c r="R1365" i="1"/>
  <c r="R1397" i="1"/>
  <c r="Q1397" i="1"/>
  <c r="S1397" i="1"/>
  <c r="Q1241" i="1"/>
  <c r="Q1245" i="1"/>
  <c r="Q1249" i="1"/>
  <c r="S1260" i="1"/>
  <c r="Q1260" i="1"/>
  <c r="R1260" i="1"/>
  <c r="S1262" i="1"/>
  <c r="Q1262" i="1"/>
  <c r="R1262" i="1"/>
  <c r="S1266" i="1"/>
  <c r="Q1266" i="1"/>
  <c r="R1266" i="1"/>
  <c r="S1270" i="1"/>
  <c r="Q1270" i="1"/>
  <c r="R1270" i="1"/>
  <c r="S1274" i="1"/>
  <c r="Q1274" i="1"/>
  <c r="R1274" i="1"/>
  <c r="S1278" i="1"/>
  <c r="Q1278" i="1"/>
  <c r="R1278" i="1"/>
  <c r="S1282" i="1"/>
  <c r="Q1282" i="1"/>
  <c r="R1282" i="1"/>
  <c r="S1286" i="1"/>
  <c r="Q1286" i="1"/>
  <c r="R1286" i="1"/>
  <c r="S1290" i="1"/>
  <c r="Q1290" i="1"/>
  <c r="R1290" i="1"/>
  <c r="S1294" i="1"/>
  <c r="Q1294" i="1"/>
  <c r="R1294" i="1"/>
  <c r="S1298" i="1"/>
  <c r="Q1298" i="1"/>
  <c r="R1298" i="1"/>
  <c r="S1302" i="1"/>
  <c r="Q1302" i="1"/>
  <c r="R1302" i="1"/>
  <c r="S1306" i="1"/>
  <c r="Q1306" i="1"/>
  <c r="R1306" i="1"/>
  <c r="S1310" i="1"/>
  <c r="Q1310" i="1"/>
  <c r="R1310" i="1"/>
  <c r="S1314" i="1"/>
  <c r="Q1314" i="1"/>
  <c r="R1314" i="1"/>
  <c r="S1373" i="1"/>
  <c r="Q1373" i="1"/>
  <c r="R1373" i="1"/>
  <c r="S1408" i="1"/>
  <c r="Q1408" i="1"/>
  <c r="S1224" i="1"/>
  <c r="S1232" i="1"/>
  <c r="S1264" i="1"/>
  <c r="Q1264" i="1"/>
  <c r="R1264" i="1"/>
  <c r="S1268" i="1"/>
  <c r="Q1268" i="1"/>
  <c r="R1268" i="1"/>
  <c r="S1272" i="1"/>
  <c r="Q1272" i="1"/>
  <c r="R1272" i="1"/>
  <c r="S1276" i="1"/>
  <c r="Q1276" i="1"/>
  <c r="R1276" i="1"/>
  <c r="S1280" i="1"/>
  <c r="Q1280" i="1"/>
  <c r="R1280" i="1"/>
  <c r="S1284" i="1"/>
  <c r="Q1284" i="1"/>
  <c r="R1284" i="1"/>
  <c r="S1288" i="1"/>
  <c r="Q1288" i="1"/>
  <c r="R1288" i="1"/>
  <c r="S1292" i="1"/>
  <c r="Q1292" i="1"/>
  <c r="R1292" i="1"/>
  <c r="S1296" i="1"/>
  <c r="Q1296" i="1"/>
  <c r="R1296" i="1"/>
  <c r="S1300" i="1"/>
  <c r="Q1300" i="1"/>
  <c r="R1300" i="1"/>
  <c r="S1304" i="1"/>
  <c r="Q1304" i="1"/>
  <c r="R1304" i="1"/>
  <c r="S1308" i="1"/>
  <c r="Q1308" i="1"/>
  <c r="R1308" i="1"/>
  <c r="S1312" i="1"/>
  <c r="Q1312" i="1"/>
  <c r="R1312" i="1"/>
  <c r="Q1224" i="1"/>
  <c r="S1231" i="1"/>
  <c r="Q1244" i="1"/>
  <c r="Q1248" i="1"/>
  <c r="Q1252" i="1"/>
  <c r="Q1255" i="1"/>
  <c r="S1255" i="1"/>
  <c r="R1255" i="1"/>
  <c r="S1389" i="1"/>
  <c r="Q1389" i="1"/>
  <c r="R1389" i="1"/>
  <c r="S1261" i="1"/>
  <c r="Q1261" i="1"/>
  <c r="R1261" i="1"/>
  <c r="S1322" i="1"/>
  <c r="Q1322" i="1"/>
  <c r="S1330" i="1"/>
  <c r="Q1330" i="1"/>
  <c r="S1338" i="1"/>
  <c r="Q1338" i="1"/>
  <c r="S1346" i="1"/>
  <c r="Q1346" i="1"/>
  <c r="S1354" i="1"/>
  <c r="Q1354" i="1"/>
  <c r="S1362" i="1"/>
  <c r="Q1362" i="1"/>
  <c r="S1370" i="1"/>
  <c r="Q1370" i="1"/>
  <c r="S1378" i="1"/>
  <c r="Q1378" i="1"/>
  <c r="S1386" i="1"/>
  <c r="Q1386" i="1"/>
  <c r="S1394" i="1"/>
  <c r="Q1394" i="1"/>
  <c r="R1409" i="1"/>
  <c r="Q1409" i="1"/>
  <c r="Q1414" i="1"/>
  <c r="R1414" i="1"/>
  <c r="S1327" i="1"/>
  <c r="Q1327" i="1"/>
  <c r="S1335" i="1"/>
  <c r="Q1335" i="1"/>
  <c r="S1343" i="1"/>
  <c r="Q1343" i="1"/>
  <c r="S1351" i="1"/>
  <c r="Q1351" i="1"/>
  <c r="S1359" i="1"/>
  <c r="Q1359" i="1"/>
  <c r="S1367" i="1"/>
  <c r="Q1367" i="1"/>
  <c r="S1375" i="1"/>
  <c r="Q1375" i="1"/>
  <c r="S1383" i="1"/>
  <c r="Q1383" i="1"/>
  <c r="S1391" i="1"/>
  <c r="Q1391" i="1"/>
  <c r="R1399" i="1"/>
  <c r="Q1399" i="1"/>
  <c r="Q1256" i="1"/>
  <c r="S1316" i="1"/>
  <c r="Q1316" i="1"/>
  <c r="S1324" i="1"/>
  <c r="Q1324" i="1"/>
  <c r="R1327" i="1"/>
  <c r="S1332" i="1"/>
  <c r="Q1332" i="1"/>
  <c r="R1335" i="1"/>
  <c r="S1340" i="1"/>
  <c r="Q1340" i="1"/>
  <c r="R1343" i="1"/>
  <c r="S1348" i="1"/>
  <c r="Q1348" i="1"/>
  <c r="R1351" i="1"/>
  <c r="S1356" i="1"/>
  <c r="Q1356" i="1"/>
  <c r="R1359" i="1"/>
  <c r="S1364" i="1"/>
  <c r="Q1364" i="1"/>
  <c r="R1367" i="1"/>
  <c r="S1372" i="1"/>
  <c r="Q1372" i="1"/>
  <c r="R1375" i="1"/>
  <c r="S1380" i="1"/>
  <c r="Q1380" i="1"/>
  <c r="R1383" i="1"/>
  <c r="S1388" i="1"/>
  <c r="Q1388" i="1"/>
  <c r="R1391" i="1"/>
  <c r="S1396" i="1"/>
  <c r="Q1396" i="1"/>
  <c r="S1399" i="1"/>
  <c r="S1321" i="1"/>
  <c r="Q1321" i="1"/>
  <c r="S1329" i="1"/>
  <c r="Q1329" i="1"/>
  <c r="S1337" i="1"/>
  <c r="Q1337" i="1"/>
  <c r="S1345" i="1"/>
  <c r="Q1345" i="1"/>
  <c r="S1353" i="1"/>
  <c r="Q1353" i="1"/>
  <c r="S1361" i="1"/>
  <c r="Q1361" i="1"/>
  <c r="S1369" i="1"/>
  <c r="Q1369" i="1"/>
  <c r="S1377" i="1"/>
  <c r="Q1377" i="1"/>
  <c r="S1385" i="1"/>
  <c r="Q1385" i="1"/>
  <c r="S1393" i="1"/>
  <c r="Q1393" i="1"/>
  <c r="R1401" i="1"/>
  <c r="Q1401" i="1"/>
  <c r="Q1254" i="1"/>
  <c r="S1318" i="1"/>
  <c r="Q1318" i="1"/>
  <c r="R1321" i="1"/>
  <c r="S1326" i="1"/>
  <c r="Q1326" i="1"/>
  <c r="R1329" i="1"/>
  <c r="S1334" i="1"/>
  <c r="Q1334" i="1"/>
  <c r="R1337" i="1"/>
  <c r="S1342" i="1"/>
  <c r="Q1342" i="1"/>
  <c r="R1345" i="1"/>
  <c r="S1350" i="1"/>
  <c r="Q1350" i="1"/>
  <c r="R1353" i="1"/>
  <c r="S1358" i="1"/>
  <c r="Q1358" i="1"/>
  <c r="R1361" i="1"/>
  <c r="S1366" i="1"/>
  <c r="Q1366" i="1"/>
  <c r="S1374" i="1"/>
  <c r="Q1374" i="1"/>
  <c r="S1382" i="1"/>
  <c r="Q1382" i="1"/>
  <c r="S1390" i="1"/>
  <c r="Q1390" i="1"/>
  <c r="S1401" i="1"/>
  <c r="Q1436" i="1"/>
  <c r="S1436" i="1"/>
  <c r="R1436" i="1"/>
  <c r="Q1452" i="1"/>
  <c r="S1452" i="1"/>
  <c r="R1452" i="1"/>
  <c r="Q1468" i="1"/>
  <c r="S1468" i="1"/>
  <c r="R1468" i="1"/>
  <c r="Q1253" i="1"/>
  <c r="R1254" i="1"/>
  <c r="S1259" i="1"/>
  <c r="Q1259" i="1"/>
  <c r="S1263" i="1"/>
  <c r="Q1263" i="1"/>
  <c r="S1267" i="1"/>
  <c r="Q1267" i="1"/>
  <c r="S1271" i="1"/>
  <c r="Q1271" i="1"/>
  <c r="S1275" i="1"/>
  <c r="Q1275" i="1"/>
  <c r="S1279" i="1"/>
  <c r="Q1279" i="1"/>
  <c r="S1283" i="1"/>
  <c r="Q1283" i="1"/>
  <c r="S1287" i="1"/>
  <c r="Q1287" i="1"/>
  <c r="S1291" i="1"/>
  <c r="Q1291" i="1"/>
  <c r="S1295" i="1"/>
  <c r="Q1295" i="1"/>
  <c r="S1299" i="1"/>
  <c r="Q1299" i="1"/>
  <c r="S1303" i="1"/>
  <c r="Q1303" i="1"/>
  <c r="S1307" i="1"/>
  <c r="Q1307" i="1"/>
  <c r="S1311" i="1"/>
  <c r="Q1311" i="1"/>
  <c r="S1315" i="1"/>
  <c r="Q1315" i="1"/>
  <c r="R1318" i="1"/>
  <c r="S1323" i="1"/>
  <c r="Q1323" i="1"/>
  <c r="R1326" i="1"/>
  <c r="S1331" i="1"/>
  <c r="Q1331" i="1"/>
  <c r="R1334" i="1"/>
  <c r="S1339" i="1"/>
  <c r="Q1339" i="1"/>
  <c r="R1342" i="1"/>
  <c r="S1347" i="1"/>
  <c r="Q1347" i="1"/>
  <c r="R1350" i="1"/>
  <c r="S1355" i="1"/>
  <c r="Q1355" i="1"/>
  <c r="R1358" i="1"/>
  <c r="S1363" i="1"/>
  <c r="Q1363" i="1"/>
  <c r="R1366" i="1"/>
  <c r="S1371" i="1"/>
  <c r="Q1371" i="1"/>
  <c r="R1374" i="1"/>
  <c r="S1379" i="1"/>
  <c r="Q1379" i="1"/>
  <c r="R1382" i="1"/>
  <c r="S1387" i="1"/>
  <c r="Q1387" i="1"/>
  <c r="R1390" i="1"/>
  <c r="S1395" i="1"/>
  <c r="Q1395" i="1"/>
  <c r="R1405" i="1"/>
  <c r="S1405" i="1"/>
  <c r="Q1405" i="1"/>
  <c r="S1320" i="1"/>
  <c r="Q1320" i="1"/>
  <c r="S1328" i="1"/>
  <c r="Q1328" i="1"/>
  <c r="S1336" i="1"/>
  <c r="Q1336" i="1"/>
  <c r="S1344" i="1"/>
  <c r="Q1344" i="1"/>
  <c r="S1352" i="1"/>
  <c r="Q1352" i="1"/>
  <c r="S1360" i="1"/>
  <c r="Q1360" i="1"/>
  <c r="S1368" i="1"/>
  <c r="Q1368" i="1"/>
  <c r="S1376" i="1"/>
  <c r="Q1376" i="1"/>
  <c r="S1384" i="1"/>
  <c r="Q1384" i="1"/>
  <c r="S1392" i="1"/>
  <c r="Q1392" i="1"/>
  <c r="R1407" i="1"/>
  <c r="Q1407" i="1"/>
  <c r="S1410" i="1"/>
  <c r="Q1415" i="1"/>
  <c r="Q1420" i="1"/>
  <c r="S1420" i="1"/>
  <c r="Q1425" i="1"/>
  <c r="R1425" i="1"/>
  <c r="Q1429" i="1"/>
  <c r="Q1433" i="1"/>
  <c r="R1433" i="1"/>
  <c r="Q1443" i="1"/>
  <c r="R1443" i="1"/>
  <c r="Q1449" i="1"/>
  <c r="R1449" i="1"/>
  <c r="Q1459" i="1"/>
  <c r="R1459" i="1"/>
  <c r="Q1465" i="1"/>
  <c r="R1465" i="1"/>
  <c r="R1519" i="1"/>
  <c r="Q1519" i="1"/>
  <c r="S1519" i="1"/>
  <c r="Q1566" i="1"/>
  <c r="S1566" i="1"/>
  <c r="R1566" i="1"/>
  <c r="Q1413" i="1"/>
  <c r="Q1419" i="1"/>
  <c r="R1419" i="1"/>
  <c r="Q1424" i="1"/>
  <c r="Q1428" i="1"/>
  <c r="S1428" i="1"/>
  <c r="Q1439" i="1"/>
  <c r="R1439" i="1"/>
  <c r="Q1445" i="1"/>
  <c r="Q1455" i="1"/>
  <c r="R1455" i="1"/>
  <c r="Q1461" i="1"/>
  <c r="R1471" i="1"/>
  <c r="Q1471" i="1"/>
  <c r="S1471" i="1"/>
  <c r="R1473" i="1"/>
  <c r="Q1473" i="1"/>
  <c r="S1473" i="1"/>
  <c r="R1475" i="1"/>
  <c r="Q1475" i="1"/>
  <c r="S1475" i="1"/>
  <c r="R1477" i="1"/>
  <c r="Q1477" i="1"/>
  <c r="S1477" i="1"/>
  <c r="R1479" i="1"/>
  <c r="Q1479" i="1"/>
  <c r="S1479" i="1"/>
  <c r="R1481" i="1"/>
  <c r="Q1481" i="1"/>
  <c r="S1481" i="1"/>
  <c r="R1483" i="1"/>
  <c r="Q1483" i="1"/>
  <c r="S1483" i="1"/>
  <c r="R1485" i="1"/>
  <c r="Q1485" i="1"/>
  <c r="S1485" i="1"/>
  <c r="R1489" i="1"/>
  <c r="Q1489" i="1"/>
  <c r="S1489" i="1"/>
  <c r="R1493" i="1"/>
  <c r="Q1493" i="1"/>
  <c r="S1493" i="1"/>
  <c r="R1497" i="1"/>
  <c r="Q1497" i="1"/>
  <c r="S1497" i="1"/>
  <c r="R1501" i="1"/>
  <c r="Q1501" i="1"/>
  <c r="S1501" i="1"/>
  <c r="Q1595" i="1"/>
  <c r="S1595" i="1"/>
  <c r="R1595" i="1"/>
  <c r="R1527" i="1"/>
  <c r="Q1527" i="1"/>
  <c r="S1527" i="1"/>
  <c r="S1398" i="1"/>
  <c r="S1406" i="1"/>
  <c r="Q1412" i="1"/>
  <c r="S1412" i="1"/>
  <c r="S1413" i="1"/>
  <c r="Q1417" i="1"/>
  <c r="Q1423" i="1"/>
  <c r="S1424" i="1"/>
  <c r="Q1427" i="1"/>
  <c r="R1427" i="1"/>
  <c r="Q1431" i="1"/>
  <c r="Q1435" i="1"/>
  <c r="R1435" i="1"/>
  <c r="Q1441" i="1"/>
  <c r="R1441" i="1"/>
  <c r="S1445" i="1"/>
  <c r="Q1451" i="1"/>
  <c r="R1451" i="1"/>
  <c r="Q1457" i="1"/>
  <c r="R1457" i="1"/>
  <c r="S1461" i="1"/>
  <c r="Q1467" i="1"/>
  <c r="R1467" i="1"/>
  <c r="Q1422" i="1"/>
  <c r="Q1444" i="1"/>
  <c r="S1444" i="1"/>
  <c r="Q1460" i="1"/>
  <c r="S1460" i="1"/>
  <c r="Q1403" i="1"/>
  <c r="S1404" i="1"/>
  <c r="Q1411" i="1"/>
  <c r="Q1416" i="1"/>
  <c r="S1417" i="1"/>
  <c r="Q1421" i="1"/>
  <c r="R1422" i="1"/>
  <c r="S1423" i="1"/>
  <c r="Q1430" i="1"/>
  <c r="Q1437" i="1"/>
  <c r="R1444" i="1"/>
  <c r="Q1447" i="1"/>
  <c r="R1447" i="1"/>
  <c r="Q1453" i="1"/>
  <c r="R1460" i="1"/>
  <c r="Q1463" i="1"/>
  <c r="R1463" i="1"/>
  <c r="Q1469" i="1"/>
  <c r="R1472" i="1"/>
  <c r="Q1472" i="1"/>
  <c r="S1472" i="1"/>
  <c r="R1474" i="1"/>
  <c r="Q1474" i="1"/>
  <c r="S1474" i="1"/>
  <c r="R1476" i="1"/>
  <c r="Q1476" i="1"/>
  <c r="S1476" i="1"/>
  <c r="R1478" i="1"/>
  <c r="Q1478" i="1"/>
  <c r="S1478" i="1"/>
  <c r="R1480" i="1"/>
  <c r="Q1480" i="1"/>
  <c r="S1480" i="1"/>
  <c r="R1482" i="1"/>
  <c r="Q1482" i="1"/>
  <c r="S1482" i="1"/>
  <c r="R1486" i="1"/>
  <c r="Q1486" i="1"/>
  <c r="S1486" i="1"/>
  <c r="R1490" i="1"/>
  <c r="Q1490" i="1"/>
  <c r="S1490" i="1"/>
  <c r="R1494" i="1"/>
  <c r="Q1494" i="1"/>
  <c r="S1494" i="1"/>
  <c r="R1498" i="1"/>
  <c r="Q1498" i="1"/>
  <c r="S1498" i="1"/>
  <c r="R1502" i="1"/>
  <c r="Q1502" i="1"/>
  <c r="S1502" i="1"/>
  <c r="R1506" i="1"/>
  <c r="Q1506" i="1"/>
  <c r="S1506" i="1"/>
  <c r="R1510" i="1"/>
  <c r="Q1510" i="1"/>
  <c r="S1510" i="1"/>
  <c r="R1516" i="1"/>
  <c r="Q1516" i="1"/>
  <c r="R1524" i="1"/>
  <c r="Q1524" i="1"/>
  <c r="Q1542" i="1"/>
  <c r="R1542" i="1"/>
  <c r="Q1559" i="1"/>
  <c r="S1559" i="1"/>
  <c r="Q1591" i="1"/>
  <c r="S1591" i="1"/>
  <c r="R1591" i="1"/>
  <c r="R1505" i="1"/>
  <c r="Q1505" i="1"/>
  <c r="R1509" i="1"/>
  <c r="Q1509" i="1"/>
  <c r="R1513" i="1"/>
  <c r="Q1513" i="1"/>
  <c r="R1521" i="1"/>
  <c r="Q1521" i="1"/>
  <c r="R1529" i="1"/>
  <c r="Q1529" i="1"/>
  <c r="R1559" i="1"/>
  <c r="Q1574" i="1"/>
  <c r="S1574" i="1"/>
  <c r="R1574" i="1"/>
  <c r="Q1418" i="1"/>
  <c r="Q1426" i="1"/>
  <c r="Q1434" i="1"/>
  <c r="Q1442" i="1"/>
  <c r="Q1450" i="1"/>
  <c r="Q1458" i="1"/>
  <c r="Q1466" i="1"/>
  <c r="S1505" i="1"/>
  <c r="S1509" i="1"/>
  <c r="S1513" i="1"/>
  <c r="R1518" i="1"/>
  <c r="Q1518" i="1"/>
  <c r="S1521" i="1"/>
  <c r="R1526" i="1"/>
  <c r="Q1526" i="1"/>
  <c r="S1529" i="1"/>
  <c r="Q1567" i="1"/>
  <c r="S1567" i="1"/>
  <c r="R1484" i="1"/>
  <c r="Q1484" i="1"/>
  <c r="R1488" i="1"/>
  <c r="Q1488" i="1"/>
  <c r="R1492" i="1"/>
  <c r="Q1492" i="1"/>
  <c r="R1496" i="1"/>
  <c r="Q1496" i="1"/>
  <c r="R1500" i="1"/>
  <c r="Q1500" i="1"/>
  <c r="R1504" i="1"/>
  <c r="Q1504" i="1"/>
  <c r="R1508" i="1"/>
  <c r="Q1508" i="1"/>
  <c r="R1512" i="1"/>
  <c r="Q1512" i="1"/>
  <c r="R1515" i="1"/>
  <c r="Q1515" i="1"/>
  <c r="R1523" i="1"/>
  <c r="Q1523" i="1"/>
  <c r="Q1550" i="1"/>
  <c r="S1550" i="1"/>
  <c r="R1550" i="1"/>
  <c r="R1567" i="1"/>
  <c r="Q1583" i="1"/>
  <c r="S1583" i="1"/>
  <c r="R1583" i="1"/>
  <c r="Q1669" i="1"/>
  <c r="R1669" i="1"/>
  <c r="S1669" i="1"/>
  <c r="Q1432" i="1"/>
  <c r="Q1440" i="1"/>
  <c r="Q1448" i="1"/>
  <c r="Q1456" i="1"/>
  <c r="Q1464" i="1"/>
  <c r="S1484" i="1"/>
  <c r="S1488" i="1"/>
  <c r="S1492" i="1"/>
  <c r="S1496" i="1"/>
  <c r="S1500" i="1"/>
  <c r="S1504" i="1"/>
  <c r="S1508" i="1"/>
  <c r="S1512" i="1"/>
  <c r="S1515" i="1"/>
  <c r="R1520" i="1"/>
  <c r="Q1520" i="1"/>
  <c r="S1523" i="1"/>
  <c r="R1528" i="1"/>
  <c r="Q1528" i="1"/>
  <c r="Q1543" i="1"/>
  <c r="S1543" i="1"/>
  <c r="Q1575" i="1"/>
  <c r="S1575" i="1"/>
  <c r="Q1603" i="1"/>
  <c r="S1603" i="1"/>
  <c r="R1603" i="1"/>
  <c r="R1487" i="1"/>
  <c r="Q1487" i="1"/>
  <c r="R1491" i="1"/>
  <c r="Q1491" i="1"/>
  <c r="R1495" i="1"/>
  <c r="Q1495" i="1"/>
  <c r="R1499" i="1"/>
  <c r="Q1499" i="1"/>
  <c r="R1503" i="1"/>
  <c r="Q1503" i="1"/>
  <c r="R1507" i="1"/>
  <c r="Q1507" i="1"/>
  <c r="R1511" i="1"/>
  <c r="Q1511" i="1"/>
  <c r="R1517" i="1"/>
  <c r="Q1517" i="1"/>
  <c r="R1525" i="1"/>
  <c r="Q1525" i="1"/>
  <c r="Q1558" i="1"/>
  <c r="S1558" i="1"/>
  <c r="R1558" i="1"/>
  <c r="Q1599" i="1"/>
  <c r="S1599" i="1"/>
  <c r="R1599" i="1"/>
  <c r="Q1438" i="1"/>
  <c r="Q1446" i="1"/>
  <c r="Q1454" i="1"/>
  <c r="Q1462" i="1"/>
  <c r="Q1470" i="1"/>
  <c r="S1487" i="1"/>
  <c r="S1491" i="1"/>
  <c r="S1495" i="1"/>
  <c r="S1499" i="1"/>
  <c r="S1503" i="1"/>
  <c r="S1507" i="1"/>
  <c r="S1511" i="1"/>
  <c r="R1514" i="1"/>
  <c r="Q1514" i="1"/>
  <c r="S1517" i="1"/>
  <c r="R1522" i="1"/>
  <c r="Q1522" i="1"/>
  <c r="S1525" i="1"/>
  <c r="Q1540" i="1"/>
  <c r="S1540" i="1"/>
  <c r="R1540" i="1"/>
  <c r="Q1551" i="1"/>
  <c r="S1551" i="1"/>
  <c r="S1624" i="1"/>
  <c r="Q1624" i="1"/>
  <c r="R1624" i="1"/>
  <c r="Q1590" i="1"/>
  <c r="S1612" i="1"/>
  <c r="Q1612" i="1"/>
  <c r="S1648" i="1"/>
  <c r="Q1648" i="1"/>
  <c r="Q1541" i="1"/>
  <c r="Q1549" i="1"/>
  <c r="Q1557" i="1"/>
  <c r="Q1565" i="1"/>
  <c r="Q1573" i="1"/>
  <c r="Q1581" i="1"/>
  <c r="R1582" i="1"/>
  <c r="Q1589" i="1"/>
  <c r="R1590" i="1"/>
  <c r="R1612" i="1"/>
  <c r="S1632" i="1"/>
  <c r="Q1632" i="1"/>
  <c r="S1640" i="1"/>
  <c r="Q1640" i="1"/>
  <c r="R1648" i="1"/>
  <c r="Q1548" i="1"/>
  <c r="Q1556" i="1"/>
  <c r="Q1564" i="1"/>
  <c r="Q1572" i="1"/>
  <c r="Q1580" i="1"/>
  <c r="S1582" i="1"/>
  <c r="Q1588" i="1"/>
  <c r="S1590" i="1"/>
  <c r="Q1594" i="1"/>
  <c r="S1594" i="1"/>
  <c r="Q1598" i="1"/>
  <c r="S1598" i="1"/>
  <c r="Q1602" i="1"/>
  <c r="S1602" i="1"/>
  <c r="S1620" i="1"/>
  <c r="Q1620" i="1"/>
  <c r="S1650" i="1"/>
  <c r="Q1650" i="1"/>
  <c r="R1650" i="1"/>
  <c r="S1652" i="1"/>
  <c r="Q1652" i="1"/>
  <c r="R1652" i="1"/>
  <c r="Q1539" i="1"/>
  <c r="Q1547" i="1"/>
  <c r="R1548" i="1"/>
  <c r="Q1555" i="1"/>
  <c r="R1556" i="1"/>
  <c r="Q1563" i="1"/>
  <c r="R1564" i="1"/>
  <c r="Q1571" i="1"/>
  <c r="R1572" i="1"/>
  <c r="Q1579" i="1"/>
  <c r="R1580" i="1"/>
  <c r="Q1587" i="1"/>
  <c r="R1588" i="1"/>
  <c r="R1594" i="1"/>
  <c r="R1598" i="1"/>
  <c r="R1602" i="1"/>
  <c r="Q1605" i="1"/>
  <c r="R1605" i="1"/>
  <c r="S1608" i="1"/>
  <c r="Q1608" i="1"/>
  <c r="R1620" i="1"/>
  <c r="Q1661" i="1"/>
  <c r="R1661" i="1"/>
  <c r="Q1677" i="1"/>
  <c r="R1677" i="1"/>
  <c r="Q1538" i="1"/>
  <c r="R1539" i="1"/>
  <c r="Q1546" i="1"/>
  <c r="R1547" i="1"/>
  <c r="S1548" i="1"/>
  <c r="Q1554" i="1"/>
  <c r="R1555" i="1"/>
  <c r="S1556" i="1"/>
  <c r="Q1562" i="1"/>
  <c r="R1563" i="1"/>
  <c r="S1564" i="1"/>
  <c r="Q1570" i="1"/>
  <c r="R1571" i="1"/>
  <c r="S1572" i="1"/>
  <c r="Q1578" i="1"/>
  <c r="R1579" i="1"/>
  <c r="S1580" i="1"/>
  <c r="Q1586" i="1"/>
  <c r="R1587" i="1"/>
  <c r="S1588" i="1"/>
  <c r="S1628" i="1"/>
  <c r="Q1628" i="1"/>
  <c r="S1656" i="1"/>
  <c r="Q1656" i="1"/>
  <c r="S1661" i="1"/>
  <c r="S1677" i="1"/>
  <c r="Q1530" i="1"/>
  <c r="Q1531" i="1"/>
  <c r="Q1532" i="1"/>
  <c r="Q1533" i="1"/>
  <c r="Q1534" i="1"/>
  <c r="Q1535" i="1"/>
  <c r="Q1536" i="1"/>
  <c r="Q1537" i="1"/>
  <c r="R1538" i="1"/>
  <c r="S1539" i="1"/>
  <c r="Q1545" i="1"/>
  <c r="R1546" i="1"/>
  <c r="S1547" i="1"/>
  <c r="Q1553" i="1"/>
  <c r="R1554" i="1"/>
  <c r="S1555" i="1"/>
  <c r="Q1561" i="1"/>
  <c r="R1562" i="1"/>
  <c r="S1563" i="1"/>
  <c r="Q1569" i="1"/>
  <c r="R1570" i="1"/>
  <c r="S1571" i="1"/>
  <c r="Q1577" i="1"/>
  <c r="R1578" i="1"/>
  <c r="S1579" i="1"/>
  <c r="Q1585" i="1"/>
  <c r="R1586" i="1"/>
  <c r="S1587" i="1"/>
  <c r="Q1593" i="1"/>
  <c r="R1593" i="1"/>
  <c r="Q1597" i="1"/>
  <c r="R1597" i="1"/>
  <c r="Q1601" i="1"/>
  <c r="R1601" i="1"/>
  <c r="S1616" i="1"/>
  <c r="Q1616" i="1"/>
  <c r="R1628" i="1"/>
  <c r="S1636" i="1"/>
  <c r="Q1636" i="1"/>
  <c r="S1644" i="1"/>
  <c r="Q1644" i="1"/>
  <c r="S1538" i="1"/>
  <c r="Q1544" i="1"/>
  <c r="R1545" i="1"/>
  <c r="S1546" i="1"/>
  <c r="Q1552" i="1"/>
  <c r="R1553" i="1"/>
  <c r="S1554" i="1"/>
  <c r="Q1560" i="1"/>
  <c r="R1561" i="1"/>
  <c r="S1562" i="1"/>
  <c r="Q1568" i="1"/>
  <c r="R1569" i="1"/>
  <c r="S1570" i="1"/>
  <c r="Q1576" i="1"/>
  <c r="R1577" i="1"/>
  <c r="S1578" i="1"/>
  <c r="Q1584" i="1"/>
  <c r="R1585" i="1"/>
  <c r="S1586" i="1"/>
  <c r="Q1592" i="1"/>
  <c r="S1593" i="1"/>
  <c r="S1597" i="1"/>
  <c r="S1601" i="1"/>
  <c r="R1616" i="1"/>
  <c r="R1636" i="1"/>
  <c r="R1644" i="1"/>
  <c r="S1653" i="1"/>
  <c r="Q1653" i="1"/>
  <c r="S1658" i="1"/>
  <c r="Q1658" i="1"/>
  <c r="R1658" i="1"/>
  <c r="S1717" i="1"/>
  <c r="Q1717" i="1"/>
  <c r="R1717" i="1"/>
  <c r="Q1600" i="1"/>
  <c r="S1607" i="1"/>
  <c r="Q1607" i="1"/>
  <c r="S1611" i="1"/>
  <c r="Q1611" i="1"/>
  <c r="S1615" i="1"/>
  <c r="Q1615" i="1"/>
  <c r="S1619" i="1"/>
  <c r="Q1619" i="1"/>
  <c r="S1623" i="1"/>
  <c r="Q1623" i="1"/>
  <c r="S1627" i="1"/>
  <c r="Q1627" i="1"/>
  <c r="S1631" i="1"/>
  <c r="Q1631" i="1"/>
  <c r="S1635" i="1"/>
  <c r="Q1635" i="1"/>
  <c r="S1639" i="1"/>
  <c r="Q1639" i="1"/>
  <c r="S1643" i="1"/>
  <c r="Q1643" i="1"/>
  <c r="S1647" i="1"/>
  <c r="Q1647" i="1"/>
  <c r="S1655" i="1"/>
  <c r="Q1655" i="1"/>
  <c r="Q1663" i="1"/>
  <c r="R1663" i="1"/>
  <c r="Q1671" i="1"/>
  <c r="R1671" i="1"/>
  <c r="Q1679" i="1"/>
  <c r="R1679" i="1"/>
  <c r="S1760" i="1"/>
  <c r="Q1760" i="1"/>
  <c r="R1760" i="1"/>
  <c r="S1606" i="1"/>
  <c r="Q1606" i="1"/>
  <c r="S1610" i="1"/>
  <c r="Q1610" i="1"/>
  <c r="S1614" i="1"/>
  <c r="Q1614" i="1"/>
  <c r="S1618" i="1"/>
  <c r="Q1618" i="1"/>
  <c r="S1622" i="1"/>
  <c r="Q1622" i="1"/>
  <c r="S1626" i="1"/>
  <c r="Q1626" i="1"/>
  <c r="S1630" i="1"/>
  <c r="Q1630" i="1"/>
  <c r="S1634" i="1"/>
  <c r="Q1634" i="1"/>
  <c r="S1638" i="1"/>
  <c r="Q1638" i="1"/>
  <c r="S1642" i="1"/>
  <c r="Q1642" i="1"/>
  <c r="S1646" i="1"/>
  <c r="Q1646" i="1"/>
  <c r="S1649" i="1"/>
  <c r="Q1649" i="1"/>
  <c r="S1657" i="1"/>
  <c r="Q1657" i="1"/>
  <c r="Q1665" i="1"/>
  <c r="R1665" i="1"/>
  <c r="Q1673" i="1"/>
  <c r="R1673" i="1"/>
  <c r="Q1681" i="1"/>
  <c r="R1681" i="1"/>
  <c r="R1686" i="1"/>
  <c r="Q1686" i="1"/>
  <c r="S1686" i="1"/>
  <c r="R1688" i="1"/>
  <c r="Q1688" i="1"/>
  <c r="S1688" i="1"/>
  <c r="R1690" i="1"/>
  <c r="Q1690" i="1"/>
  <c r="S1690" i="1"/>
  <c r="R1692" i="1"/>
  <c r="Q1692" i="1"/>
  <c r="S1692" i="1"/>
  <c r="R1694" i="1"/>
  <c r="Q1694" i="1"/>
  <c r="S1694" i="1"/>
  <c r="R1696" i="1"/>
  <c r="Q1696" i="1"/>
  <c r="S1696" i="1"/>
  <c r="R1698" i="1"/>
  <c r="Q1698" i="1"/>
  <c r="S1698" i="1"/>
  <c r="R1700" i="1"/>
  <c r="Q1700" i="1"/>
  <c r="S1700" i="1"/>
  <c r="R1702" i="1"/>
  <c r="Q1702" i="1"/>
  <c r="S1702" i="1"/>
  <c r="R1706" i="1"/>
  <c r="Q1706" i="1"/>
  <c r="S1706" i="1"/>
  <c r="S1654" i="1"/>
  <c r="Q1654" i="1"/>
  <c r="S1732" i="1"/>
  <c r="Q1732" i="1"/>
  <c r="R1732" i="1"/>
  <c r="Q1596" i="1"/>
  <c r="Q1604" i="1"/>
  <c r="S1609" i="1"/>
  <c r="Q1609" i="1"/>
  <c r="S1613" i="1"/>
  <c r="Q1613" i="1"/>
  <c r="S1617" i="1"/>
  <c r="Q1617" i="1"/>
  <c r="S1621" i="1"/>
  <c r="Q1621" i="1"/>
  <c r="S1625" i="1"/>
  <c r="Q1625" i="1"/>
  <c r="S1629" i="1"/>
  <c r="Q1629" i="1"/>
  <c r="S1633" i="1"/>
  <c r="Q1633" i="1"/>
  <c r="S1637" i="1"/>
  <c r="Q1637" i="1"/>
  <c r="S1641" i="1"/>
  <c r="Q1641" i="1"/>
  <c r="S1645" i="1"/>
  <c r="Q1645" i="1"/>
  <c r="S1651" i="1"/>
  <c r="Q1651" i="1"/>
  <c r="R1654" i="1"/>
  <c r="Q1659" i="1"/>
  <c r="R1659" i="1"/>
  <c r="Q1667" i="1"/>
  <c r="R1667" i="1"/>
  <c r="Q1675" i="1"/>
  <c r="R1675" i="1"/>
  <c r="Q1683" i="1"/>
  <c r="R1683" i="1"/>
  <c r="S1724" i="1"/>
  <c r="Q1724" i="1"/>
  <c r="R1724" i="1"/>
  <c r="S1728" i="1"/>
  <c r="Q1728" i="1"/>
  <c r="R1728" i="1"/>
  <c r="Q1662" i="1"/>
  <c r="Q1670" i="1"/>
  <c r="Q1678" i="1"/>
  <c r="S1714" i="1"/>
  <c r="Q1714" i="1"/>
  <c r="S1719" i="1"/>
  <c r="Q1719" i="1"/>
  <c r="R1719" i="1"/>
  <c r="S1730" i="1"/>
  <c r="Q1730" i="1"/>
  <c r="S1743" i="1"/>
  <c r="Q1743" i="1"/>
  <c r="Q1660" i="1"/>
  <c r="Q1668" i="1"/>
  <c r="Q1676" i="1"/>
  <c r="Q1684" i="1"/>
  <c r="S1711" i="1"/>
  <c r="Q1711" i="1"/>
  <c r="R1711" i="1"/>
  <c r="S1721" i="1"/>
  <c r="Q1721" i="1"/>
  <c r="R1721" i="1"/>
  <c r="S1723" i="1"/>
  <c r="Q1723" i="1"/>
  <c r="S1738" i="1"/>
  <c r="Q1738" i="1"/>
  <c r="R1704" i="1"/>
  <c r="Q1704" i="1"/>
  <c r="R1708" i="1"/>
  <c r="Q1708" i="1"/>
  <c r="S1718" i="1"/>
  <c r="Q1718" i="1"/>
  <c r="S1736" i="1"/>
  <c r="Q1736" i="1"/>
  <c r="R1736" i="1"/>
  <c r="S1740" i="1"/>
  <c r="Q1740" i="1"/>
  <c r="R1740" i="1"/>
  <c r="S1660" i="1"/>
  <c r="Q1666" i="1"/>
  <c r="S1668" i="1"/>
  <c r="Q1674" i="1"/>
  <c r="S1676" i="1"/>
  <c r="Q1682" i="1"/>
  <c r="S1684" i="1"/>
  <c r="S1704" i="1"/>
  <c r="S1708" i="1"/>
  <c r="S1713" i="1"/>
  <c r="Q1713" i="1"/>
  <c r="R1713" i="1"/>
  <c r="R1718" i="1"/>
  <c r="S1727" i="1"/>
  <c r="Q1727" i="1"/>
  <c r="S1731" i="1"/>
  <c r="Q1731" i="1"/>
  <c r="R1703" i="1"/>
  <c r="Q1703" i="1"/>
  <c r="R1707" i="1"/>
  <c r="Q1707" i="1"/>
  <c r="S1710" i="1"/>
  <c r="Q1710" i="1"/>
  <c r="S1715" i="1"/>
  <c r="Q1715" i="1"/>
  <c r="R1715" i="1"/>
  <c r="S1744" i="1"/>
  <c r="Q1744" i="1"/>
  <c r="R1744" i="1"/>
  <c r="S1748" i="1"/>
  <c r="Q1748" i="1"/>
  <c r="R1748" i="1"/>
  <c r="Q1664" i="1"/>
  <c r="Q1672" i="1"/>
  <c r="Q1680" i="1"/>
  <c r="S1703" i="1"/>
  <c r="S1707" i="1"/>
  <c r="R1710" i="1"/>
  <c r="S1722" i="1"/>
  <c r="Q1722" i="1"/>
  <c r="S1735" i="1"/>
  <c r="Q1735" i="1"/>
  <c r="S1725" i="1"/>
  <c r="Q1725" i="1"/>
  <c r="S1733" i="1"/>
  <c r="Q1733" i="1"/>
  <c r="S1741" i="1"/>
  <c r="Q1741" i="1"/>
  <c r="S1749" i="1"/>
  <c r="Q1749" i="1"/>
  <c r="S1757" i="1"/>
  <c r="Q1757" i="1"/>
  <c r="S1746" i="1"/>
  <c r="Q1746" i="1"/>
  <c r="S1754" i="1"/>
  <c r="Q1754" i="1"/>
  <c r="S1762" i="1"/>
  <c r="R1762" i="1"/>
  <c r="Q1762" i="1"/>
  <c r="S1764" i="1"/>
  <c r="R1764" i="1"/>
  <c r="Q1764" i="1"/>
  <c r="S1766" i="1"/>
  <c r="R1766" i="1"/>
  <c r="Q1766" i="1"/>
  <c r="S1768" i="1"/>
  <c r="R1768" i="1"/>
  <c r="Q1768" i="1"/>
  <c r="S1770" i="1"/>
  <c r="R1770" i="1"/>
  <c r="Q1770" i="1"/>
  <c r="S1772" i="1"/>
  <c r="R1772" i="1"/>
  <c r="Q1772" i="1"/>
  <c r="S1774" i="1"/>
  <c r="R1774" i="1"/>
  <c r="Q1774" i="1"/>
  <c r="S1776" i="1"/>
  <c r="R1776" i="1"/>
  <c r="Q1776" i="1"/>
  <c r="S1778" i="1"/>
  <c r="R1778" i="1"/>
  <c r="Q1778" i="1"/>
  <c r="S1780" i="1"/>
  <c r="R1780" i="1"/>
  <c r="Q1780" i="1"/>
  <c r="S1782" i="1"/>
  <c r="R1782" i="1"/>
  <c r="Q1782" i="1"/>
  <c r="S1784" i="1"/>
  <c r="R1784" i="1"/>
  <c r="Q1784" i="1"/>
  <c r="S1786" i="1"/>
  <c r="S1788" i="1"/>
  <c r="S1790" i="1"/>
  <c r="S1792" i="1"/>
  <c r="S1751" i="1"/>
  <c r="Q1751" i="1"/>
  <c r="S1759" i="1"/>
  <c r="Q1759" i="1"/>
  <c r="S1756" i="1"/>
  <c r="Q1756" i="1"/>
  <c r="S1729" i="1"/>
  <c r="Q1729" i="1"/>
  <c r="S1737" i="1"/>
  <c r="Q1737" i="1"/>
  <c r="S1745" i="1"/>
  <c r="Q1745" i="1"/>
  <c r="S1753" i="1"/>
  <c r="Q1753" i="1"/>
  <c r="R1756" i="1"/>
  <c r="S1761" i="1"/>
  <c r="Q1761" i="1"/>
  <c r="S1712" i="1"/>
  <c r="Q1712" i="1"/>
  <c r="S1716" i="1"/>
  <c r="Q1716" i="1"/>
  <c r="S1720" i="1"/>
  <c r="Q1720" i="1"/>
  <c r="S1726" i="1"/>
  <c r="Q1726" i="1"/>
  <c r="R1729" i="1"/>
  <c r="S1734" i="1"/>
  <c r="Q1734" i="1"/>
  <c r="R1737" i="1"/>
  <c r="S1742" i="1"/>
  <c r="Q1742" i="1"/>
  <c r="R1745" i="1"/>
  <c r="S1750" i="1"/>
  <c r="Q1750" i="1"/>
  <c r="R1753" i="1"/>
  <c r="S1758" i="1"/>
  <c r="Q1758" i="1"/>
  <c r="R1761" i="1"/>
  <c r="S1763" i="1"/>
  <c r="R1763" i="1"/>
  <c r="Q1763" i="1"/>
  <c r="S1765" i="1"/>
  <c r="R1765" i="1"/>
  <c r="Q1765" i="1"/>
  <c r="S1767" i="1"/>
  <c r="R1767" i="1"/>
  <c r="Q1767" i="1"/>
  <c r="S1769" i="1"/>
  <c r="R1769" i="1"/>
  <c r="Q1769" i="1"/>
  <c r="S1771" i="1"/>
  <c r="R1771" i="1"/>
  <c r="Q1771" i="1"/>
  <c r="S1773" i="1"/>
  <c r="R1773" i="1"/>
  <c r="Q1773" i="1"/>
  <c r="S1775" i="1"/>
  <c r="R1775" i="1"/>
  <c r="Q1775" i="1"/>
  <c r="S1777" i="1"/>
  <c r="R1777" i="1"/>
  <c r="Q1777" i="1"/>
  <c r="S1779" i="1"/>
  <c r="R1779" i="1"/>
  <c r="Q1779" i="1"/>
  <c r="S1781" i="1"/>
  <c r="R1781" i="1"/>
  <c r="Q1781" i="1"/>
  <c r="S1783" i="1"/>
  <c r="R1783" i="1"/>
  <c r="Q1783" i="1"/>
  <c r="S1785" i="1"/>
  <c r="S1787" i="1"/>
  <c r="S1789" i="1"/>
  <c r="S1791" i="1"/>
  <c r="S1793" i="1"/>
  <c r="S1739" i="1"/>
  <c r="Q1739" i="1"/>
  <c r="S1747" i="1"/>
  <c r="Q1747" i="1"/>
  <c r="S1755" i="1"/>
  <c r="Q1755" i="1"/>
  <c r="Q1785" i="1"/>
  <c r="Q1786" i="1"/>
  <c r="Q1787" i="1"/>
  <c r="Q1788" i="1"/>
  <c r="Q1789" i="1"/>
  <c r="Q1790" i="1"/>
  <c r="Q1791" i="1"/>
  <c r="Q1792" i="1"/>
  <c r="Q1793" i="1"/>
  <c r="R1785" i="1"/>
  <c r="R1786" i="1"/>
  <c r="R1787" i="1"/>
  <c r="R1788" i="1"/>
  <c r="R1789" i="1"/>
  <c r="R1790" i="1"/>
  <c r="R1791" i="1"/>
  <c r="R1792" i="1"/>
  <c r="R1793" i="1"/>
</calcChain>
</file>

<file path=xl/sharedStrings.xml><?xml version="1.0" encoding="utf-8"?>
<sst xmlns="http://schemas.openxmlformats.org/spreadsheetml/2006/main" count="21101" uniqueCount="6449">
  <si>
    <t>Model</t>
  </si>
  <si>
    <t>Serial Number</t>
  </si>
  <si>
    <t>Material</t>
  </si>
  <si>
    <t>Vendor Material Number</t>
  </si>
  <si>
    <t>Material Description</t>
  </si>
  <si>
    <t xml:space="preserve"> Unit</t>
  </si>
  <si>
    <t>Qty</t>
  </si>
  <si>
    <t>Task List Group Key</t>
  </si>
  <si>
    <t>Maintenance Plan Description</t>
  </si>
  <si>
    <t>Maintenance Item</t>
  </si>
  <si>
    <t>Maintenance Item Description</t>
  </si>
  <si>
    <t>Func Loc</t>
  </si>
  <si>
    <t>T1</t>
  </si>
  <si>
    <t>T2</t>
  </si>
  <si>
    <t>Desc w/o ID &amp; Task</t>
  </si>
  <si>
    <t>Serial Prefix</t>
  </si>
  <si>
    <t>Spx Xref Key</t>
  </si>
  <si>
    <t>FuncLoc Key</t>
  </si>
  <si>
    <t>PN Key</t>
  </si>
  <si>
    <t>Final CC</t>
  </si>
  <si>
    <t>Final MC</t>
  </si>
  <si>
    <t>AMT Key</t>
  </si>
  <si>
    <t>16</t>
  </si>
  <si>
    <t>F5200103</t>
  </si>
  <si>
    <t>21050056</t>
  </si>
  <si>
    <t>11R1242</t>
  </si>
  <si>
    <t>ENGINE;13L;6;CAT;11R</t>
  </si>
  <si>
    <t>EA</t>
  </si>
  <si>
    <t>331041</t>
  </si>
  <si>
    <t>12W566 Engine</t>
  </si>
  <si>
    <t>51657382</t>
  </si>
  <si>
    <t>12W566 C/O Engine</t>
  </si>
  <si>
    <t>ENGD</t>
  </si>
  <si>
    <t>1000 - ENGINE</t>
  </si>
  <si>
    <t>00 - (NONE)</t>
  </si>
  <si>
    <t>NN500243</t>
  </si>
  <si>
    <t>322034</t>
  </si>
  <si>
    <t>12R569 Engine</t>
  </si>
  <si>
    <t>51628640</t>
  </si>
  <si>
    <t>12R569 C/O Engine</t>
  </si>
  <si>
    <t>20946704</t>
  </si>
  <si>
    <t>20R3693</t>
  </si>
  <si>
    <t>TURBOCHARGER;CAT;20R</t>
  </si>
  <si>
    <t>322070</t>
  </si>
  <si>
    <t>51628642</t>
  </si>
  <si>
    <t>12R569 C/O Turbocharger</t>
  </si>
  <si>
    <t>ENGD .TURB.TURB</t>
  </si>
  <si>
    <t>1052 - TURBOCHARGER</t>
  </si>
  <si>
    <t>20946712</t>
  </si>
  <si>
    <t>6271736</t>
  </si>
  <si>
    <t>AFTERCOOLER;CAT;391-</t>
  </si>
  <si>
    <t>322008</t>
  </si>
  <si>
    <t>12R569 C/O After Cooler</t>
  </si>
  <si>
    <t>51628130</t>
  </si>
  <si>
    <t>ENGD .INEX.AFCO</t>
  </si>
  <si>
    <t>1063 - AFTERCOOLER</t>
  </si>
  <si>
    <t>20040943</t>
  </si>
  <si>
    <t>10R3262</t>
  </si>
  <si>
    <t>INJECTOR,FUEL;RM;CAT</t>
  </si>
  <si>
    <t>322044</t>
  </si>
  <si>
    <t>51628646</t>
  </si>
  <si>
    <t>12R569 C/O Fuel Injectors</t>
  </si>
  <si>
    <t>ENGD .FUEL.INJE</t>
  </si>
  <si>
    <t>1251 - FUEL INJECTION PUMP</t>
  </si>
  <si>
    <t>331044</t>
  </si>
  <si>
    <t>12W566 C/O Engine Radiator</t>
  </si>
  <si>
    <t>51657370</t>
  </si>
  <si>
    <t>ENGD .ENCS.RADI</t>
  </si>
  <si>
    <t>1353 - RADIATOR</t>
  </si>
  <si>
    <t>331053</t>
  </si>
  <si>
    <t>12W566 C/O Transmission</t>
  </si>
  <si>
    <t>51657380</t>
  </si>
  <si>
    <t>TRAN .TRAN</t>
  </si>
  <si>
    <t>3030 - TRANSMISSION</t>
  </si>
  <si>
    <t>NN500211</t>
  </si>
  <si>
    <t>12H554 C/O Transmission</t>
  </si>
  <si>
    <t>51605716</t>
  </si>
  <si>
    <t>20938010</t>
  </si>
  <si>
    <t>3799145X</t>
  </si>
  <si>
    <t>AXLE;REAR;SX;CAT;379</t>
  </si>
  <si>
    <t>322029</t>
  </si>
  <si>
    <t>12R569 C/O Differential &amp; Final Drives</t>
  </si>
  <si>
    <t>51628625</t>
  </si>
  <si>
    <t/>
  </si>
  <si>
    <t>3278 - DRIVE AXLE</t>
  </si>
  <si>
    <t>322019</t>
  </si>
  <si>
    <t>12H554 C/O Brake LHF</t>
  </si>
  <si>
    <t>51605663</t>
  </si>
  <si>
    <t>4006 - WHEEL &amp; BRAKE ASSEMBLY</t>
  </si>
  <si>
    <t>LF - LEFT FRONT</t>
  </si>
  <si>
    <t>12H554 C/O Brake RHF</t>
  </si>
  <si>
    <t>51605665</t>
  </si>
  <si>
    <t>RF - RIGHT FRONT</t>
  </si>
  <si>
    <t>322021</t>
  </si>
  <si>
    <t>12H554 C/O Brake LHR</t>
  </si>
  <si>
    <t>51605664</t>
  </si>
  <si>
    <t>LR - LEFT REAR</t>
  </si>
  <si>
    <t>12H554 C/O Brake RHR</t>
  </si>
  <si>
    <t>51605666</t>
  </si>
  <si>
    <t>RR - RIGHT REAR</t>
  </si>
  <si>
    <t>20837778</t>
  </si>
  <si>
    <t>6058770</t>
  </si>
  <si>
    <t>CYLINDER HYD;STEER;C</t>
  </si>
  <si>
    <t>331055</t>
  </si>
  <si>
    <t>12W566 C/O Steering Cylinder LH</t>
  </si>
  <si>
    <t>51657378</t>
  </si>
  <si>
    <t>STRG .CYLI.SCLH</t>
  </si>
  <si>
    <t>4303 - STEERING CYLINDER</t>
  </si>
  <si>
    <t>LT - LEFT</t>
  </si>
  <si>
    <t>20837774</t>
  </si>
  <si>
    <t>6058769</t>
  </si>
  <si>
    <t>331056</t>
  </si>
  <si>
    <t>12W566 C/O Steering Cylinder RH</t>
  </si>
  <si>
    <t>51657379</t>
  </si>
  <si>
    <t>STRG .CYLI.SCRH</t>
  </si>
  <si>
    <t>RI - RIGHT</t>
  </si>
  <si>
    <t>322068</t>
  </si>
  <si>
    <t>12H554 C/O Steering Cylinder RH</t>
  </si>
  <si>
    <t>51605715</t>
  </si>
  <si>
    <t>322066</t>
  </si>
  <si>
    <t>12H554 C/O Steering Cylinder LH</t>
  </si>
  <si>
    <t>51605714</t>
  </si>
  <si>
    <t>20043606</t>
  </si>
  <si>
    <t>3657416</t>
  </si>
  <si>
    <t>CYLINDER HYD;CAT;605</t>
  </si>
  <si>
    <t>AY</t>
  </si>
  <si>
    <t>322014</t>
  </si>
  <si>
    <t>12R569 C/O Blade Lift Cylinder LH</t>
  </si>
  <si>
    <t>51628133</t>
  </si>
  <si>
    <t>MYHD .CYLI.BLLL</t>
  </si>
  <si>
    <t>5102 - LIFT/HOIST CYLINDER</t>
  </si>
  <si>
    <t>12R569 C/O Blade Lift Cylinder RH</t>
  </si>
  <si>
    <t>51628134</t>
  </si>
  <si>
    <t>MYHD .CYLI.BLLR</t>
  </si>
  <si>
    <t>20217122</t>
  </si>
  <si>
    <t>4827762X</t>
  </si>
  <si>
    <t>GEARBOX;SX;CAT;265-6</t>
  </si>
  <si>
    <t>322025</t>
  </si>
  <si>
    <t>12R569 C/O Circle Drive Gearbox</t>
  </si>
  <si>
    <t>51628623</t>
  </si>
  <si>
    <t>STRU .CHAS.CDGB</t>
  </si>
  <si>
    <t>5207 - CIRCLE DRIVE</t>
  </si>
  <si>
    <t>331023</t>
  </si>
  <si>
    <t>12W566 C/O Articulation Cylinder LH</t>
  </si>
  <si>
    <t>51657352</t>
  </si>
  <si>
    <t>MYHD .CYLI.ARTL</t>
  </si>
  <si>
    <t>5265 - ARTICULATION CYLINDER</t>
  </si>
  <si>
    <t>12W566 C/O Articulation Cylinder RH</t>
  </si>
  <si>
    <t>51657353</t>
  </si>
  <si>
    <t>MYHD .CYLI.ARTR</t>
  </si>
  <si>
    <t>322012</t>
  </si>
  <si>
    <t>12R569 C/O Articulation Cylinder LH</t>
  </si>
  <si>
    <t>51628131</t>
  </si>
  <si>
    <t>12R569 C/O Articulation Cylinder RH</t>
  </si>
  <si>
    <t>51628132</t>
  </si>
  <si>
    <t>18</t>
  </si>
  <si>
    <t>NN600124</t>
  </si>
  <si>
    <t>271414</t>
  </si>
  <si>
    <t>12B501 Engine</t>
  </si>
  <si>
    <t>51412093</t>
  </si>
  <si>
    <t>12B501 C/O Engine</t>
  </si>
  <si>
    <t>271452</t>
  </si>
  <si>
    <t>51412095</t>
  </si>
  <si>
    <t>12B501 C/O Turbocharger</t>
  </si>
  <si>
    <t>271389</t>
  </si>
  <si>
    <t>12B501 C/O After Cooler</t>
  </si>
  <si>
    <t>51412282</t>
  </si>
  <si>
    <t>271423</t>
  </si>
  <si>
    <t>51412099</t>
  </si>
  <si>
    <t>12B501 C/O Fuel Injectors</t>
  </si>
  <si>
    <t>20837741</t>
  </si>
  <si>
    <t>4944833</t>
  </si>
  <si>
    <t>RADIATOR;CAT;494-483</t>
  </si>
  <si>
    <t>271420</t>
  </si>
  <si>
    <t>12B501 C/O Engine Radiator</t>
  </si>
  <si>
    <t>51412252</t>
  </si>
  <si>
    <t>20401236</t>
  </si>
  <si>
    <t>3520205</t>
  </si>
  <si>
    <t>PUMP;WATER;CAT;35202</t>
  </si>
  <si>
    <t>271455</t>
  </si>
  <si>
    <t>51412097</t>
  </si>
  <si>
    <t>12B501 C/O Water Pump Main</t>
  </si>
  <si>
    <t>ENGD .WAPU.WAPM</t>
  </si>
  <si>
    <t>1361 - WATER PUMP</t>
  </si>
  <si>
    <t>271416</t>
  </si>
  <si>
    <t>12B501 C/O Engine Cooling Fan Motor</t>
  </si>
  <si>
    <t>51412115</t>
  </si>
  <si>
    <t>MYHD .MOTO.ECFM</t>
  </si>
  <si>
    <t>1386 - HYDRAULIC FAN MOTOR</t>
  </si>
  <si>
    <t>20938271</t>
  </si>
  <si>
    <t>3810675X</t>
  </si>
  <si>
    <t>TRANSMISSION;SX;CAT;</t>
  </si>
  <si>
    <t>271449</t>
  </si>
  <si>
    <t>12B501 C/O Transmission</t>
  </si>
  <si>
    <t>51412320</t>
  </si>
  <si>
    <t>305342</t>
  </si>
  <si>
    <t>12B501 C/O Axle Assembly Rear</t>
  </si>
  <si>
    <t>51539440</t>
  </si>
  <si>
    <t>FDRV .AXAR</t>
  </si>
  <si>
    <t>21062562</t>
  </si>
  <si>
    <t>20R9995</t>
  </si>
  <si>
    <t>BRAKE;ASSY;CAT;20R99</t>
  </si>
  <si>
    <t>271422</t>
  </si>
  <si>
    <t>12B501 C/O Brake LHF</t>
  </si>
  <si>
    <t>51412250</t>
  </si>
  <si>
    <t>4251 - SERVICE BRAKE</t>
  </si>
  <si>
    <t>271437</t>
  </si>
  <si>
    <t>12B501 C/O Brake LHR</t>
  </si>
  <si>
    <t>51412091</t>
  </si>
  <si>
    <t>12B501 C/O Brake RHF</t>
  </si>
  <si>
    <t>51412092</t>
  </si>
  <si>
    <t>12B501 C/O Brake RHR</t>
  </si>
  <si>
    <t>51412251</t>
  </si>
  <si>
    <t>20837794</t>
  </si>
  <si>
    <t>4925107</t>
  </si>
  <si>
    <t>PUMP;CAT;492-5107</t>
  </si>
  <si>
    <t>271432</t>
  </si>
  <si>
    <t>12B501 C/O Main Hydraulic Pump</t>
  </si>
  <si>
    <t>51410979</t>
  </si>
  <si>
    <t>MYHD .PUMP.MAHP</t>
  </si>
  <si>
    <t>5070 - PISTON PUMP</t>
  </si>
  <si>
    <t>271404</t>
  </si>
  <si>
    <t>12B501 C/O Blade Tilt Cylinder</t>
  </si>
  <si>
    <t>51412289</t>
  </si>
  <si>
    <t>MYHD .CYLI.BLTI</t>
  </si>
  <si>
    <t>5106 - TIP CYLINDER</t>
  </si>
  <si>
    <t>271408</t>
  </si>
  <si>
    <t>12B501 C/O Circle Drive Gearbox</t>
  </si>
  <si>
    <t>51412303</t>
  </si>
  <si>
    <t>271406</t>
  </si>
  <si>
    <t>12B501 C/O Centreshift Cylinder</t>
  </si>
  <si>
    <t>51412290</t>
  </si>
  <si>
    <t>MYHD .CYLI.CENT</t>
  </si>
  <si>
    <t>5223 - CENTERSHIFT CYLINDER</t>
  </si>
  <si>
    <t>20837779</t>
  </si>
  <si>
    <t>6058789</t>
  </si>
  <si>
    <t>CYLINDER;CAT;6058789</t>
  </si>
  <si>
    <t>271398</t>
  </si>
  <si>
    <t>12B501 C/O Articulation Cylinder LH</t>
  </si>
  <si>
    <t>51412254</t>
  </si>
  <si>
    <t>12B501 C/O Articulation Cylinder RH</t>
  </si>
  <si>
    <t>51412286</t>
  </si>
  <si>
    <t>271439</t>
  </si>
  <si>
    <t>12B501 C/O Ripper Lift Cylinder</t>
  </si>
  <si>
    <t>51412114</t>
  </si>
  <si>
    <t>MYHD .CYLI.RILI</t>
  </si>
  <si>
    <t>5352 - RIPPER LIFT CYLINDER</t>
  </si>
  <si>
    <t>271403</t>
  </si>
  <si>
    <t>12B501 C/O Blade Sideshift Cylinder</t>
  </si>
  <si>
    <t>51412113</t>
  </si>
  <si>
    <t>MYHD .CYLI.BLSI</t>
  </si>
  <si>
    <t>5804 - SIDE SHIFT CYLINDER</t>
  </si>
  <si>
    <t>24</t>
  </si>
  <si>
    <t>E9Z00569</t>
  </si>
  <si>
    <t>20952164</t>
  </si>
  <si>
    <t>5875923X</t>
  </si>
  <si>
    <t>ENGINE;SX;CAT;587592</t>
  </si>
  <si>
    <t>276190</t>
  </si>
  <si>
    <t>12B564 Engine</t>
  </si>
  <si>
    <t>51569008</t>
  </si>
  <si>
    <t>12B564 C/O Engine</t>
  </si>
  <si>
    <t>21059738</t>
  </si>
  <si>
    <t>30R0613</t>
  </si>
  <si>
    <t>TURBOCHARGER;RM;CAT;</t>
  </si>
  <si>
    <t>276187</t>
  </si>
  <si>
    <t>51569003</t>
  </si>
  <si>
    <t>12B564 C/O Turbocharger LH</t>
  </si>
  <si>
    <t>ENGD .TURB.TULH</t>
  </si>
  <si>
    <t>21059747</t>
  </si>
  <si>
    <t>30R0614</t>
  </si>
  <si>
    <t>276188</t>
  </si>
  <si>
    <t>51569004</t>
  </si>
  <si>
    <t>12B564 C/O Turbocharger RH</t>
  </si>
  <si>
    <t>ENGD .TURB.TURH</t>
  </si>
  <si>
    <t>21124104</t>
  </si>
  <si>
    <t>6470751</t>
  </si>
  <si>
    <t>INJECTOR FUEL;CAT;64</t>
  </si>
  <si>
    <t>276186</t>
  </si>
  <si>
    <t>51569001</t>
  </si>
  <si>
    <t>12B564 C/O Fuel Injectors</t>
  </si>
  <si>
    <t>20952163</t>
  </si>
  <si>
    <t>4933184F</t>
  </si>
  <si>
    <t>RADIATOR;SX;CAT;4933</t>
  </si>
  <si>
    <t>269077</t>
  </si>
  <si>
    <t>12B564 C/O Engine Radiator</t>
  </si>
  <si>
    <t>51568984</t>
  </si>
  <si>
    <t>20555562</t>
  </si>
  <si>
    <t>20R1859</t>
  </si>
  <si>
    <t>PUMP,WATER;RM;CAT;20</t>
  </si>
  <si>
    <t>276189</t>
  </si>
  <si>
    <t>51569005</t>
  </si>
  <si>
    <t>12B564 C/O Water Pump Main</t>
  </si>
  <si>
    <t>20952162</t>
  </si>
  <si>
    <t>5004282X</t>
  </si>
  <si>
    <t>269059</t>
  </si>
  <si>
    <t>12B564 C/O Transmission</t>
  </si>
  <si>
    <t>51568998</t>
  </si>
  <si>
    <t>E9Z00276</t>
  </si>
  <si>
    <t>20952161</t>
  </si>
  <si>
    <t>4532043X</t>
  </si>
  <si>
    <t>CONVERTER,TORQUE;SX;</t>
  </si>
  <si>
    <t>269058</t>
  </si>
  <si>
    <t>12D531 C/O Torque Converter</t>
  </si>
  <si>
    <t>51409363</t>
  </si>
  <si>
    <t>TRAN .TOCO</t>
  </si>
  <si>
    <t>3101 - TORQUE CONVERTER</t>
  </si>
  <si>
    <t>20923313</t>
  </si>
  <si>
    <t>20R9025</t>
  </si>
  <si>
    <t>CONVERTER;TORQUE;RM;</t>
  </si>
  <si>
    <t>12B564 C/O Torque Converter</t>
  </si>
  <si>
    <t>51568997</t>
  </si>
  <si>
    <t>20988419</t>
  </si>
  <si>
    <t>4420688X</t>
  </si>
  <si>
    <t>AXLE;CAT;4420688X</t>
  </si>
  <si>
    <t>284034</t>
  </si>
  <si>
    <t>12B564 C/O Axle Assy Rear</t>
  </si>
  <si>
    <t>51568960</t>
  </si>
  <si>
    <t>RE - REAR</t>
  </si>
  <si>
    <t>20988460</t>
  </si>
  <si>
    <t>20R9996</t>
  </si>
  <si>
    <t>BRAKE;CAT;20R9996</t>
  </si>
  <si>
    <t>269014</t>
  </si>
  <si>
    <t>12B564 C/O Brake LHF</t>
  </si>
  <si>
    <t>51568966</t>
  </si>
  <si>
    <t>BRAK .SEBR.BTLF</t>
  </si>
  <si>
    <t>269016</t>
  </si>
  <si>
    <t>12B564 C/O Brake LHR</t>
  </si>
  <si>
    <t>51568967</t>
  </si>
  <si>
    <t>BRAK .SEBR.BTLR</t>
  </si>
  <si>
    <t>12B564 C/O Brake RHF</t>
  </si>
  <si>
    <t>51568969</t>
  </si>
  <si>
    <t>BRAK .SEBR.BTRF</t>
  </si>
  <si>
    <t>12B564 C/O Brake RHR</t>
  </si>
  <si>
    <t>51568970</t>
  </si>
  <si>
    <t>BRAK .SEBR.BTRR</t>
  </si>
  <si>
    <t>21100841</t>
  </si>
  <si>
    <t>30R0975</t>
  </si>
  <si>
    <t>PUMP;PISTON;RM;CAT;3</t>
  </si>
  <si>
    <t>269050</t>
  </si>
  <si>
    <t>12B564 C/O Primary Steering Pump</t>
  </si>
  <si>
    <t>51568991</t>
  </si>
  <si>
    <t>STRG .PUMP.PRSP</t>
  </si>
  <si>
    <t>4306 - STEERING PUMP</t>
  </si>
  <si>
    <t>20923257</t>
  </si>
  <si>
    <t>4421947X</t>
  </si>
  <si>
    <t>AXLE;SX;CAT;4421947X</t>
  </si>
  <si>
    <t>335144</t>
  </si>
  <si>
    <t>12B564 Axle Assembly Front</t>
  </si>
  <si>
    <t>51671660</t>
  </si>
  <si>
    <t>12B564 C/O Axle Assembly Front</t>
  </si>
  <si>
    <t>FDRV .AXAF</t>
  </si>
  <si>
    <t>4313 - STEERING AXLE</t>
  </si>
  <si>
    <t>20833835</t>
  </si>
  <si>
    <t>4529419</t>
  </si>
  <si>
    <t>SWIVEL;CAT;4529419</t>
  </si>
  <si>
    <t>269035</t>
  </si>
  <si>
    <t>12B564 C/O Centre Joint</t>
  </si>
  <si>
    <t>51568972</t>
  </si>
  <si>
    <t>MYHD .VALV.CEJO</t>
  </si>
  <si>
    <t>5060 - SWIVEL</t>
  </si>
  <si>
    <t>21100818</t>
  </si>
  <si>
    <t>30R0977</t>
  </si>
  <si>
    <t>269031</t>
  </si>
  <si>
    <t>12B564 C/O Engine Cooling Fan Pump</t>
  </si>
  <si>
    <t>51568983</t>
  </si>
  <si>
    <t>MYHD .PUMP.ECFP</t>
  </si>
  <si>
    <t>21100825</t>
  </si>
  <si>
    <t>30R0974</t>
  </si>
  <si>
    <t>269032</t>
  </si>
  <si>
    <t>12B564 C/O Main Hydraulic Pump</t>
  </si>
  <si>
    <t>51568988</t>
  </si>
  <si>
    <t>5084 - IMPLEMENT PUMP</t>
  </si>
  <si>
    <t>269037</t>
  </si>
  <si>
    <t>12D531 C/O Blade Tilt Cylinder LH</t>
  </si>
  <si>
    <t>51409108</t>
  </si>
  <si>
    <t>MYHD .CYLI.BLTL</t>
  </si>
  <si>
    <t>12D531 C/O Blade Tilt Cylinder RH</t>
  </si>
  <si>
    <t>51409342</t>
  </si>
  <si>
    <t>MYHD .CYLI.BLTR</t>
  </si>
  <si>
    <t>20952160</t>
  </si>
  <si>
    <t>4588755X</t>
  </si>
  <si>
    <t>DRIVE;SX;CAT;4588755</t>
  </si>
  <si>
    <t>269057</t>
  </si>
  <si>
    <t>12D531 C/O Circle Drive Gearbox Front</t>
  </si>
  <si>
    <t>51409345</t>
  </si>
  <si>
    <t>STRU .CHAS.CDGF</t>
  </si>
  <si>
    <t>FR - FRONT</t>
  </si>
  <si>
    <t>12D531 C/O Circle Drive Gearbox Rear</t>
  </si>
  <si>
    <t>51409187</t>
  </si>
  <si>
    <t>STRU .CHAS.CDGR</t>
  </si>
  <si>
    <t>E9Z00260</t>
  </si>
  <si>
    <t>269039</t>
  </si>
  <si>
    <t>12H476 C/O Centreshift Cylinder</t>
  </si>
  <si>
    <t>51370255</t>
  </si>
  <si>
    <t>269041</t>
  </si>
  <si>
    <t>12D531 C/O Blade Sideshift Cylinder</t>
  </si>
  <si>
    <t>51409183</t>
  </si>
  <si>
    <t>5229 - BLADE SIDESHIFT CYLINDER</t>
  </si>
  <si>
    <t>269042</t>
  </si>
  <si>
    <t>12B564 C/O Articulation Cylinder LH</t>
  </si>
  <si>
    <t>51568518</t>
  </si>
  <si>
    <t>12B564 C/O Articulation Cylinder RH</t>
  </si>
  <si>
    <t>51568519</t>
  </si>
  <si>
    <t>E9Z00256</t>
  </si>
  <si>
    <t>20923272</t>
  </si>
  <si>
    <t>605-8762</t>
  </si>
  <si>
    <t>CYLINDER;CAT;468-043</t>
  </si>
  <si>
    <t>269043</t>
  </si>
  <si>
    <t>12H526 C/O Ripper Lift Cylinder</t>
  </si>
  <si>
    <t>51369693</t>
  </si>
  <si>
    <t>777</t>
  </si>
  <si>
    <t>7M602507</t>
  </si>
  <si>
    <t>21186500</t>
  </si>
  <si>
    <t>6047338X</t>
  </si>
  <si>
    <t>ENGINE;ASSY;32L;CAT;</t>
  </si>
  <si>
    <t>314408</t>
  </si>
  <si>
    <t>06H673 Engine</t>
  </si>
  <si>
    <t>51566324</t>
  </si>
  <si>
    <t>06H673 C/O Engine</t>
  </si>
  <si>
    <t>20492970</t>
  </si>
  <si>
    <t>20R3180</t>
  </si>
  <si>
    <t>314510</t>
  </si>
  <si>
    <t>51566326</t>
  </si>
  <si>
    <t>06H673 C/O Turbocharger LH</t>
  </si>
  <si>
    <t>ENGD .TURB.TURL</t>
  </si>
  <si>
    <t>20492971</t>
  </si>
  <si>
    <t>20R3182</t>
  </si>
  <si>
    <t>314514</t>
  </si>
  <si>
    <t>51566327</t>
  </si>
  <si>
    <t>06H673 C/O Turbocharger RH</t>
  </si>
  <si>
    <t>ENGD .TURB.TURR</t>
  </si>
  <si>
    <t>21124607</t>
  </si>
  <si>
    <t>6470750</t>
  </si>
  <si>
    <t>314417</t>
  </si>
  <si>
    <t>51566332</t>
  </si>
  <si>
    <t>06H673 C/O Fuel Injectors</t>
  </si>
  <si>
    <t>20589073</t>
  </si>
  <si>
    <t>2955171F</t>
  </si>
  <si>
    <t>RADIATOR;CAT;2955171</t>
  </si>
  <si>
    <t>314415</t>
  </si>
  <si>
    <t>06H673 C/O Engine Radiator</t>
  </si>
  <si>
    <t>51566335</t>
  </si>
  <si>
    <t>314517</t>
  </si>
  <si>
    <t>51566331</t>
  </si>
  <si>
    <t>06H673 C/O Water Pump Main</t>
  </si>
  <si>
    <t>20497010</t>
  </si>
  <si>
    <t>3156272X</t>
  </si>
  <si>
    <t>TRANSMISSION;CAT;315</t>
  </si>
  <si>
    <t>314506</t>
  </si>
  <si>
    <t>06H673 C/O Transmission</t>
  </si>
  <si>
    <t>51566353</t>
  </si>
  <si>
    <t>20708278</t>
  </si>
  <si>
    <t>20R6700</t>
  </si>
  <si>
    <t>CONVERTER;TORQUE;CAT</t>
  </si>
  <si>
    <t>314505</t>
  </si>
  <si>
    <t>06H673 C/O Torque Converter</t>
  </si>
  <si>
    <t>51566352</t>
  </si>
  <si>
    <t>20496987</t>
  </si>
  <si>
    <t>3451983X</t>
  </si>
  <si>
    <t>DIFFERENTIAL;SX;CAT;</t>
  </si>
  <si>
    <t>314405</t>
  </si>
  <si>
    <t>06H673 C/O Differential</t>
  </si>
  <si>
    <t>51566321</t>
  </si>
  <si>
    <t>FDRV .AXAR.DIFF</t>
  </si>
  <si>
    <t>3258 - DIFFERENTIAL</t>
  </si>
  <si>
    <t>20604072</t>
  </si>
  <si>
    <t>3569843XL</t>
  </si>
  <si>
    <t>HUB;SPINDLE;CAT;3569</t>
  </si>
  <si>
    <t>314423</t>
  </si>
  <si>
    <t>06H673 C/O Hub &amp; Spindle LH</t>
  </si>
  <si>
    <t>51566337</t>
  </si>
  <si>
    <t>20604073</t>
  </si>
  <si>
    <t>3569843XR</t>
  </si>
  <si>
    <t>314424</t>
  </si>
  <si>
    <t>06H673 C/O Hub &amp; Spindle RH</t>
  </si>
  <si>
    <t>51566338</t>
  </si>
  <si>
    <t>21086155</t>
  </si>
  <si>
    <t>20R8725</t>
  </si>
  <si>
    <t>CYLINDER;STEERING;RM</t>
  </si>
  <si>
    <t>314432</t>
  </si>
  <si>
    <t>06H673 C/O Strg Cyl &amp; Tie Rod End RH</t>
  </si>
  <si>
    <t>51566347</t>
  </si>
  <si>
    <t>06H673 C/O Steering Cylinder RH</t>
  </si>
  <si>
    <t>20554635</t>
  </si>
  <si>
    <t>6170753</t>
  </si>
  <si>
    <t>CYLINDER;CAT;6170753</t>
  </si>
  <si>
    <t>314431</t>
  </si>
  <si>
    <t>06H673 C/O Strg Cyl &amp; Tie Rod End LH</t>
  </si>
  <si>
    <t>51566345</t>
  </si>
  <si>
    <t>06H673 C/O Steering Cylinder LH</t>
  </si>
  <si>
    <t>20197853</t>
  </si>
  <si>
    <t>2615630</t>
  </si>
  <si>
    <t>PUMP;STEERING;CAT;26</t>
  </si>
  <si>
    <t>314428</t>
  </si>
  <si>
    <t>06H673 C/O Primary Steering Pump</t>
  </si>
  <si>
    <t>51566343</t>
  </si>
  <si>
    <t>41221187</t>
  </si>
  <si>
    <t>1778924</t>
  </si>
  <si>
    <t>PUMP;CAT;1778924</t>
  </si>
  <si>
    <t>314525</t>
  </si>
  <si>
    <t>06H673 C/O Water System Pilot Pump</t>
  </si>
  <si>
    <t>51566361</t>
  </si>
  <si>
    <t>MYHD .PUMP.WSPP</t>
  </si>
  <si>
    <t>5073 - GEAR PUMP</t>
  </si>
  <si>
    <t>20496988</t>
  </si>
  <si>
    <t>3356352X</t>
  </si>
  <si>
    <t>SUSPENSION;CAT;335-6</t>
  </si>
  <si>
    <t>314501</t>
  </si>
  <si>
    <t>06H673 C/O Suspension LHF</t>
  </si>
  <si>
    <t>51566349</t>
  </si>
  <si>
    <t>STRU .SUGR.SULF</t>
  </si>
  <si>
    <t>7201 - SUSPENSION CYLINDER</t>
  </si>
  <si>
    <t>06H673 C/O Suspension RHF</t>
  </si>
  <si>
    <t>51566350</t>
  </si>
  <si>
    <t>STRU .SUGR.SURF</t>
  </si>
  <si>
    <t>20496989</t>
  </si>
  <si>
    <t>3356354X</t>
  </si>
  <si>
    <t>314502</t>
  </si>
  <si>
    <t>06H673 C/O Suspension LHR</t>
  </si>
  <si>
    <t>51566351</t>
  </si>
  <si>
    <t>STRU .SUGR.SULB</t>
  </si>
  <si>
    <t>7213 - REAR SUSPENSION CYLINDER</t>
  </si>
  <si>
    <t>06H673 C/O Susp &amp; Lat Control Rod RHR</t>
  </si>
  <si>
    <t>51566340</t>
  </si>
  <si>
    <t>06H673 C/O Suspension RHR</t>
  </si>
  <si>
    <t>STRU .SUGR.SURB</t>
  </si>
  <si>
    <t>854</t>
  </si>
  <si>
    <t>T8Y00101</t>
  </si>
  <si>
    <t>328160</t>
  </si>
  <si>
    <t>08H344 Engine</t>
  </si>
  <si>
    <t>51638899</t>
  </si>
  <si>
    <t>08H344 C/O Engine</t>
  </si>
  <si>
    <t>20675494</t>
  </si>
  <si>
    <t>20R3687</t>
  </si>
  <si>
    <t>328252</t>
  </si>
  <si>
    <t>51639003</t>
  </si>
  <si>
    <t>08H344 C/O Turbocharger LH</t>
  </si>
  <si>
    <t>20675493</t>
  </si>
  <si>
    <t>20R3692</t>
  </si>
  <si>
    <t>328253</t>
  </si>
  <si>
    <t>51639004</t>
  </si>
  <si>
    <t>08H344 C/O Turbocharger RH</t>
  </si>
  <si>
    <t>328166</t>
  </si>
  <si>
    <t>51639005</t>
  </si>
  <si>
    <t>08H344 C/O Fuel Injectors</t>
  </si>
  <si>
    <t>328254</t>
  </si>
  <si>
    <t>51639007</t>
  </si>
  <si>
    <t>08H344 C/O Water Pump Main</t>
  </si>
  <si>
    <t>20200204</t>
  </si>
  <si>
    <t>20R0098</t>
  </si>
  <si>
    <t>PUMP;RM;CAT;20R0098</t>
  </si>
  <si>
    <t>328163</t>
  </si>
  <si>
    <t>08H344 C/O Engine Cooling Fan Pump</t>
  </si>
  <si>
    <t>51639012</t>
  </si>
  <si>
    <t>40096535</t>
  </si>
  <si>
    <t>0R9340</t>
  </si>
  <si>
    <t>MOTOR;RM;CAT;0R-9340</t>
  </si>
  <si>
    <t>328162</t>
  </si>
  <si>
    <t>08H344 C/O Engine Cooling Fan Motor</t>
  </si>
  <si>
    <t>51639011</t>
  </si>
  <si>
    <t>20400004</t>
  </si>
  <si>
    <t>3732557F</t>
  </si>
  <si>
    <t>AXLE;ASSY;SX;CAT;373</t>
  </si>
  <si>
    <t>328145</t>
  </si>
  <si>
    <t>08H344 C/O Axle Assembly Front</t>
  </si>
  <si>
    <t>51638679</t>
  </si>
  <si>
    <t>3013 - AXLE ARRANGEMENT</t>
  </si>
  <si>
    <t>20400005</t>
  </si>
  <si>
    <t>3732558F</t>
  </si>
  <si>
    <t>328146</t>
  </si>
  <si>
    <t>08H344 C/O Axle Assembly Rear</t>
  </si>
  <si>
    <t>51638880</t>
  </si>
  <si>
    <t>20581129</t>
  </si>
  <si>
    <t>3466114X</t>
  </si>
  <si>
    <t>328200</t>
  </si>
  <si>
    <t>08H344 C/O Transmission</t>
  </si>
  <si>
    <t>51639098</t>
  </si>
  <si>
    <t>20695394</t>
  </si>
  <si>
    <t>20R6497</t>
  </si>
  <si>
    <t>PUMP;CAT;20R-6497 *C</t>
  </si>
  <si>
    <t>328217</t>
  </si>
  <si>
    <t>08H344 C/O Transmission Charge Pump</t>
  </si>
  <si>
    <t>51639099</t>
  </si>
  <si>
    <t>TRAN .PUMP.TRCP</t>
  </si>
  <si>
    <t>3066 - TRANSMISSION OIL PUMP</t>
  </si>
  <si>
    <t>20555474</t>
  </si>
  <si>
    <t>3465837X</t>
  </si>
  <si>
    <t>CONVERTER TRQ;SX;CAT</t>
  </si>
  <si>
    <t>328174</t>
  </si>
  <si>
    <t>08H344 C/O Main Pump Drive Trans</t>
  </si>
  <si>
    <t>51639019</t>
  </si>
  <si>
    <t>20554683</t>
  </si>
  <si>
    <t>1571352X</t>
  </si>
  <si>
    <t>CYLINDER;STEERING;CA</t>
  </si>
  <si>
    <t>328187</t>
  </si>
  <si>
    <t>08H344 C/O Steering Cylinder LH</t>
  </si>
  <si>
    <t>51639087</t>
  </si>
  <si>
    <t>STRG .CYLI.STCL</t>
  </si>
  <si>
    <t>08H344 C/O Steering Cylinder RH</t>
  </si>
  <si>
    <t>51639092</t>
  </si>
  <si>
    <t>STRG .CYLI.STCR</t>
  </si>
  <si>
    <t>40722874</t>
  </si>
  <si>
    <t>10R3808</t>
  </si>
  <si>
    <t>PUMP;RM;CAT;10R-3808</t>
  </si>
  <si>
    <t>328179</t>
  </si>
  <si>
    <t>08H344 C/O Primary Steering Pump</t>
  </si>
  <si>
    <t>51639084</t>
  </si>
  <si>
    <t>20317629</t>
  </si>
  <si>
    <t>3402113</t>
  </si>
  <si>
    <t>PUMP ASSEMBLY;CAT;34</t>
  </si>
  <si>
    <t>328147</t>
  </si>
  <si>
    <t>08H344 C/O Axle Cooler Pump &amp; Motor</t>
  </si>
  <si>
    <t>51638881</t>
  </si>
  <si>
    <t>506G - GEAR PUMP &amp; MOTOR</t>
  </si>
  <si>
    <t>20104786</t>
  </si>
  <si>
    <t>10R7974</t>
  </si>
  <si>
    <t>PUMP;RM;CAT;10R-7974</t>
  </si>
  <si>
    <t>328172</t>
  </si>
  <si>
    <t>08H344 C/O Main Hydraulic Pump</t>
  </si>
  <si>
    <t>51639018</t>
  </si>
  <si>
    <t>20554547</t>
  </si>
  <si>
    <t>1539939X</t>
  </si>
  <si>
    <t>CYLINDER;SX;CAT;1539</t>
  </si>
  <si>
    <t>328170</t>
  </si>
  <si>
    <t>08H344 C/O Lift Cylinder LH</t>
  </si>
  <si>
    <t>51639016</t>
  </si>
  <si>
    <t>MYHD .CYLI.LIFL</t>
  </si>
  <si>
    <t>40433434</t>
  </si>
  <si>
    <t>1539938X</t>
  </si>
  <si>
    <t>CYLINDER;SX;CAT;153-</t>
  </si>
  <si>
    <t>328171</t>
  </si>
  <si>
    <t>08H344 C/O Lift Cylinder RH</t>
  </si>
  <si>
    <t>51639017</t>
  </si>
  <si>
    <t>MYHD .CYLI.LIFR</t>
  </si>
  <si>
    <t>328191</t>
  </si>
  <si>
    <t>08H344 C/O Tilt Cylinder LH</t>
  </si>
  <si>
    <t>51639096</t>
  </si>
  <si>
    <t>MYHD .CYLI.TILL</t>
  </si>
  <si>
    <t>5104 - TILT CYLINDER</t>
  </si>
  <si>
    <t>328192</t>
  </si>
  <si>
    <t>08H344 C/O Tilt Cylinder RH</t>
  </si>
  <si>
    <t>51639097</t>
  </si>
  <si>
    <t>MYHD .CYLI.TILR</t>
  </si>
  <si>
    <t>992</t>
  </si>
  <si>
    <t>AP700437</t>
  </si>
  <si>
    <t>309036</t>
  </si>
  <si>
    <t>07B447 Engine</t>
  </si>
  <si>
    <t>51555529</t>
  </si>
  <si>
    <t>07B447 C/O Engine</t>
  </si>
  <si>
    <t>309041</t>
  </si>
  <si>
    <t>51555533</t>
  </si>
  <si>
    <t>07B447 C/O Turbocharger LH</t>
  </si>
  <si>
    <t>309042</t>
  </si>
  <si>
    <t>51555534</t>
  </si>
  <si>
    <t>07B447 C/O Turbocharger RH</t>
  </si>
  <si>
    <t>309038</t>
  </si>
  <si>
    <t>51555531</t>
  </si>
  <si>
    <t>07B447 C/O Fuel Injectors</t>
  </si>
  <si>
    <t>309044</t>
  </si>
  <si>
    <t>51555535</t>
  </si>
  <si>
    <t>07B447 C/O Water Pump Main</t>
  </si>
  <si>
    <t>309022</t>
  </si>
  <si>
    <t>07B447 C/O Transmission</t>
  </si>
  <si>
    <t>51555526</t>
  </si>
  <si>
    <t>309027</t>
  </si>
  <si>
    <t>07B447 C/O Transmission Charge Pump</t>
  </si>
  <si>
    <t>51555527</t>
  </si>
  <si>
    <t>40913937</t>
  </si>
  <si>
    <t>1681916</t>
  </si>
  <si>
    <t>JOINT;SLIP;CAT;16819</t>
  </si>
  <si>
    <t>308882</t>
  </si>
  <si>
    <t>07B447 C/O Drive Shaft &amp; Unis Centre</t>
  </si>
  <si>
    <t>51555473</t>
  </si>
  <si>
    <t>07B447 C/O Driveshaft Centre</t>
  </si>
  <si>
    <t>3253 - DRIVESHAFT</t>
  </si>
  <si>
    <t>308880</t>
  </si>
  <si>
    <t>07B447 C/O Differential Front</t>
  </si>
  <si>
    <t>51555471</t>
  </si>
  <si>
    <t>FDRV .AXAF.DIFF</t>
  </si>
  <si>
    <t>308881</t>
  </si>
  <si>
    <t>07B447 C/O Differential Rear</t>
  </si>
  <si>
    <t>51555472</t>
  </si>
  <si>
    <t>21062030</t>
  </si>
  <si>
    <t>30R0120</t>
  </si>
  <si>
    <t>PUMP HYD;AXIAL PISTO</t>
  </si>
  <si>
    <t>308999</t>
  </si>
  <si>
    <t>07B447 C/O Primary Brake Pump</t>
  </si>
  <si>
    <t>51555517</t>
  </si>
  <si>
    <t>BRAK .PUMP.PRBP</t>
  </si>
  <si>
    <t>4268 - BRAKE PUMP</t>
  </si>
  <si>
    <t>309004</t>
  </si>
  <si>
    <t>07B447 C/O Steering Cylinder LH</t>
  </si>
  <si>
    <t>51555522</t>
  </si>
  <si>
    <t>07B447 C/O Steering Cylinder RH</t>
  </si>
  <si>
    <t>51555523</t>
  </si>
  <si>
    <t>AP700457</t>
  </si>
  <si>
    <t>308996</t>
  </si>
  <si>
    <t>07H233 C/O Main Hydraulic Pump</t>
  </si>
  <si>
    <t>51588176</t>
  </si>
  <si>
    <t>308994</t>
  </si>
  <si>
    <t>07H233 C/O Lift Cylinder LH</t>
  </si>
  <si>
    <t>51588173</t>
  </si>
  <si>
    <t>07H233 C/O Lift Cylinder RH</t>
  </si>
  <si>
    <t>51588174</t>
  </si>
  <si>
    <t>309012</t>
  </si>
  <si>
    <t>07H233 C/O Tilt Cylinder</t>
  </si>
  <si>
    <t>51588189</t>
  </si>
  <si>
    <t>MYHD .CYLI.TILT</t>
  </si>
  <si>
    <t>3900</t>
  </si>
  <si>
    <t>KZ000120</t>
  </si>
  <si>
    <t>216831</t>
  </si>
  <si>
    <t>06D54 Engine</t>
  </si>
  <si>
    <t>50878460</t>
  </si>
  <si>
    <t>06D54 C/O Engine</t>
  </si>
  <si>
    <t>20235211</t>
  </si>
  <si>
    <t>10R2038</t>
  </si>
  <si>
    <t>216840</t>
  </si>
  <si>
    <t>50878464</t>
  </si>
  <si>
    <t>06D54 C/O Turbocharger LH</t>
  </si>
  <si>
    <t>ENGD .TURB.TC01</t>
  </si>
  <si>
    <t>50878465</t>
  </si>
  <si>
    <t>06D54 C/O Turbocharger RH</t>
  </si>
  <si>
    <t>ENGD .TURB.TC02</t>
  </si>
  <si>
    <t>216841</t>
  </si>
  <si>
    <t>50878461</t>
  </si>
  <si>
    <t>06D54 C/O Fuel Injectors</t>
  </si>
  <si>
    <t>KZ000101</t>
  </si>
  <si>
    <t>20555568</t>
  </si>
  <si>
    <t>2513588F</t>
  </si>
  <si>
    <t>RADIATOR;SX;CAT;2513</t>
  </si>
  <si>
    <t>150714</t>
  </si>
  <si>
    <t>06H184 C/O Engine Radiator</t>
  </si>
  <si>
    <t>50255157</t>
  </si>
  <si>
    <t>40104287</t>
  </si>
  <si>
    <t>0R4680</t>
  </si>
  <si>
    <t>PUMP;RM;CAT;0R-4680</t>
  </si>
  <si>
    <t>216842</t>
  </si>
  <si>
    <t>50878466</t>
  </si>
  <si>
    <t>06D54 C/O Water Pump Main</t>
  </si>
  <si>
    <t>ENGD .WAPU.WP01</t>
  </si>
  <si>
    <t>KZ000126</t>
  </si>
  <si>
    <t>20654496</t>
  </si>
  <si>
    <t>HM05505X</t>
  </si>
  <si>
    <t>184824</t>
  </si>
  <si>
    <t>11R1141 C/O Transmission</t>
  </si>
  <si>
    <t>50686734</t>
  </si>
  <si>
    <t>184822</t>
  </si>
  <si>
    <t>11R1141 C/O Torque Converter</t>
  </si>
  <si>
    <t>50686733</t>
  </si>
  <si>
    <t>KZ000160</t>
  </si>
  <si>
    <t>20934340</t>
  </si>
  <si>
    <t>2610649F</t>
  </si>
  <si>
    <t>WHEEL;CAT;2610649F</t>
  </si>
  <si>
    <t>A/150721/L1</t>
  </si>
  <si>
    <t>1216296: 06H554 C/O Hub &amp; Spindle RH</t>
  </si>
  <si>
    <t>50455257</t>
  </si>
  <si>
    <t>06H554 C/O Hub &amp; Spindle RH</t>
  </si>
  <si>
    <t>FDRV .AXAF.HASR</t>
  </si>
  <si>
    <t>1216295: 06H554 C/O Hub &amp; Spindle LH</t>
  </si>
  <si>
    <t>50455256</t>
  </si>
  <si>
    <t>06H554 C/O Hub &amp; Spindle LH</t>
  </si>
  <si>
    <t>FDRV .AXAF.HASL</t>
  </si>
  <si>
    <t>20180426</t>
  </si>
  <si>
    <t>4172643</t>
  </si>
  <si>
    <t>150725</t>
  </si>
  <si>
    <t>06H184 C/O Steering Cylinder LH</t>
  </si>
  <si>
    <t>50254730</t>
  </si>
  <si>
    <t>STRG .CYLI.SC01</t>
  </si>
  <si>
    <t>06H184 C/O Steering Cylinder RH</t>
  </si>
  <si>
    <t>50254729</t>
  </si>
  <si>
    <t>STRG .CYLI.SC02</t>
  </si>
  <si>
    <t>KZ000119</t>
  </si>
  <si>
    <t>20555569</t>
  </si>
  <si>
    <t>2997984X</t>
  </si>
  <si>
    <t>SUSPENSION;FRONT;SX;</t>
  </si>
  <si>
    <t>150728</t>
  </si>
  <si>
    <t>06H508 C/O Suspension LHF</t>
  </si>
  <si>
    <t>50406703</t>
  </si>
  <si>
    <t>STRU .SUGR.SG01</t>
  </si>
  <si>
    <t>06H508 C/O Suspension RHF</t>
  </si>
  <si>
    <t>50406704</t>
  </si>
  <si>
    <t>STRU .SUGR.SG02</t>
  </si>
  <si>
    <t>20517552</t>
  </si>
  <si>
    <t>2660341X</t>
  </si>
  <si>
    <t>STRUT;REAR;SX;CAT;26</t>
  </si>
  <si>
    <t>150729</t>
  </si>
  <si>
    <t>06H508 C/O Suspension LH Centre</t>
  </si>
  <si>
    <t>50406705</t>
  </si>
  <si>
    <t>STRU .SUGR.SG03</t>
  </si>
  <si>
    <t>06H508 C/O Suspension RH Centre</t>
  </si>
  <si>
    <t>50406706</t>
  </si>
  <si>
    <t>STRU .SUGR.SG04</t>
  </si>
  <si>
    <t>06H508 C/O Suspension RHR</t>
  </si>
  <si>
    <t>50406708</t>
  </si>
  <si>
    <t>STRU .SUGR.SG06</t>
  </si>
  <si>
    <t>KZ000141</t>
  </si>
  <si>
    <t>06H524 C/O Suspension LHR</t>
  </si>
  <si>
    <t>50480382</t>
  </si>
  <si>
    <t>STRU .SUGR.SG05</t>
  </si>
  <si>
    <t>6040</t>
  </si>
  <si>
    <t>ELZ00101</t>
  </si>
  <si>
    <t>21051908</t>
  </si>
  <si>
    <t>5633285X</t>
  </si>
  <si>
    <t>ENGINE;CAT C32;32L;C</t>
  </si>
  <si>
    <t>270821</t>
  </si>
  <si>
    <t>15B289 Engine</t>
  </si>
  <si>
    <t>51409995</t>
  </si>
  <si>
    <t>15B289 C/O Engine LH</t>
  </si>
  <si>
    <t>ENG1</t>
  </si>
  <si>
    <t>270824</t>
  </si>
  <si>
    <t>51410109</t>
  </si>
  <si>
    <t>15B289 C/O Engine RH</t>
  </si>
  <si>
    <t>ENG2</t>
  </si>
  <si>
    <t>270830</t>
  </si>
  <si>
    <t>51409998</t>
  </si>
  <si>
    <t>15B289 C/O Engine LH Fuel Injectors</t>
  </si>
  <si>
    <t>ENG1 .FUEL.INJE</t>
  </si>
  <si>
    <t>51410112</t>
  </si>
  <si>
    <t>15B289 C/O Engine RH Fuel Injectors</t>
  </si>
  <si>
    <t>ENG2 .FUEL.INJE</t>
  </si>
  <si>
    <t>20953990</t>
  </si>
  <si>
    <t>5726189</t>
  </si>
  <si>
    <t>RADIATOR;CAT;572-618</t>
  </si>
  <si>
    <t>270822</t>
  </si>
  <si>
    <t>15B289 C/O Engine LH Radiator</t>
  </si>
  <si>
    <t>51409128</t>
  </si>
  <si>
    <t>ENG1 .ENCS.RADI</t>
  </si>
  <si>
    <t>15B289 C/O Engine RH Radiator</t>
  </si>
  <si>
    <t>51409131</t>
  </si>
  <si>
    <t>ENG2 .ENCS.RADI</t>
  </si>
  <si>
    <t>20086307</t>
  </si>
  <si>
    <t>10R6400</t>
  </si>
  <si>
    <t>PUMP,WATER;RM;CAT;10</t>
  </si>
  <si>
    <t>270825</t>
  </si>
  <si>
    <t>51410103</t>
  </si>
  <si>
    <t>15B289 C/O Engine LH Water Pump Main</t>
  </si>
  <si>
    <t>ENG1 .WAPU.WP01</t>
  </si>
  <si>
    <t>40508079</t>
  </si>
  <si>
    <t>5354973</t>
  </si>
  <si>
    <t>RADIATOR;CAT;4020949</t>
  </si>
  <si>
    <t>A/270832/G1</t>
  </si>
  <si>
    <t>1951516: 15B289 C/O Hyd Oil Cooler Rear</t>
  </si>
  <si>
    <t>51410141</t>
  </si>
  <si>
    <t>15B289 C/O Hyd Oil Cooler Rear</t>
  </si>
  <si>
    <t>MYHD .OICO.HOCR</t>
  </si>
  <si>
    <t>1374 - HYDRAULIC OIL COOLER</t>
  </si>
  <si>
    <t>1951530: 15B289 C/O Hyd Oil Cooler Front</t>
  </si>
  <si>
    <t>51410139</t>
  </si>
  <si>
    <t>15B289 C/O Hyd Oil Cooler Front</t>
  </si>
  <si>
    <t>MYHD .OICO.HOCF</t>
  </si>
  <si>
    <t>40549473</t>
  </si>
  <si>
    <t>4682695</t>
  </si>
  <si>
    <t>MOTOR;HYDRAULIC;CAT;</t>
  </si>
  <si>
    <t>270819</t>
  </si>
  <si>
    <t>15B289 C/O Engine LH Cooling Fan Motor</t>
  </si>
  <si>
    <t>51410131</t>
  </si>
  <si>
    <t>MYHD .MOTO.EFML</t>
  </si>
  <si>
    <t>15B289 C/O Engine RH Cooling Fan Motor</t>
  </si>
  <si>
    <t>51409137</t>
  </si>
  <si>
    <t>MYHD .MOTO.EFMR</t>
  </si>
  <si>
    <t>335832</t>
  </si>
  <si>
    <t>15B289 C/O Hyd Cooling Fan Motor Front</t>
  </si>
  <si>
    <t>51675227</t>
  </si>
  <si>
    <t>15B289 C/O Hyd Cooling Fan Motor Rear</t>
  </si>
  <si>
    <t>51675228</t>
  </si>
  <si>
    <t>270820</t>
  </si>
  <si>
    <t>15B289 C/O Engine LH Cooling Fan Drive</t>
  </si>
  <si>
    <t>51409126</t>
  </si>
  <si>
    <t>ENG1 .ENCS.CFDR</t>
  </si>
  <si>
    <t>1387 - HYDRAULIC FAN PUMP</t>
  </si>
  <si>
    <t>P01 - P01</t>
  </si>
  <si>
    <t>15B289 C/O Engine RH Cooling Fan Drive</t>
  </si>
  <si>
    <t>51409129</t>
  </si>
  <si>
    <t>ENG2 .ENCS.CFDR</t>
  </si>
  <si>
    <t>P02 - P02</t>
  </si>
  <si>
    <t>20342025</t>
  </si>
  <si>
    <t>20R1312</t>
  </si>
  <si>
    <t>STARTER;MOTOR;CAT;20</t>
  </si>
  <si>
    <t>270847</t>
  </si>
  <si>
    <t>51410106</t>
  </si>
  <si>
    <t>15B289 C/O Engine LH Starter Motor LH</t>
  </si>
  <si>
    <t>1453 - ELEC STARTER MOTOR</t>
  </si>
  <si>
    <t>51410105</t>
  </si>
  <si>
    <t>15B289 C/O Engine LH Starter Motor RH</t>
  </si>
  <si>
    <t>51410120</t>
  </si>
  <si>
    <t>15B289 C/O Engine RH Starter Motor LH</t>
  </si>
  <si>
    <t>51410119</t>
  </si>
  <si>
    <t>15B289 C/O Engine RH Starter Motor RH</t>
  </si>
  <si>
    <t>40549973</t>
  </si>
  <si>
    <t>4715775</t>
  </si>
  <si>
    <t>PUMP;REPLENISHING;CA</t>
  </si>
  <si>
    <t>270846</t>
  </si>
  <si>
    <t>15B289 C/O Replenishing Pump LH</t>
  </si>
  <si>
    <t>51410146</t>
  </si>
  <si>
    <t>15B289 C/O Swing Replenishing Pump LH</t>
  </si>
  <si>
    <t>MYHD .PUMP.SRP1</t>
  </si>
  <si>
    <t>3204 - CHARGE PUMP</t>
  </si>
  <si>
    <t>15B289 C/O Replenishing Pump RH</t>
  </si>
  <si>
    <t>51410170</t>
  </si>
  <si>
    <t>15B289 C/O Swing Replenishing Pump RH</t>
  </si>
  <si>
    <t>MYHD .PUMP.SRP2</t>
  </si>
  <si>
    <t>40508025</t>
  </si>
  <si>
    <t>4846333X</t>
  </si>
  <si>
    <t>FINAL DRIVE;SX;CAT;4</t>
  </si>
  <si>
    <t>270827</t>
  </si>
  <si>
    <t>15B289 C/O Final Drive LH</t>
  </si>
  <si>
    <t>51410108</t>
  </si>
  <si>
    <t>FDRV .FIDR.FDLH</t>
  </si>
  <si>
    <t>4050 - FINAL DRIVE</t>
  </si>
  <si>
    <t>15B289 C/O Final Drive RH</t>
  </si>
  <si>
    <t>51409132</t>
  </si>
  <si>
    <t>FDRV .FIDR.FDRH</t>
  </si>
  <si>
    <t>20853189</t>
  </si>
  <si>
    <t>11R0082</t>
  </si>
  <si>
    <t>ROLLER;CARRIER;RM;CA</t>
  </si>
  <si>
    <t>270814</t>
  </si>
  <si>
    <t>15B289 C/O Carrier Rollers LH</t>
  </si>
  <si>
    <t>51410180</t>
  </si>
  <si>
    <t>STRU .TFLH.CARO</t>
  </si>
  <si>
    <t>4154 - CARRIER ROLLER</t>
  </si>
  <si>
    <t>15B289 C/O Carrier Rollers RH</t>
  </si>
  <si>
    <t>51410151</t>
  </si>
  <si>
    <t>STRU .TFRH.CARO</t>
  </si>
  <si>
    <t>20812423</t>
  </si>
  <si>
    <t>4671669</t>
  </si>
  <si>
    <t>CYLINDER;TRACK;CAT;4</t>
  </si>
  <si>
    <t>270852</t>
  </si>
  <si>
    <t>15B289 C/O Track Adjuster LH</t>
  </si>
  <si>
    <t>51410182</t>
  </si>
  <si>
    <t>STRU .TFLH.TRAD</t>
  </si>
  <si>
    <t>4157 - TRACK ADJUSTER</t>
  </si>
  <si>
    <t>15B289 C/O Track Adjuster RH</t>
  </si>
  <si>
    <t>51410152</t>
  </si>
  <si>
    <t>STRU .TFRH.TRAD</t>
  </si>
  <si>
    <t>20953981</t>
  </si>
  <si>
    <t>20R8905</t>
  </si>
  <si>
    <t>IDLER;TRACK;RM;CAT;2</t>
  </si>
  <si>
    <t>270828</t>
  </si>
  <si>
    <t>15B289 C/O Front Idler LH</t>
  </si>
  <si>
    <t>51410150</t>
  </si>
  <si>
    <t>STRU .TFLH.IDLF</t>
  </si>
  <si>
    <t>4159 - IDLER/IDLER WHEEL</t>
  </si>
  <si>
    <t>15B289 C/O Front Idler RH</t>
  </si>
  <si>
    <t>51410183</t>
  </si>
  <si>
    <t>STRU .TFRH.IDLF</t>
  </si>
  <si>
    <t>20953984</t>
  </si>
  <si>
    <t>11R-0083</t>
  </si>
  <si>
    <t>ROLLER,TRACK;RM;CAT;</t>
  </si>
  <si>
    <t>270834</t>
  </si>
  <si>
    <t>15B289 C/O Load Rollers LH</t>
  </si>
  <si>
    <t>51410181</t>
  </si>
  <si>
    <t>STRU .TFLH.LORO</t>
  </si>
  <si>
    <t>4180 - TRACK ROLLER</t>
  </si>
  <si>
    <t>L01 - LEFT NO. 01</t>
  </si>
  <si>
    <t>15B289 C/O Load Rollers RH</t>
  </si>
  <si>
    <t>51410184</t>
  </si>
  <si>
    <t>STRU .TFRH.LORO</t>
  </si>
  <si>
    <t>R01 - RIGHT NO.01</t>
  </si>
  <si>
    <t>40946197</t>
  </si>
  <si>
    <t>20R2021</t>
  </si>
  <si>
    <t>270853</t>
  </si>
  <si>
    <t>15B289 C/O Travel Motor LHF</t>
  </si>
  <si>
    <t>51410135</t>
  </si>
  <si>
    <t>MYHD .MOTO.TMLF</t>
  </si>
  <si>
    <t>4351 - HYD PROPEL/DRIVE MOTOR</t>
  </si>
  <si>
    <t>15B289 C/O Travel Motor LHR</t>
  </si>
  <si>
    <t>51409139</t>
  </si>
  <si>
    <t>MYHD .MOTO.TMLR</t>
  </si>
  <si>
    <t>15B289 C/O Travel Motor RHF</t>
  </si>
  <si>
    <t>51410136</t>
  </si>
  <si>
    <t>MYHD .MOTO.TMRF</t>
  </si>
  <si>
    <t>15B289 C/O Travel Motor RHR</t>
  </si>
  <si>
    <t>51410137</t>
  </si>
  <si>
    <t>MYHD .MOTO.TMRR</t>
  </si>
  <si>
    <t>20519961</t>
  </si>
  <si>
    <t>20R2013</t>
  </si>
  <si>
    <t>PUMP;RM;CAT;20R2013</t>
  </si>
  <si>
    <t>270839</t>
  </si>
  <si>
    <t>15B289 C/O Main Pump 1 (LH Engine LH)</t>
  </si>
  <si>
    <t>51410142</t>
  </si>
  <si>
    <t>15B289 C/O Main Pump 2 (LH Engine RH)</t>
  </si>
  <si>
    <t>51410162</t>
  </si>
  <si>
    <t>15B289 C/O Main Pump 3 (RH Engine LH)</t>
  </si>
  <si>
    <t>51410163</t>
  </si>
  <si>
    <t>15B289 C/O Main Pump 4 (RH Engine RH)</t>
  </si>
  <si>
    <t>51410143</t>
  </si>
  <si>
    <t>20953905</t>
  </si>
  <si>
    <t>20R9386</t>
  </si>
  <si>
    <t>PUMP;PISTON;RM;CAT;2</t>
  </si>
  <si>
    <t>270842</t>
  </si>
  <si>
    <t>15B289 C/O Pilot Hydraulic Pump LH</t>
  </si>
  <si>
    <t>51410164</t>
  </si>
  <si>
    <t>MYHD .PUMP.PPL1</t>
  </si>
  <si>
    <t>5085 - PILOT PUMP</t>
  </si>
  <si>
    <t>15B289 C/O Pilot Hydraulic Pump RH</t>
  </si>
  <si>
    <t>51410144</t>
  </si>
  <si>
    <t>MYHD .PUMP.PPR1</t>
  </si>
  <si>
    <t>40549971</t>
  </si>
  <si>
    <t>4682693</t>
  </si>
  <si>
    <t>PUMP;COOL;CAT;468269</t>
  </si>
  <si>
    <t>270845</t>
  </si>
  <si>
    <t>15B289 C/O Pump Trans Lube Pump LH</t>
  </si>
  <si>
    <t>51410153</t>
  </si>
  <si>
    <t>15B289 C/O Pump Drive Lube Pump LH</t>
  </si>
  <si>
    <t>508C - HYDRAULIC COOLING PUMP</t>
  </si>
  <si>
    <t>15B289 C/O Pump Trans Lube Pump RH</t>
  </si>
  <si>
    <t>51410187</t>
  </si>
  <si>
    <t>15B289 C/O Pump Drive Lube Pump RH</t>
  </si>
  <si>
    <t>21054130</t>
  </si>
  <si>
    <t>4658707X</t>
  </si>
  <si>
    <t>CYLINDER HYD;BOOM;CA</t>
  </si>
  <si>
    <t>270812</t>
  </si>
  <si>
    <t>15B289 C/O Boom Cylinder LH</t>
  </si>
  <si>
    <t>51409135</t>
  </si>
  <si>
    <t>MYHD .CYLI.BOOL</t>
  </si>
  <si>
    <t>5456 - BOOM CYLINDER</t>
  </si>
  <si>
    <t>15B289 C/O Boom Cylinder RH</t>
  </si>
  <si>
    <t>51410128</t>
  </si>
  <si>
    <t>MYHD .CYLI.BOOR</t>
  </si>
  <si>
    <t>21054170</t>
  </si>
  <si>
    <t>5889645X</t>
  </si>
  <si>
    <t>CYLINDER HYD;BUCKET;</t>
  </si>
  <si>
    <t>270813</t>
  </si>
  <si>
    <t>15B289 C/O Bucket Cylinder LH</t>
  </si>
  <si>
    <t>51410129</t>
  </si>
  <si>
    <t>MYHD .CYLI.BUCL</t>
  </si>
  <si>
    <t>5457 - BUCKET CYLINDER</t>
  </si>
  <si>
    <t>15B289 C/O Bucket Cylinder RH</t>
  </si>
  <si>
    <t>51409136</t>
  </si>
  <si>
    <t>MYHD .CYLI.BUCR</t>
  </si>
  <si>
    <t>21054254</t>
  </si>
  <si>
    <t>5892692X</t>
  </si>
  <si>
    <t>CYLINDER HYD;STICK;C</t>
  </si>
  <si>
    <t>270809</t>
  </si>
  <si>
    <t>15B289 C/O Arm Cylinder LH</t>
  </si>
  <si>
    <t>51410126</t>
  </si>
  <si>
    <t>MYHD .CYLI.ARML</t>
  </si>
  <si>
    <t>5458 - STICK CYLINDER</t>
  </si>
  <si>
    <t>15B289 C/O Arm Cylinder RH</t>
  </si>
  <si>
    <t>51410127</t>
  </si>
  <si>
    <t>MYHD .CYLI.ARMR</t>
  </si>
  <si>
    <t>20853245</t>
  </si>
  <si>
    <t>20R5374</t>
  </si>
  <si>
    <t>DRIVE;CAT;20R-5374</t>
  </si>
  <si>
    <t>270851</t>
  </si>
  <si>
    <t>15B289 C/O Swing Transmission LHF</t>
  </si>
  <si>
    <t>51410188</t>
  </si>
  <si>
    <t>15B289 C/O Swing Transmission Front</t>
  </si>
  <si>
    <t>5459 - SWING DRIVE</t>
  </si>
  <si>
    <t>15B289 C/O Swing Transmission LHR</t>
  </si>
  <si>
    <t>51410154</t>
  </si>
  <si>
    <t>TRAN .SWTR.STLR</t>
  </si>
  <si>
    <t>15B289 C/O Swing Transmission RHR</t>
  </si>
  <si>
    <t>51410190</t>
  </si>
  <si>
    <t>TRAN .SWTR.STRR</t>
  </si>
  <si>
    <t>40507970</t>
  </si>
  <si>
    <t>20R2017</t>
  </si>
  <si>
    <t>PUMP;RM;CAT;20R-2017</t>
  </si>
  <si>
    <t>270850</t>
  </si>
  <si>
    <t>15B289 C/O Swing Pump No 1 &amp; 2</t>
  </si>
  <si>
    <t>51410167</t>
  </si>
  <si>
    <t>5473 - SWING PUMP</t>
  </si>
  <si>
    <t>15B289 C/O Swing Pump No 3 &amp; 4</t>
  </si>
  <si>
    <t>51410168</t>
  </si>
  <si>
    <t>20428688</t>
  </si>
  <si>
    <t>5052463</t>
  </si>
  <si>
    <t>PUMP;LUBE;CAT;505246</t>
  </si>
  <si>
    <t>270811</t>
  </si>
  <si>
    <t>15B289 C/O Auto Lube Pump Front</t>
  </si>
  <si>
    <t>51508497</t>
  </si>
  <si>
    <t>LUBE .PUMP.PUMF</t>
  </si>
  <si>
    <t>7516 - LUBRICATION PUMP</t>
  </si>
  <si>
    <t>UZ - UPPER</t>
  </si>
  <si>
    <t>20833457</t>
  </si>
  <si>
    <t>20R2015</t>
  </si>
  <si>
    <t>270849</t>
  </si>
  <si>
    <t>15B289 C/O Swing Motor Front</t>
  </si>
  <si>
    <t>51410132</t>
  </si>
  <si>
    <t>MYHD .MOTO.SMFR</t>
  </si>
  <si>
    <t>79PA - SWING DRIVE MOTOR</t>
  </si>
  <si>
    <t>15B289 C/O Swing Motor LHR</t>
  </si>
  <si>
    <t>51410133</t>
  </si>
  <si>
    <t>MYHD .MOTO.SMLR</t>
  </si>
  <si>
    <t>15B289 C/O Swing Motor RHR</t>
  </si>
  <si>
    <t>51410134</t>
  </si>
  <si>
    <t>MYHD .MOTO.SMRR</t>
  </si>
  <si>
    <t>6060</t>
  </si>
  <si>
    <t>6D600110</t>
  </si>
  <si>
    <t>20989032</t>
  </si>
  <si>
    <t>5707922X</t>
  </si>
  <si>
    <t>ENGINE;CAT;5707922X</t>
  </si>
  <si>
    <t>255646</t>
  </si>
  <si>
    <t>15B290 Engine LH</t>
  </si>
  <si>
    <t>51368723</t>
  </si>
  <si>
    <t>15B290 C/O Engine LH</t>
  </si>
  <si>
    <t>20988880</t>
  </si>
  <si>
    <t>5707921X</t>
  </si>
  <si>
    <t>ENGINE;CAT;5707921X</t>
  </si>
  <si>
    <t>255662</t>
  </si>
  <si>
    <t>15B290 Engine RH</t>
  </si>
  <si>
    <t>51368647</t>
  </si>
  <si>
    <t>15B290 C/O Engine RH</t>
  </si>
  <si>
    <t>6P600117</t>
  </si>
  <si>
    <t>15B405 Engine LH</t>
  </si>
  <si>
    <t>51635199</t>
  </si>
  <si>
    <t>15B405 C/O Engine LH</t>
  </si>
  <si>
    <t>15B405 Engine RH</t>
  </si>
  <si>
    <t>51635213</t>
  </si>
  <si>
    <t>15B405 C/O Engine RH</t>
  </si>
  <si>
    <t>20443594</t>
  </si>
  <si>
    <t>20R0864</t>
  </si>
  <si>
    <t>255654</t>
  </si>
  <si>
    <t>51368726</t>
  </si>
  <si>
    <t>15B290 C/O Engine LH Fuel Injectors</t>
  </si>
  <si>
    <t>51368650</t>
  </si>
  <si>
    <t>15B290 C/O Engine RH Fuel Injectors</t>
  </si>
  <si>
    <t>51635202</t>
  </si>
  <si>
    <t>15B405 C/O Engine LH Fuel Injectors</t>
  </si>
  <si>
    <t>51635216</t>
  </si>
  <si>
    <t>15B405 C/O Engine RH Fuel Injectors</t>
  </si>
  <si>
    <t>21005190</t>
  </si>
  <si>
    <t>5000022F</t>
  </si>
  <si>
    <t>RADIATOR;CAT;5000022</t>
  </si>
  <si>
    <t>255650</t>
  </si>
  <si>
    <t>15B290 C/O Engine LH Radiator</t>
  </si>
  <si>
    <t>51368358</t>
  </si>
  <si>
    <t>15B290 C/O Engine RH Radiator</t>
  </si>
  <si>
    <t>51368642</t>
  </si>
  <si>
    <t>15B405 C/O Engine LH Radiator</t>
  </si>
  <si>
    <t>51635131</t>
  </si>
  <si>
    <t>15B405 C/O Engine RH Radiator</t>
  </si>
  <si>
    <t>51635135</t>
  </si>
  <si>
    <t>6D600101</t>
  </si>
  <si>
    <t>255582</t>
  </si>
  <si>
    <t>15H402 C/O Hyd Oil Cooler Front</t>
  </si>
  <si>
    <t>51216694</t>
  </si>
  <si>
    <t>FLO - FRONT LOWER</t>
  </si>
  <si>
    <t>15H402 C/O Hyd Oil Cooler Rear</t>
  </si>
  <si>
    <t>51216695</t>
  </si>
  <si>
    <t>REU - REAR UPPER</t>
  </si>
  <si>
    <t>20837618</t>
  </si>
  <si>
    <t>4707059</t>
  </si>
  <si>
    <t>COIL;COOLING;CAT;470</t>
  </si>
  <si>
    <t>255583</t>
  </si>
  <si>
    <t>15B290 C/O Pump Drive Hyd Oil Cooler LH</t>
  </si>
  <si>
    <t>51368763</t>
  </si>
  <si>
    <t>MYHD .OICO.CPDL</t>
  </si>
  <si>
    <t>15B290 C/O Pump Drive Hyd Oil Cooler RH</t>
  </si>
  <si>
    <t>51368746</t>
  </si>
  <si>
    <t>MYHD .OICO.CPDR</t>
  </si>
  <si>
    <t>20388444</t>
  </si>
  <si>
    <t>4480095</t>
  </si>
  <si>
    <t>MOTOR GP-GR;CAT;4480</t>
  </si>
  <si>
    <t>255578</t>
  </si>
  <si>
    <t>15B290 C/O Oil Cooler Fan Motor LH Lower</t>
  </si>
  <si>
    <t>51368741</t>
  </si>
  <si>
    <t>MYHD .MOTO.FMLL</t>
  </si>
  <si>
    <t>REL - REEL</t>
  </si>
  <si>
    <t>15B290 C/O Oil Cooler Fan Motor LH Upper</t>
  </si>
  <si>
    <t>51368737</t>
  </si>
  <si>
    <t>MYHD .MOTO.FMLU</t>
  </si>
  <si>
    <t>15B290 C/O Oil Cooler Fan Motor RH Lower</t>
  </si>
  <si>
    <t>51368736</t>
  </si>
  <si>
    <t>MYHD .MOTO.FMRL</t>
  </si>
  <si>
    <t>FRL - FAIRLEAD RIGHT LOWER</t>
  </si>
  <si>
    <t>15B290 C/O Oil Cooler Fan Motor RH Upper</t>
  </si>
  <si>
    <t>51368742</t>
  </si>
  <si>
    <t>MYHD .MOTO.FMRU</t>
  </si>
  <si>
    <t>FRU - FAIRLEAD RIGHT UPPER</t>
  </si>
  <si>
    <t>15B405 C/O Oil Cooler Fan Motor LH Lower</t>
  </si>
  <si>
    <t>51635157</t>
  </si>
  <si>
    <t>15B405 C/O Oil Cooler Fan Motor LH Upper</t>
  </si>
  <si>
    <t>51635158</t>
  </si>
  <si>
    <t>15B405 C/O Oil Cooler Fan Motor RH Lower</t>
  </si>
  <si>
    <t>51635159</t>
  </si>
  <si>
    <t>15B405 C/O Oil Cooler Fan Motor RH Upper</t>
  </si>
  <si>
    <t>51635160</t>
  </si>
  <si>
    <t>20696572</t>
  </si>
  <si>
    <t>20R2016</t>
  </si>
  <si>
    <t>PUMP HYD;CAT;20R2016</t>
  </si>
  <si>
    <t>255589</t>
  </si>
  <si>
    <t>15B290 C/O Eng Cool Fan Pump LH P/Drv 1</t>
  </si>
  <si>
    <t>51368716</t>
  </si>
  <si>
    <t>255588</t>
  </si>
  <si>
    <t>15B290 C/O Eng Cool Fan Pump RH P/Drv 2</t>
  </si>
  <si>
    <t>51367619</t>
  </si>
  <si>
    <t>20284734</t>
  </si>
  <si>
    <t>4480066</t>
  </si>
  <si>
    <t>PUMP GEAR;CAT;448006</t>
  </si>
  <si>
    <t>255590</t>
  </si>
  <si>
    <t>15B290 C/O Oil Cooler Fan Pump LH No 1</t>
  </si>
  <si>
    <t>51368738</t>
  </si>
  <si>
    <t>15B290 C/O Oil Cooler Fan Pump LH No 2</t>
  </si>
  <si>
    <t>51368743</t>
  </si>
  <si>
    <t>15B290 C/O Oil Cooler Fan Pump RH No 1</t>
  </si>
  <si>
    <t>51368739</t>
  </si>
  <si>
    <t>15B290 C/O Oil Cooler Fan Pump RH No 2</t>
  </si>
  <si>
    <t>51368744</t>
  </si>
  <si>
    <t>15B405 C/O Eng Cool Fan Pump LH P/Drv 1</t>
  </si>
  <si>
    <t>51635126</t>
  </si>
  <si>
    <t>15B405 C/O Eng Cool Fan Pump RH P/Drv 2</t>
  </si>
  <si>
    <t>51635127</t>
  </si>
  <si>
    <t>255645</t>
  </si>
  <si>
    <t>51368734</t>
  </si>
  <si>
    <t>15B290 C/O Engine LH Starter Motor Lower</t>
  </si>
  <si>
    <t>LVEL .STSY.SMLL</t>
  </si>
  <si>
    <t>51368733</t>
  </si>
  <si>
    <t>15B290 C/O Engine LH Starter Motor Upper</t>
  </si>
  <si>
    <t>LVEL .STSY.SMLU</t>
  </si>
  <si>
    <t>51368658</t>
  </si>
  <si>
    <t>15B290 C/O Engine RH Starter Motor Lower</t>
  </si>
  <si>
    <t>LVEL .STSY.SMRL</t>
  </si>
  <si>
    <t>51368657</t>
  </si>
  <si>
    <t>15B290 C/O Engine RH Starter Motor Upper</t>
  </si>
  <si>
    <t>LVEL .STSY.SMRU</t>
  </si>
  <si>
    <t>20853269</t>
  </si>
  <si>
    <t>4190777</t>
  </si>
  <si>
    <t>MOTOR;CAT;419-0777</t>
  </si>
  <si>
    <t>340653</t>
  </si>
  <si>
    <t>15H402 Ovhl Air Conditioner LH</t>
  </si>
  <si>
    <t>51701407</t>
  </si>
  <si>
    <t>15H402 Ovhl Air Conditioner LH Minor</t>
  </si>
  <si>
    <t>1802 - REFRIGERANT COMPRESSOR</t>
  </si>
  <si>
    <t>255576</t>
  </si>
  <si>
    <t>15B290 C/O Air Con Drive Motor LH</t>
  </si>
  <si>
    <t>51367610</t>
  </si>
  <si>
    <t>15B290 C/O Air Con Drive Motor RH</t>
  </si>
  <si>
    <t>51659224</t>
  </si>
  <si>
    <t>21031899</t>
  </si>
  <si>
    <t>5091024X</t>
  </si>
  <si>
    <t>DRIVE;PUMP;SX;CAT;50</t>
  </si>
  <si>
    <t>255605</t>
  </si>
  <si>
    <t>15B290 C/O Main Pump Drive Trans LH</t>
  </si>
  <si>
    <t>51368740</t>
  </si>
  <si>
    <t>3108 - PUMP DRIVE GRP</t>
  </si>
  <si>
    <t>15B290 C/O Main Pump Drive Trans RH</t>
  </si>
  <si>
    <t>51368735</t>
  </si>
  <si>
    <t>DRIVE,PUMP;SX;CAT;50</t>
  </si>
  <si>
    <t>15B405 C/O Main Pump Drive Trans LH</t>
  </si>
  <si>
    <t>51635155</t>
  </si>
  <si>
    <t>15B405 C/O Main Pump Drive Trans RH</t>
  </si>
  <si>
    <t>51635156</t>
  </si>
  <si>
    <t>21037542</t>
  </si>
  <si>
    <t>5507311X</t>
  </si>
  <si>
    <t>DRIVE;FINAL;CAT;550-</t>
  </si>
  <si>
    <t>255570</t>
  </si>
  <si>
    <t>15B290 C/O Final Drive LH</t>
  </si>
  <si>
    <t>51368644</t>
  </si>
  <si>
    <t>15B290 C/O Final Drive RH</t>
  </si>
  <si>
    <t>51368645</t>
  </si>
  <si>
    <t>15B405 C/O Final Drive LH</t>
  </si>
  <si>
    <t>51635136</t>
  </si>
  <si>
    <t>15B405 C/O Final Drive RH</t>
  </si>
  <si>
    <t>51635137</t>
  </si>
  <si>
    <t>40912465</t>
  </si>
  <si>
    <t>4579635</t>
  </si>
  <si>
    <t>ROLLER;CAT;4579635</t>
  </si>
  <si>
    <t>255601</t>
  </si>
  <si>
    <t>15B290 C/O Carrier Rollers LH</t>
  </si>
  <si>
    <t>51367617</t>
  </si>
  <si>
    <t>15B290 C/O Carrier Rollers RH</t>
  </si>
  <si>
    <t>51368715</t>
  </si>
  <si>
    <t>15B405 C/O Carrier Rollers LH</t>
  </si>
  <si>
    <t>51635123</t>
  </si>
  <si>
    <t>15B405 C/O Carrier Rollers RH</t>
  </si>
  <si>
    <t>51635124</t>
  </si>
  <si>
    <t>255600</t>
  </si>
  <si>
    <t>15B290 C/O Track Adjuster LH</t>
  </si>
  <si>
    <t>51368775</t>
  </si>
  <si>
    <t>15B290 C/O Track Adjuster RH</t>
  </si>
  <si>
    <t>51368753</t>
  </si>
  <si>
    <t>CYLINDER,TRACK;CAT;4</t>
  </si>
  <si>
    <t>15B405 C/O Track Adjuster LH</t>
  </si>
  <si>
    <t>51635188</t>
  </si>
  <si>
    <t>15B405 C/O Track Adjuster RH</t>
  </si>
  <si>
    <t>51635189</t>
  </si>
  <si>
    <t>20991510</t>
  </si>
  <si>
    <t>20R9277</t>
  </si>
  <si>
    <t>IDLER ASSEMBLY;CAT;2</t>
  </si>
  <si>
    <t>255602</t>
  </si>
  <si>
    <t>15H402 C/O Front Idler LH</t>
  </si>
  <si>
    <t>51216753</t>
  </si>
  <si>
    <t>15H402 C/O Front Idler RH</t>
  </si>
  <si>
    <t>51216758</t>
  </si>
  <si>
    <t>20837724</t>
  </si>
  <si>
    <t>4658431</t>
  </si>
  <si>
    <t>SPROCKET;CAT;4658431</t>
  </si>
  <si>
    <t>255603</t>
  </si>
  <si>
    <t>15B290 C/O Tumbler LH</t>
  </si>
  <si>
    <t>51368779</t>
  </si>
  <si>
    <t>FDRV .FIDR.TULH</t>
  </si>
  <si>
    <t>4164 - SPROCKET ASSEMBLY</t>
  </si>
  <si>
    <t>15B290 C/O Tumbler RH</t>
  </si>
  <si>
    <t>51368780</t>
  </si>
  <si>
    <t>FDRV .FIDR.TURH</t>
  </si>
  <si>
    <t>15B405 C/O Tumbler LH</t>
  </si>
  <si>
    <t>51635198</t>
  </si>
  <si>
    <t>15B405 C/O Tumbler RH</t>
  </si>
  <si>
    <t>51635197</t>
  </si>
  <si>
    <t>20853275</t>
  </si>
  <si>
    <t>5120710</t>
  </si>
  <si>
    <t>TRACK ASSEMBLY;CAT;4</t>
  </si>
  <si>
    <t>275768</t>
  </si>
  <si>
    <t>15H402 C/O Track Shoes LH</t>
  </si>
  <si>
    <t>51430308</t>
  </si>
  <si>
    <t>STRU .TFLH.TRAC</t>
  </si>
  <si>
    <t>4170 - TRACK ASSEMBLY</t>
  </si>
  <si>
    <t>15H402 C/O Track Shoes RH</t>
  </si>
  <si>
    <t>51430309</t>
  </si>
  <si>
    <t>STRU .TFRH.TRAC</t>
  </si>
  <si>
    <t>20671912</t>
  </si>
  <si>
    <t>4777938</t>
  </si>
  <si>
    <t>ROLLER;CAT;477-7938</t>
  </si>
  <si>
    <t>255604</t>
  </si>
  <si>
    <t>15B290 C/O Load Rollers LH</t>
  </si>
  <si>
    <t>51368662</t>
  </si>
  <si>
    <t>15B290 C/O Load Rollers RH</t>
  </si>
  <si>
    <t>51368663</t>
  </si>
  <si>
    <t>15B405 C/O Load Rollers LH</t>
  </si>
  <si>
    <t>51635144</t>
  </si>
  <si>
    <t>15B405 C/O Load Rollers RH</t>
  </si>
  <si>
    <t>51635145</t>
  </si>
  <si>
    <t>20837729</t>
  </si>
  <si>
    <t>4715894</t>
  </si>
  <si>
    <t>MOTOR;CAT;4715894</t>
  </si>
  <si>
    <t>255581</t>
  </si>
  <si>
    <t>15B290 C/O Travel Motor LHF</t>
  </si>
  <si>
    <t>51368776</t>
  </si>
  <si>
    <t>15B290 C/O Travel Motor LHR</t>
  </si>
  <si>
    <t>51368777</t>
  </si>
  <si>
    <t>15B290 C/O Travel Motor RHF</t>
  </si>
  <si>
    <t>51368754</t>
  </si>
  <si>
    <t>15B290 C/O Travel Motor RHR</t>
  </si>
  <si>
    <t>51368778</t>
  </si>
  <si>
    <t>15B405 C/O Travel Motor LHF</t>
  </si>
  <si>
    <t>51635192</t>
  </si>
  <si>
    <t>15B405 C/O Travel Motor LHR</t>
  </si>
  <si>
    <t>51635193</t>
  </si>
  <si>
    <t>15B405 C/O Travel Motor RHF</t>
  </si>
  <si>
    <t>51635194</t>
  </si>
  <si>
    <t>15B405 C/O Travel Motor RHR</t>
  </si>
  <si>
    <t>51635195</t>
  </si>
  <si>
    <t>255597</t>
  </si>
  <si>
    <t>15H402 C/O Main Control Valve LH Lower</t>
  </si>
  <si>
    <t>51216745</t>
  </si>
  <si>
    <t>MYHD .VALV.MCLL</t>
  </si>
  <si>
    <t>5051 - HYDRAULIC CONTROL VALVE</t>
  </si>
  <si>
    <t>15H402 C/O Main Control Valve LH Upper</t>
  </si>
  <si>
    <t>51216746</t>
  </si>
  <si>
    <t>MYHD .VALV.MCLU</t>
  </si>
  <si>
    <t>255598</t>
  </si>
  <si>
    <t>15H402 C/O Main Control Valve RH Lower</t>
  </si>
  <si>
    <t>51216747</t>
  </si>
  <si>
    <t>MYHD .VALV.MCRL</t>
  </si>
  <si>
    <t>15H402 C/O Main Control Valve RH Upper</t>
  </si>
  <si>
    <t>51216748</t>
  </si>
  <si>
    <t>MYHD .VALV.MCRU</t>
  </si>
  <si>
    <t>21037522</t>
  </si>
  <si>
    <t>5074247X</t>
  </si>
  <si>
    <t>JOINT SWVL;CAT;50742</t>
  </si>
  <si>
    <t>255593</t>
  </si>
  <si>
    <t>15B290 C/O Centre Joint</t>
  </si>
  <si>
    <t>51367618</t>
  </si>
  <si>
    <t>15B405 C/O Centre Joint</t>
  </si>
  <si>
    <t>51635125</t>
  </si>
  <si>
    <t>20704398</t>
  </si>
  <si>
    <t>20R2022</t>
  </si>
  <si>
    <t>SWING FEED PUMP;CAT;</t>
  </si>
  <si>
    <t>255587</t>
  </si>
  <si>
    <t>15H402 C/O Replenishing Pump No 1 LH</t>
  </si>
  <si>
    <t>51216706</t>
  </si>
  <si>
    <t>255586</t>
  </si>
  <si>
    <t>15H402 C/O Replenishing Pump No 2 RH</t>
  </si>
  <si>
    <t>51216707</t>
  </si>
  <si>
    <t>15B405 C/O Replenishing Pump No 1 LH</t>
  </si>
  <si>
    <t>51635173</t>
  </si>
  <si>
    <t>15B290 C/O Replenishing Pump No 2 RH</t>
  </si>
  <si>
    <t>51368766</t>
  </si>
  <si>
    <t>20323919</t>
  </si>
  <si>
    <t>20R2009</t>
  </si>
  <si>
    <t>PUMP;MAIN;RH340;CAT;</t>
  </si>
  <si>
    <t>255584</t>
  </si>
  <si>
    <t>15B290 C/O Main Hydraulic Pump No 1</t>
  </si>
  <si>
    <t>51368718</t>
  </si>
  <si>
    <t>15B290 C/O Main Hydraulic Pump 1 &amp; 2</t>
  </si>
  <si>
    <t>15B290 C/O Main Hydraulic Pump No 2</t>
  </si>
  <si>
    <t>51368721</t>
  </si>
  <si>
    <t>15B290 C/O Main Hydraulic Pump 3 &amp; 4</t>
  </si>
  <si>
    <t>15B290 C/O Main Hydraulic Pump No 3</t>
  </si>
  <si>
    <t>51368719</t>
  </si>
  <si>
    <t>15B290 C/O Main Hydraulic Pump 5 &amp; 6</t>
  </si>
  <si>
    <t>15B290 C/O Main Hydraulic Pump No 4</t>
  </si>
  <si>
    <t>51368722</t>
  </si>
  <si>
    <t>15B290 C/O Main Hydraulic Pump 7 &amp; 8</t>
  </si>
  <si>
    <t>15B405 C/O Main Hydraulic Pump No 1</t>
  </si>
  <si>
    <t>51635151</t>
  </si>
  <si>
    <t>15B405 C/O Main Hydraulic Pump 1 &amp; 2</t>
  </si>
  <si>
    <t>15B405 C/O Main Hydraulic Pump No 2</t>
  </si>
  <si>
    <t>51635152</t>
  </si>
  <si>
    <t>15B405 C/O Main Hydraulic Pump 3 &amp; 4</t>
  </si>
  <si>
    <t>15B405 C/O Main Hydraulic Pump No 3</t>
  </si>
  <si>
    <t>51635153</t>
  </si>
  <si>
    <t>15B405 C/O Main Hydraulic Pump 5 &amp; 6</t>
  </si>
  <si>
    <t>15B405 C/O Main Hydraulic Pump No 4</t>
  </si>
  <si>
    <t>51635154</t>
  </si>
  <si>
    <t>15B405 C/O Main Hydraulic Pump 7 &amp; 8</t>
  </si>
  <si>
    <t>40548396</t>
  </si>
  <si>
    <t>4715778</t>
  </si>
  <si>
    <t>PUMP;CAT;4715778</t>
  </si>
  <si>
    <t>255591</t>
  </si>
  <si>
    <t>15B290 C/O Pilot Pump LH No 1</t>
  </si>
  <si>
    <t>51368760</t>
  </si>
  <si>
    <t>15B290 C/O Pilot Pump LH No 2</t>
  </si>
  <si>
    <t>51368761</t>
  </si>
  <si>
    <t>MYHD .PUMP.PPL2</t>
  </si>
  <si>
    <t>15B290 C/O Pilot Pump RH No 1</t>
  </si>
  <si>
    <t>51368745</t>
  </si>
  <si>
    <t>15B290 C/O Pilot Pump RH No 2</t>
  </si>
  <si>
    <t>51368762</t>
  </si>
  <si>
    <t>MYHD .PUMP.PPR2</t>
  </si>
  <si>
    <t>21008424</t>
  </si>
  <si>
    <t>4869962X</t>
  </si>
  <si>
    <t>CYLINDER HYD;CAT;486</t>
  </si>
  <si>
    <t>255572</t>
  </si>
  <si>
    <t>15B290 C/O Boom Cylinder LH</t>
  </si>
  <si>
    <t>51367538</t>
  </si>
  <si>
    <t>15B290 C/O Boom Cylinder RH</t>
  </si>
  <si>
    <t>51367614</t>
  </si>
  <si>
    <t>15B405 C/O Boom Cylinder RH</t>
  </si>
  <si>
    <t>51635120</t>
  </si>
  <si>
    <t>15B405 C/O Boom Cylinder LH</t>
  </si>
  <si>
    <t>51635099</t>
  </si>
  <si>
    <t>20997628</t>
  </si>
  <si>
    <t>5881455X</t>
  </si>
  <si>
    <t>CYLINDER BUCKET;SX;C</t>
  </si>
  <si>
    <t>255574</t>
  </si>
  <si>
    <t>15B290 C/O Bucket Cylinder LH</t>
  </si>
  <si>
    <t>51367615</t>
  </si>
  <si>
    <t>15B290 C/O Bucket Cylinder RH</t>
  </si>
  <si>
    <t>51368708</t>
  </si>
  <si>
    <t>15B405 C/O Bucket Cylinder RH</t>
  </si>
  <si>
    <t>51635122</t>
  </si>
  <si>
    <t>15B405 C/O Bucket Cylinder LH</t>
  </si>
  <si>
    <t>51635121</t>
  </si>
  <si>
    <t>20972721</t>
  </si>
  <si>
    <t>5039745X</t>
  </si>
  <si>
    <t>CYLINDER;ARM;SX;335m</t>
  </si>
  <si>
    <t>255573</t>
  </si>
  <si>
    <t>15B290 C/O Arm Cylinder LH</t>
  </si>
  <si>
    <t>51367527</t>
  </si>
  <si>
    <t>15B290 C/O Arm Cylinder RH</t>
  </si>
  <si>
    <t>51367528</t>
  </si>
  <si>
    <t>15B405 C/O Arm Cylinder LH</t>
  </si>
  <si>
    <t>51635094</t>
  </si>
  <si>
    <t>15B405 C/O Arm Cylinder RH</t>
  </si>
  <si>
    <t>51635095</t>
  </si>
  <si>
    <t>20833952</t>
  </si>
  <si>
    <t>4780706X</t>
  </si>
  <si>
    <t>TRANSMISSION;SWING D</t>
  </si>
  <si>
    <t>255606</t>
  </si>
  <si>
    <t>15B290 C/O Swing Transmission LHF</t>
  </si>
  <si>
    <t>51368751</t>
  </si>
  <si>
    <t>TRAN .SWTR.STLF</t>
  </si>
  <si>
    <t>15B290 C/O Swing Transmission LHR</t>
  </si>
  <si>
    <t>51368773</t>
  </si>
  <si>
    <t>15B290 C/O Swing Transmission RHF</t>
  </si>
  <si>
    <t>51368774</t>
  </si>
  <si>
    <t>TRAN .SWTR.STRF</t>
  </si>
  <si>
    <t>15B290 C/O Swing Transmission RHR</t>
  </si>
  <si>
    <t>51368752</t>
  </si>
  <si>
    <t>15B405 C/O Swing Transmission LHF</t>
  </si>
  <si>
    <t>51635184</t>
  </si>
  <si>
    <t>15B405 C/O Swing Transmission LHR</t>
  </si>
  <si>
    <t>51635185</t>
  </si>
  <si>
    <t>15B405 C/O Swing Transmission RHF</t>
  </si>
  <si>
    <t>51635186</t>
  </si>
  <si>
    <t>15B405 C/O Swing Transmission RHR</t>
  </si>
  <si>
    <t>51635187</t>
  </si>
  <si>
    <t>20704397</t>
  </si>
  <si>
    <t>20R2012</t>
  </si>
  <si>
    <t>SWING PUMP;CAT;20R20</t>
  </si>
  <si>
    <t>255585</t>
  </si>
  <si>
    <t>15B290 C/O Swing Pump No 1</t>
  </si>
  <si>
    <t>51368770</t>
  </si>
  <si>
    <t>MYHD .PUMP.SP01</t>
  </si>
  <si>
    <t>15B290 C/O Swing Pump No 2</t>
  </si>
  <si>
    <t>51368750</t>
  </si>
  <si>
    <t>MYHD .PUMP.SP02</t>
  </si>
  <si>
    <t>15B290 C/O Swing Pump No 3</t>
  </si>
  <si>
    <t>51368771</t>
  </si>
  <si>
    <t>MYHD .PUMP.SP03</t>
  </si>
  <si>
    <t>P03 - P03</t>
  </si>
  <si>
    <t>15B290 C/O Swing Pump No 4</t>
  </si>
  <si>
    <t>51368772</t>
  </si>
  <si>
    <t>MYHD .PUMP.SP04</t>
  </si>
  <si>
    <t>P04 - P04</t>
  </si>
  <si>
    <t>15B405 C/O Swing Pump No 1</t>
  </si>
  <si>
    <t>51635180</t>
  </si>
  <si>
    <t>15B405 C/O Swing Pump No 2</t>
  </si>
  <si>
    <t>51635181</t>
  </si>
  <si>
    <t>15B405 C/O Swing Pump No 3</t>
  </si>
  <si>
    <t>51635182</t>
  </si>
  <si>
    <t>15B405 C/O Swing Pump No 4</t>
  </si>
  <si>
    <t>51635183</t>
  </si>
  <si>
    <t>255571</t>
  </si>
  <si>
    <t>15B290 C/O Auto Lube Pump Front</t>
  </si>
  <si>
    <t>51508499</t>
  </si>
  <si>
    <t>PUMP,LUBE;CAT;505246</t>
  </si>
  <si>
    <t>15B405 C/O Auto Lube Pump Front</t>
  </si>
  <si>
    <t>51635097</t>
  </si>
  <si>
    <t>255580</t>
  </si>
  <si>
    <t>15B290 C/O Swing Motor LHF</t>
  </si>
  <si>
    <t>51368767</t>
  </si>
  <si>
    <t>MYHD .MOTO.SMLF</t>
  </si>
  <si>
    <t>15B290 C/O Swing Motor LHR</t>
  </si>
  <si>
    <t>51368768</t>
  </si>
  <si>
    <t>15B290 C/O Swing Motor RHF</t>
  </si>
  <si>
    <t>51368749</t>
  </si>
  <si>
    <t>MYHD .MOTO.SMRF</t>
  </si>
  <si>
    <t>15B290 C/O Swing Motor RHR</t>
  </si>
  <si>
    <t>51368769</t>
  </si>
  <si>
    <t>MOTOR,HYDRAULIC;CAT;</t>
  </si>
  <si>
    <t>15B405 C/O Swing Motor LHF</t>
  </si>
  <si>
    <t>51635176</t>
  </si>
  <si>
    <t>15B405 C/O Swing Motor LHR</t>
  </si>
  <si>
    <t>51635177</t>
  </si>
  <si>
    <t>15B405 C/O Swing Motor RHF</t>
  </si>
  <si>
    <t>51635178</t>
  </si>
  <si>
    <t>15B405 C/O Swing Motor RHR</t>
  </si>
  <si>
    <t>51635179</t>
  </si>
  <si>
    <t>20853244</t>
  </si>
  <si>
    <t>20R2014</t>
  </si>
  <si>
    <t>255647</t>
  </si>
  <si>
    <t>15B290 C/O Engine LH Cooling Fan Motor</t>
  </si>
  <si>
    <t>51368356</t>
  </si>
  <si>
    <t>89CS - ENGINE FAN MOTOR</t>
  </si>
  <si>
    <t>15B290 C/O Engine RH Cooling Fan Motor</t>
  </si>
  <si>
    <t>51368641</t>
  </si>
  <si>
    <t>15B405 C/O Engine LH Cooling Fan Motor</t>
  </si>
  <si>
    <t>51635130</t>
  </si>
  <si>
    <t>15B405 C/O Engine RH Cooling Fan Motor</t>
  </si>
  <si>
    <t>51635134</t>
  </si>
  <si>
    <t>16H</t>
  </si>
  <si>
    <t>ATS00620</t>
  </si>
  <si>
    <t>264989</t>
  </si>
  <si>
    <t>12R0039 Engine</t>
  </si>
  <si>
    <t>51340405</t>
  </si>
  <si>
    <t>12R0039 C/O Engine</t>
  </si>
  <si>
    <t>ATS00740</t>
  </si>
  <si>
    <t>20116546</t>
  </si>
  <si>
    <t>10R0759</t>
  </si>
  <si>
    <t>5007476</t>
  </si>
  <si>
    <t>12D1 Engine</t>
  </si>
  <si>
    <t>50261820</t>
  </si>
  <si>
    <t>12D1 C/O Turbocharger</t>
  </si>
  <si>
    <t>40722867</t>
  </si>
  <si>
    <t>20R0056</t>
  </si>
  <si>
    <t>INJECTOR;RM;CAT;20R-</t>
  </si>
  <si>
    <t>5007482</t>
  </si>
  <si>
    <t>50261822</t>
  </si>
  <si>
    <t>12D1 C/O Fuel Injectors</t>
  </si>
  <si>
    <t>40722876</t>
  </si>
  <si>
    <t>0R0705</t>
  </si>
  <si>
    <t>PUMP,WATER;RM;CAT;0R</t>
  </si>
  <si>
    <t>5007485</t>
  </si>
  <si>
    <t>50564427</t>
  </si>
  <si>
    <t>12R0039 C/O Water Pump Main</t>
  </si>
  <si>
    <t>50261821</t>
  </si>
  <si>
    <t>12D1 C/O Water Pump</t>
  </si>
  <si>
    <t>ATS00770</t>
  </si>
  <si>
    <t>5054075</t>
  </si>
  <si>
    <t>12R06 C/O Differential</t>
  </si>
  <si>
    <t>50049572</t>
  </si>
  <si>
    <t>40508036</t>
  </si>
  <si>
    <t>8D1690F</t>
  </si>
  <si>
    <t>BRAKE,SUPPLY SX;CAT;</t>
  </si>
  <si>
    <t>183846</t>
  </si>
  <si>
    <t>12R0039 C/O Brake LHR</t>
  </si>
  <si>
    <t>50057001</t>
  </si>
  <si>
    <t>BRAK .SEBR.SB03</t>
  </si>
  <si>
    <t>12R0039 C/O Brake RHF</t>
  </si>
  <si>
    <t>50056969</t>
  </si>
  <si>
    <t>BRAK .SEBR.SB02</t>
  </si>
  <si>
    <t>12R0039 C/O Brake RHR</t>
  </si>
  <si>
    <t>50054871</t>
  </si>
  <si>
    <t>BRAK .SEBR.SB04</t>
  </si>
  <si>
    <t>12R06 C/O Brake LHF</t>
  </si>
  <si>
    <t>51146500</t>
  </si>
  <si>
    <t>BRAK .SEBR.SB01</t>
  </si>
  <si>
    <t>ATS77002</t>
  </si>
  <si>
    <t>BRAKE;SUPPLY SX;CAT;</t>
  </si>
  <si>
    <t>12H1981 C/O Brake LHF</t>
  </si>
  <si>
    <t>50333860</t>
  </si>
  <si>
    <t>12H1981 C/O Brake LHR</t>
  </si>
  <si>
    <t>50333862</t>
  </si>
  <si>
    <t>12H1981 C/O Brake RHF</t>
  </si>
  <si>
    <t>50333861</t>
  </si>
  <si>
    <t>12H1981 C/O Brake RHR</t>
  </si>
  <si>
    <t>50333863</t>
  </si>
  <si>
    <t>20102792</t>
  </si>
  <si>
    <t>5T7158F</t>
  </si>
  <si>
    <t>FINAL DRIVE ASSEMBLY;CAT;5T-7158F/485</t>
  </si>
  <si>
    <t>124752</t>
  </si>
  <si>
    <t>12D1 C/O Final Drive LH</t>
  </si>
  <si>
    <t>51083317</t>
  </si>
  <si>
    <t>FDRV .AXAR.FDLH</t>
  </si>
  <si>
    <t>12D1 C/O Final Drive RH</t>
  </si>
  <si>
    <t>51083318</t>
  </si>
  <si>
    <t>FDRV .AXAR.FDRH</t>
  </si>
  <si>
    <t>12H1981 C/O Final Drive RH</t>
  </si>
  <si>
    <t>50256807</t>
  </si>
  <si>
    <t>5054090</t>
  </si>
  <si>
    <t>12D1 C/O Steering Cylinder LH</t>
  </si>
  <si>
    <t>50101549</t>
  </si>
  <si>
    <t>5054091</t>
  </si>
  <si>
    <t>12D1 C/O Steering Cylinder RH</t>
  </si>
  <si>
    <t>50101367</t>
  </si>
  <si>
    <t>266986</t>
  </si>
  <si>
    <t>12D1 Axle Assembly Front</t>
  </si>
  <si>
    <t>51356690</t>
  </si>
  <si>
    <t>12D1 C/O Axle Assembly Front</t>
  </si>
  <si>
    <t>40368863</t>
  </si>
  <si>
    <t>9T8944F</t>
  </si>
  <si>
    <t>CYLINDER;SX;CAT;9T-8</t>
  </si>
  <si>
    <t>5054082</t>
  </si>
  <si>
    <t>12R0039 C/O Blade Tilt Cylinder</t>
  </si>
  <si>
    <t>50049630</t>
  </si>
  <si>
    <t>40289853</t>
  </si>
  <si>
    <t>DRIVE;CAT;5T1740X</t>
  </si>
  <si>
    <t>142781</t>
  </si>
  <si>
    <t>12D1 C/O Circle Drive Gearbox</t>
  </si>
  <si>
    <t>50364540</t>
  </si>
  <si>
    <t>40724879</t>
  </si>
  <si>
    <t>1219244</t>
  </si>
  <si>
    <t>CYLINDER;CAT;1219244</t>
  </si>
  <si>
    <t>5054092</t>
  </si>
  <si>
    <t>12R0039 C/O Wheel Lean Cylinder</t>
  </si>
  <si>
    <t>51716149</t>
  </si>
  <si>
    <t>MYHD .CYLI.WHLE</t>
  </si>
  <si>
    <t>5211 - WHEEL LEAN CYLINDER</t>
  </si>
  <si>
    <t>5054084</t>
  </si>
  <si>
    <t>12D1 C/O Articulation Cylinder LH</t>
  </si>
  <si>
    <t>50101210</t>
  </si>
  <si>
    <t>12D1 C/O Articulation Cylinder RH</t>
  </si>
  <si>
    <t>50101211</t>
  </si>
  <si>
    <t>5054086</t>
  </si>
  <si>
    <t>12D1 C/O Blade Sideshift Cylinder</t>
  </si>
  <si>
    <t>50101366</t>
  </si>
  <si>
    <t>16M</t>
  </si>
  <si>
    <t>B9H00589</t>
  </si>
  <si>
    <t>21198556</t>
  </si>
  <si>
    <t>2310876F</t>
  </si>
  <si>
    <t>ENGINE;ASSY;13L;6;CA</t>
  </si>
  <si>
    <t>5006000</t>
  </si>
  <si>
    <t>12H130 Engine</t>
  </si>
  <si>
    <t>50839940</t>
  </si>
  <si>
    <t>12H130 C/O Engine</t>
  </si>
  <si>
    <t>R9H00306</t>
  </si>
  <si>
    <t>20260945</t>
  </si>
  <si>
    <t>10R9966</t>
  </si>
  <si>
    <t>ENGINE ASSEMBLY;RM;C</t>
  </si>
  <si>
    <t>145730</t>
  </si>
  <si>
    <t>12D09 Engine</t>
  </si>
  <si>
    <t>50343985</t>
  </si>
  <si>
    <t>12D09 C/O Engine</t>
  </si>
  <si>
    <t>R9H00872</t>
  </si>
  <si>
    <t>12H423 Engine</t>
  </si>
  <si>
    <t>50616677</t>
  </si>
  <si>
    <t>12H423 C/O Engine</t>
  </si>
  <si>
    <t>B9H00404</t>
  </si>
  <si>
    <t>20116547</t>
  </si>
  <si>
    <t>10R3597</t>
  </si>
  <si>
    <t>TURBOCHARGER;CAT;10R</t>
  </si>
  <si>
    <t>5006045</t>
  </si>
  <si>
    <t>12D3 Engine</t>
  </si>
  <si>
    <t>50223276</t>
  </si>
  <si>
    <t>12D3 C/O Turbocharger</t>
  </si>
  <si>
    <t>145772</t>
  </si>
  <si>
    <t>50343987</t>
  </si>
  <si>
    <t>12D09 C/O Turbocharger</t>
  </si>
  <si>
    <t>313991</t>
  </si>
  <si>
    <t>51565751</t>
  </si>
  <si>
    <t>12D3 C/O Fuel Injectors</t>
  </si>
  <si>
    <t>R9H00702</t>
  </si>
  <si>
    <t>145744</t>
  </si>
  <si>
    <t>12H406 Engine</t>
  </si>
  <si>
    <t>50626178</t>
  </si>
  <si>
    <t>12H406 C/O Fuel Injectors</t>
  </si>
  <si>
    <t>21156710</t>
  </si>
  <si>
    <t>2497363F</t>
  </si>
  <si>
    <t>RADIATOR;ASSY;COOLIN</t>
  </si>
  <si>
    <t>5006049</t>
  </si>
  <si>
    <t>12H130 C/O Engine Radiator Module</t>
  </si>
  <si>
    <t>50327197</t>
  </si>
  <si>
    <t>1350 - ENGINE COOLING SYSTEM</t>
  </si>
  <si>
    <t>145776</t>
  </si>
  <si>
    <t>12H423 C/O Engine Radiator Module</t>
  </si>
  <si>
    <t>50616806</t>
  </si>
  <si>
    <t>20040966</t>
  </si>
  <si>
    <t>20R9976</t>
  </si>
  <si>
    <t>PUMP;ENGINE COOLANT;</t>
  </si>
  <si>
    <t>5006050</t>
  </si>
  <si>
    <t>50223278</t>
  </si>
  <si>
    <t>12D3 C/O Water Pump Main</t>
  </si>
  <si>
    <t>145777</t>
  </si>
  <si>
    <t>50343989</t>
  </si>
  <si>
    <t>12D09 C/O Water Pump Main</t>
  </si>
  <si>
    <t>20052086</t>
  </si>
  <si>
    <t>2538407X</t>
  </si>
  <si>
    <t>TRANSMISSION ASSY;SX</t>
  </si>
  <si>
    <t>5006065</t>
  </si>
  <si>
    <t>12D3 C/O Transmission</t>
  </si>
  <si>
    <t>50149836</t>
  </si>
  <si>
    <t>20235825</t>
  </si>
  <si>
    <t>10R9504</t>
  </si>
  <si>
    <t>TRANSMISSION;RM;CAT;</t>
  </si>
  <si>
    <t>145787</t>
  </si>
  <si>
    <t>12D09 C/O Transmission</t>
  </si>
  <si>
    <t>50344121</t>
  </si>
  <si>
    <t>R9H00871</t>
  </si>
  <si>
    <t>20627862</t>
  </si>
  <si>
    <t>20R4816</t>
  </si>
  <si>
    <t>208533</t>
  </si>
  <si>
    <t>12H452 C/O Transmission</t>
  </si>
  <si>
    <t>50626148</t>
  </si>
  <si>
    <t>20138636</t>
  </si>
  <si>
    <t>2845026X</t>
  </si>
  <si>
    <t>AXLE,REAR;SX;CAT;284</t>
  </si>
  <si>
    <t>5006066</t>
  </si>
  <si>
    <t>12H130 C/O Differential &amp; Final Drives</t>
  </si>
  <si>
    <t>50284348</t>
  </si>
  <si>
    <t>AXLE;REAR;SX;CAT;284</t>
  </si>
  <si>
    <t>145789</t>
  </si>
  <si>
    <t>12D09 C/O Differential &amp; Final Drives</t>
  </si>
  <si>
    <t>50344055</t>
  </si>
  <si>
    <t>20987333</t>
  </si>
  <si>
    <t>20R9994</t>
  </si>
  <si>
    <t>WHEEL;CAT;20R9994</t>
  </si>
  <si>
    <t>143375</t>
  </si>
  <si>
    <t>12D3 C/O Brake LHF</t>
  </si>
  <si>
    <t>50282912</t>
  </si>
  <si>
    <t>BRAK .SEBR.BLTF</t>
  </si>
  <si>
    <t>12D3 C/O Brake RHF</t>
  </si>
  <si>
    <t>50282883</t>
  </si>
  <si>
    <t>BRAK .SEBR.BRTF</t>
  </si>
  <si>
    <t>143376</t>
  </si>
  <si>
    <t>12D3 C/O Brake RHR</t>
  </si>
  <si>
    <t>50282911</t>
  </si>
  <si>
    <t>BRAK .SEBR.BRTR</t>
  </si>
  <si>
    <t>12D3 C/O Brake LHR</t>
  </si>
  <si>
    <t>50282884</t>
  </si>
  <si>
    <t>BRAK .SEBR.BLTR</t>
  </si>
  <si>
    <t>145727</t>
  </si>
  <si>
    <t>12D09 C/O Brake LHF</t>
  </si>
  <si>
    <t>50344016</t>
  </si>
  <si>
    <t>145728</t>
  </si>
  <si>
    <t>12D09 C/O Brake LHR</t>
  </si>
  <si>
    <t>50344018</t>
  </si>
  <si>
    <t>12D09 C/O Brake RHF</t>
  </si>
  <si>
    <t>50344020</t>
  </si>
  <si>
    <t>12D09 C/O Brake RHR</t>
  </si>
  <si>
    <t>50344022</t>
  </si>
  <si>
    <t>B9H00314</t>
  </si>
  <si>
    <t>5006013</t>
  </si>
  <si>
    <t>12H207 C/O Steering Cylinder LH</t>
  </si>
  <si>
    <t>50149894</t>
  </si>
  <si>
    <t>12H207 C/O Steering Cylinder RH</t>
  </si>
  <si>
    <t>50149895</t>
  </si>
  <si>
    <t>145751</t>
  </si>
  <si>
    <t>12D09 C/O Steering Cylinder LH</t>
  </si>
  <si>
    <t>50344093</t>
  </si>
  <si>
    <t>12D09 C/O Steering Cylinder RH</t>
  </si>
  <si>
    <t>50344095</t>
  </si>
  <si>
    <t>266985</t>
  </si>
  <si>
    <t>12H130 Axle Assembly Front</t>
  </si>
  <si>
    <t>51356698</t>
  </si>
  <si>
    <t>12H130 C/O Axle Assembly Front</t>
  </si>
  <si>
    <t>266987</t>
  </si>
  <si>
    <t>12D09 Axle Assembly Front</t>
  </si>
  <si>
    <t>51360418</t>
  </si>
  <si>
    <t>12D09 C/O Axle Assembly Front</t>
  </si>
  <si>
    <t>B9H00192</t>
  </si>
  <si>
    <t>20246199</t>
  </si>
  <si>
    <t>20R0010</t>
  </si>
  <si>
    <t>PUMP,HYDRAULIC;RM;CA</t>
  </si>
  <si>
    <t>5006010</t>
  </si>
  <si>
    <t>12H206 C/O Implement Pump</t>
  </si>
  <si>
    <t>50149866</t>
  </si>
  <si>
    <t>PUMP;HYDRAULIC;RM;CA</t>
  </si>
  <si>
    <t>145746</t>
  </si>
  <si>
    <t>12D09 C/O Implement Pump</t>
  </si>
  <si>
    <t>50344084</t>
  </si>
  <si>
    <t>5006003</t>
  </si>
  <si>
    <t>12D3 C/O Blade Tilt Cylinder</t>
  </si>
  <si>
    <t>50149828</t>
  </si>
  <si>
    <t>145735</t>
  </si>
  <si>
    <t>12D09 C/O Blade Tilt Cylinder</t>
  </si>
  <si>
    <t>50344014</t>
  </si>
  <si>
    <t>B9H00182</t>
  </si>
  <si>
    <t>5006002</t>
  </si>
  <si>
    <t>12R08 C/O Blade Lift Cylinder RH</t>
  </si>
  <si>
    <t>50098004</t>
  </si>
  <si>
    <t>12H130 C/O Blade Lift Cylinder LH</t>
  </si>
  <si>
    <t>50284332</t>
  </si>
  <si>
    <t>R9H00485</t>
  </si>
  <si>
    <t>145734</t>
  </si>
  <si>
    <t>12H412 C/O Blade Lift Cylinder LH</t>
  </si>
  <si>
    <t>50404931</t>
  </si>
  <si>
    <t>12H423 C/O Blade Lift Cylinder RH</t>
  </si>
  <si>
    <t>50616790</t>
  </si>
  <si>
    <t>145692</t>
  </si>
  <si>
    <t>12H206 C/O Circle Drive Gearbox</t>
  </si>
  <si>
    <t>50195925</t>
  </si>
  <si>
    <t>12D09 C/O Circle Drive Gearbox</t>
  </si>
  <si>
    <t>50344127</t>
  </si>
  <si>
    <t>5006016</t>
  </si>
  <si>
    <t>12D3 C/O Wheel Lean Cylinder</t>
  </si>
  <si>
    <t>50149832</t>
  </si>
  <si>
    <t>145754</t>
  </si>
  <si>
    <t>12D09 C/O Wheel Lean Cylinder</t>
  </si>
  <si>
    <t>50344125</t>
  </si>
  <si>
    <t>B9H00156</t>
  </si>
  <si>
    <t>5006004</t>
  </si>
  <si>
    <t>12R07 C/O Centreshift Cylinder</t>
  </si>
  <si>
    <t>50065094</t>
  </si>
  <si>
    <t>145737</t>
  </si>
  <si>
    <t>12H423 C/O Centreshift Cylinder</t>
  </si>
  <si>
    <t>50616797</t>
  </si>
  <si>
    <t>150844</t>
  </si>
  <si>
    <t>12R07 C/O Articulation Cylinder RH</t>
  </si>
  <si>
    <t>50096775</t>
  </si>
  <si>
    <t>5006001</t>
  </si>
  <si>
    <t>12R07 C/O Articulation Cylinder LH</t>
  </si>
  <si>
    <t>50097855</t>
  </si>
  <si>
    <t>145732</t>
  </si>
  <si>
    <t>12D09 C/O Articulation Cylinder LH</t>
  </si>
  <si>
    <t>50344005</t>
  </si>
  <si>
    <t>150839</t>
  </si>
  <si>
    <t>12D09 C/O Articulation Cylinder RH</t>
  </si>
  <si>
    <t>50344006</t>
  </si>
  <si>
    <t>5006011</t>
  </si>
  <si>
    <t>12H130 C/O Ripper Lift Cylinder</t>
  </si>
  <si>
    <t>50284357</t>
  </si>
  <si>
    <t>145749</t>
  </si>
  <si>
    <t>12D09 C/O Ripper Lift Cylinder</t>
  </si>
  <si>
    <t>50344089</t>
  </si>
  <si>
    <t>5006012</t>
  </si>
  <si>
    <t>12H207 C/O Blade Sideshift Cylinder</t>
  </si>
  <si>
    <t>50149889</t>
  </si>
  <si>
    <t>R9H00310</t>
  </si>
  <si>
    <t>145750</t>
  </si>
  <si>
    <t>12D11 C/O Blade Sideshift Cylinder</t>
  </si>
  <si>
    <t>50344139</t>
  </si>
  <si>
    <t>24H</t>
  </si>
  <si>
    <t>7KK00327</t>
  </si>
  <si>
    <t>256897</t>
  </si>
  <si>
    <t>12R05 Engine</t>
  </si>
  <si>
    <t>51222680</t>
  </si>
  <si>
    <t>12R05 C/O Engine</t>
  </si>
  <si>
    <t>40559959</t>
  </si>
  <si>
    <t>0R7078</t>
  </si>
  <si>
    <t>256902</t>
  </si>
  <si>
    <t>51222685</t>
  </si>
  <si>
    <t>12R05 C/O Turbocharger</t>
  </si>
  <si>
    <t>40750146</t>
  </si>
  <si>
    <t>10R1266</t>
  </si>
  <si>
    <t>256900</t>
  </si>
  <si>
    <t>51222683</t>
  </si>
  <si>
    <t>12R05 C/O Fuel Injectors</t>
  </si>
  <si>
    <t>256903</t>
  </si>
  <si>
    <t>51222686</t>
  </si>
  <si>
    <t>12R05 C/O Water Pump Main</t>
  </si>
  <si>
    <t>5054290</t>
  </si>
  <si>
    <t>12R05 C/O Transmission</t>
  </si>
  <si>
    <t>50116776</t>
  </si>
  <si>
    <t>5054289</t>
  </si>
  <si>
    <t>12R05 C/O Torque Converter</t>
  </si>
  <si>
    <t>50116777</t>
  </si>
  <si>
    <t>40508175</t>
  </si>
  <si>
    <t>2739007X</t>
  </si>
  <si>
    <t>5054291</t>
  </si>
  <si>
    <t>12R05 C/O Differential &amp; Bevel Gear</t>
  </si>
  <si>
    <t>50116823</t>
  </si>
  <si>
    <t>12R05 C/O Differential</t>
  </si>
  <si>
    <t>20271017</t>
  </si>
  <si>
    <t>1659955X</t>
  </si>
  <si>
    <t>FINAL DRIVE;SX;CAT;1</t>
  </si>
  <si>
    <t>5058122</t>
  </si>
  <si>
    <t>12R05 C/O Final Drive LH</t>
  </si>
  <si>
    <t>50116824</t>
  </si>
  <si>
    <t>12R05 C/O Final Drive RH</t>
  </si>
  <si>
    <t>50116825</t>
  </si>
  <si>
    <t>20092927</t>
  </si>
  <si>
    <t>6058794</t>
  </si>
  <si>
    <t>CYLINDER ASSEMBLY;CA</t>
  </si>
  <si>
    <t>5058118</t>
  </si>
  <si>
    <t>12R05 C/O Blade Tilt Cylinder LH</t>
  </si>
  <si>
    <t>50116831</t>
  </si>
  <si>
    <t>12R05 C/O Blade Tilt Cylinder RH</t>
  </si>
  <si>
    <t>50116832</t>
  </si>
  <si>
    <t>40632568</t>
  </si>
  <si>
    <t>2656741X</t>
  </si>
  <si>
    <t>DRIVE ASSEMBLY;CIRCL</t>
  </si>
  <si>
    <t>142751</t>
  </si>
  <si>
    <t>12R05 C/O Circle Drive Gearbox Front</t>
  </si>
  <si>
    <t>50364460</t>
  </si>
  <si>
    <t>12R05 C/O Circle Drive Gearbox Rear</t>
  </si>
  <si>
    <t>50364461</t>
  </si>
  <si>
    <t>5058131</t>
  </si>
  <si>
    <t>12R05 C/O Wheel Lean Cylinder LH</t>
  </si>
  <si>
    <t>51215109</t>
  </si>
  <si>
    <t>MYHD .CYLI.WHLL</t>
  </si>
  <si>
    <t>12R05 C/O Wheel Lean Cylinder RH</t>
  </si>
  <si>
    <t>51215110</t>
  </si>
  <si>
    <t>MYHD .CYLI.WHLR</t>
  </si>
  <si>
    <t>5058116</t>
  </si>
  <si>
    <t>12R05 C/O Articulation Cylinder LH</t>
  </si>
  <si>
    <t>50116837</t>
  </si>
  <si>
    <t>12R05 C/O Articulation Cylinder RH</t>
  </si>
  <si>
    <t>50116838</t>
  </si>
  <si>
    <t>5058126</t>
  </si>
  <si>
    <t>12R05 C/O Ripper Lift Cylinder RH</t>
  </si>
  <si>
    <t>51215108</t>
  </si>
  <si>
    <t>MYHD .CYLI.RILR</t>
  </si>
  <si>
    <t>7KK00332</t>
  </si>
  <si>
    <t>5058127</t>
  </si>
  <si>
    <t>12H201 C/O Blade Sideshift Cylinder</t>
  </si>
  <si>
    <t>50116871</t>
  </si>
  <si>
    <t>24M</t>
  </si>
  <si>
    <t>B9300202</t>
  </si>
  <si>
    <t>20756735</t>
  </si>
  <si>
    <t>3991828X</t>
  </si>
  <si>
    <t>ENGINE;SX;CAT;399182</t>
  </si>
  <si>
    <t>210348</t>
  </si>
  <si>
    <t>12H446 Engine</t>
  </si>
  <si>
    <t>50901156</t>
  </si>
  <si>
    <t>12H446 C/O Engine</t>
  </si>
  <si>
    <t>B9K00429</t>
  </si>
  <si>
    <t>20342312</t>
  </si>
  <si>
    <t>2637760X</t>
  </si>
  <si>
    <t>ENGINE;CAT;2637760X</t>
  </si>
  <si>
    <t>137474</t>
  </si>
  <si>
    <t>12H227 Engine</t>
  </si>
  <si>
    <t>50346144</t>
  </si>
  <si>
    <t>12H227 C/O Engine</t>
  </si>
  <si>
    <t>20417833</t>
  </si>
  <si>
    <t>10R8964</t>
  </si>
  <si>
    <t>TURBO;RM;CAT;10R-896</t>
  </si>
  <si>
    <t>210383</t>
  </si>
  <si>
    <t>50901159</t>
  </si>
  <si>
    <t>12H446 C/O Turbocharger</t>
  </si>
  <si>
    <t>137497</t>
  </si>
  <si>
    <t>50346147</t>
  </si>
  <si>
    <t>12H227 C/O Turbocharger</t>
  </si>
  <si>
    <t>20040945</t>
  </si>
  <si>
    <t>10R3265</t>
  </si>
  <si>
    <t>210357</t>
  </si>
  <si>
    <t>50901157</t>
  </si>
  <si>
    <t>12H446 C/O Fuel Injectors</t>
  </si>
  <si>
    <t>137477</t>
  </si>
  <si>
    <t>50346145</t>
  </si>
  <si>
    <t>12H227 C/O Fuel Injectors</t>
  </si>
  <si>
    <t>20866342</t>
  </si>
  <si>
    <t>4370341F</t>
  </si>
  <si>
    <t>RADIATOR;CAT;4370341</t>
  </si>
  <si>
    <t>210350</t>
  </si>
  <si>
    <t>12H446 C/O Engine Radiator</t>
  </si>
  <si>
    <t>50901155</t>
  </si>
  <si>
    <t>137504</t>
  </si>
  <si>
    <t>12H227 C/O Engine Radiator</t>
  </si>
  <si>
    <t>50346114</t>
  </si>
  <si>
    <t>40748634</t>
  </si>
  <si>
    <t>10R0484</t>
  </si>
  <si>
    <t>210384</t>
  </si>
  <si>
    <t>50901160</t>
  </si>
  <si>
    <t>12H446 C/O Water Pump Main</t>
  </si>
  <si>
    <t>137499</t>
  </si>
  <si>
    <t>50346148</t>
  </si>
  <si>
    <t>12H227 C/O Water Pump Main</t>
  </si>
  <si>
    <t>20630548</t>
  </si>
  <si>
    <t>3742616X</t>
  </si>
  <si>
    <t>TRANSMISSION;CAT;374</t>
  </si>
  <si>
    <t>210381</t>
  </si>
  <si>
    <t>12H446 C/O Transmission</t>
  </si>
  <si>
    <t>50901182</t>
  </si>
  <si>
    <t>20342309</t>
  </si>
  <si>
    <t>2675245X</t>
  </si>
  <si>
    <t>137494</t>
  </si>
  <si>
    <t>12H227 C/O Transmission</t>
  </si>
  <si>
    <t>50345933</t>
  </si>
  <si>
    <t>20932928</t>
  </si>
  <si>
    <t>3923633X</t>
  </si>
  <si>
    <t>CONVERTER;TORQUE;SX;</t>
  </si>
  <si>
    <t>210380</t>
  </si>
  <si>
    <t>12H446 C/O Torque Converter</t>
  </si>
  <si>
    <t>50901181</t>
  </si>
  <si>
    <t>21074707</t>
  </si>
  <si>
    <t>2685675X</t>
  </si>
  <si>
    <t>CONVERTER TRQ;ASSY;C</t>
  </si>
  <si>
    <t>137493</t>
  </si>
  <si>
    <t>12H227 C/O Torque Converter</t>
  </si>
  <si>
    <t>50346392</t>
  </si>
  <si>
    <t>B9K00603</t>
  </si>
  <si>
    <t>137475</t>
  </si>
  <si>
    <t>12R421 C/O Final Drive LH</t>
  </si>
  <si>
    <t>50392525</t>
  </si>
  <si>
    <t>12R421 C/O Final Drive RH</t>
  </si>
  <si>
    <t>50392526</t>
  </si>
  <si>
    <t>21044879</t>
  </si>
  <si>
    <t>20R4839</t>
  </si>
  <si>
    <t>BRAKE;CAT;20R4839</t>
  </si>
  <si>
    <t>210335</t>
  </si>
  <si>
    <t>12H446 C/O Brake LHF</t>
  </si>
  <si>
    <t>50900438</t>
  </si>
  <si>
    <t>210336</t>
  </si>
  <si>
    <t>12H446 C/O Brake LHR</t>
  </si>
  <si>
    <t>50900439</t>
  </si>
  <si>
    <t>12H446 C/O Brake RHF</t>
  </si>
  <si>
    <t>50901140</t>
  </si>
  <si>
    <t>12H446 C/O Brake RHR</t>
  </si>
  <si>
    <t>50901141</t>
  </si>
  <si>
    <t>137502</t>
  </si>
  <si>
    <t>12H227 C/O Brake LHF</t>
  </si>
  <si>
    <t>50345838</t>
  </si>
  <si>
    <t>172547</t>
  </si>
  <si>
    <t>12H227 C/O Brake LHR</t>
  </si>
  <si>
    <t>50345880</t>
  </si>
  <si>
    <t>12H227 C/O Brake RHF</t>
  </si>
  <si>
    <t>50345839</t>
  </si>
  <si>
    <t>12H227 C/O Brake RHR</t>
  </si>
  <si>
    <t>50345881</t>
  </si>
  <si>
    <t>266988</t>
  </si>
  <si>
    <t>12H446 Axle Assembly Front</t>
  </si>
  <si>
    <t>51360428</t>
  </si>
  <si>
    <t>12H446 C/O Axle Assembly Front</t>
  </si>
  <si>
    <t>266984</t>
  </si>
  <si>
    <t>12H227 Axle Assembly Front</t>
  </si>
  <si>
    <t>51360442</t>
  </si>
  <si>
    <t>12H227 C/O Axle Assembly Front</t>
  </si>
  <si>
    <t>137489</t>
  </si>
  <si>
    <t>12H227 C/O Centre Joint</t>
  </si>
  <si>
    <t>50345914</t>
  </si>
  <si>
    <t>210331</t>
  </si>
  <si>
    <t>12H446 C/O Blade Tilt Cylinder LH</t>
  </si>
  <si>
    <t>50900435</t>
  </si>
  <si>
    <t>12H446 C/O Blade Tilt Cylinder RH</t>
  </si>
  <si>
    <t>50900436</t>
  </si>
  <si>
    <t>B9K00560</t>
  </si>
  <si>
    <t>138461</t>
  </si>
  <si>
    <t>12H422 C/O Blade Tilt Cylinder LH</t>
  </si>
  <si>
    <t>50430838</t>
  </si>
  <si>
    <t>12H422 C/O Blade Tilt Cylinder RH</t>
  </si>
  <si>
    <t>50430839</t>
  </si>
  <si>
    <t>20280130</t>
  </si>
  <si>
    <t>DRIVE;SX;CAT;2656742</t>
  </si>
  <si>
    <t>210339</t>
  </si>
  <si>
    <t>12H446 C/O Circle Drive Gearbox Front</t>
  </si>
  <si>
    <t>50901145</t>
  </si>
  <si>
    <t>B9300203</t>
  </si>
  <si>
    <t>20280137</t>
  </si>
  <si>
    <t>DRIVE;CAT;2685745</t>
  </si>
  <si>
    <t>210340</t>
  </si>
  <si>
    <t>12H468 C/O Circle Drive Gearbox Rear</t>
  </si>
  <si>
    <t>50900999</t>
  </si>
  <si>
    <t>138494</t>
  </si>
  <si>
    <t>12H227 C/O Circle Drive Gearbox Front</t>
  </si>
  <si>
    <t>50345930</t>
  </si>
  <si>
    <t>138488</t>
  </si>
  <si>
    <t>12H227 C/O Circle Drive Gearbox Rear</t>
  </si>
  <si>
    <t>50345931</t>
  </si>
  <si>
    <t>210330</t>
  </si>
  <si>
    <t>12H446 C/O Blade Sideshift Cylinder</t>
  </si>
  <si>
    <t>50900434</t>
  </si>
  <si>
    <t>137486</t>
  </si>
  <si>
    <t>12H422 C/O Blade Sideshift Cylinder</t>
  </si>
  <si>
    <t>50430837</t>
  </si>
  <si>
    <t>210327</t>
  </si>
  <si>
    <t>12H446 C/O Articulation Cylinder LH</t>
  </si>
  <si>
    <t>50900430</t>
  </si>
  <si>
    <t>12H446 C/O Articulation Cylinder RH</t>
  </si>
  <si>
    <t>50900431</t>
  </si>
  <si>
    <t>137462</t>
  </si>
  <si>
    <t>12H227 C/O Articulation Cylinder LH</t>
  </si>
  <si>
    <t>50345902</t>
  </si>
  <si>
    <t>B9K00449</t>
  </si>
  <si>
    <t>12H416 C/O Articulation Cylinder RH</t>
  </si>
  <si>
    <t>50405095</t>
  </si>
  <si>
    <t>137485</t>
  </si>
  <si>
    <t>12H422 C/O Ripper Lift Cylinder RH</t>
  </si>
  <si>
    <t>50430893</t>
  </si>
  <si>
    <t>12R421 C/O Ripper Lift Cylinder LH</t>
  </si>
  <si>
    <t>50392505</t>
  </si>
  <si>
    <t>MYHD .CYLI.RILL</t>
  </si>
  <si>
    <t>B9K00462</t>
  </si>
  <si>
    <t>137467</t>
  </si>
  <si>
    <t>12R408 C/O Centreshift Cylinder</t>
  </si>
  <si>
    <t>50355573</t>
  </si>
  <si>
    <t>408T</t>
  </si>
  <si>
    <t>9312</t>
  </si>
  <si>
    <t>20633203</t>
  </si>
  <si>
    <t>2088786X</t>
  </si>
  <si>
    <t>WHEEL;CAT;2088786X</t>
  </si>
  <si>
    <t>157414</t>
  </si>
  <si>
    <t>11H1019 C/O Rear Wheel Group LH</t>
  </si>
  <si>
    <t>50522009</t>
  </si>
  <si>
    <t>4008 - FINAL DRIVE, BRAKE &amp; WHEEL</t>
  </si>
  <si>
    <t>157420</t>
  </si>
  <si>
    <t>11H1019 C/O Rear Wheel Group RH</t>
  </si>
  <si>
    <t>50522010</t>
  </si>
  <si>
    <t>773E</t>
  </si>
  <si>
    <t>BDA01025</t>
  </si>
  <si>
    <t>5052259</t>
  </si>
  <si>
    <t>06H209 C/O Differential</t>
  </si>
  <si>
    <t>50113666</t>
  </si>
  <si>
    <t>BDA01187</t>
  </si>
  <si>
    <t>20706989</t>
  </si>
  <si>
    <t>1376821F</t>
  </si>
  <si>
    <t>END,WHEEL;CAT;137682</t>
  </si>
  <si>
    <t>5052253</t>
  </si>
  <si>
    <t>06H210 C/O Final Drive LH</t>
  </si>
  <si>
    <t>50280697</t>
  </si>
  <si>
    <t>06H210 C/O Final Drive RH</t>
  </si>
  <si>
    <t>50280698</t>
  </si>
  <si>
    <t>40507833</t>
  </si>
  <si>
    <t>9T9075X</t>
  </si>
  <si>
    <t>SUPPLY SX CYLINDER,F</t>
  </si>
  <si>
    <t>5052268</t>
  </si>
  <si>
    <t>06H209 C/O Suspension LHF</t>
  </si>
  <si>
    <t>50113683</t>
  </si>
  <si>
    <t>06H209 C/O Suspension RHF</t>
  </si>
  <si>
    <t>50113684</t>
  </si>
  <si>
    <t>20254040</t>
  </si>
  <si>
    <t>20R8571</t>
  </si>
  <si>
    <t>CYLINDER,SUSPENSION;</t>
  </si>
  <si>
    <t>5052269</t>
  </si>
  <si>
    <t>06H209 C/O Suspension LHR O/C</t>
  </si>
  <si>
    <t>50113685</t>
  </si>
  <si>
    <t>06H209 C/O Suspension LHR</t>
  </si>
  <si>
    <t>777D</t>
  </si>
  <si>
    <t>AGC01838</t>
  </si>
  <si>
    <t>252982</t>
  </si>
  <si>
    <t>06H107 Engine</t>
  </si>
  <si>
    <t>51195325</t>
  </si>
  <si>
    <t>06H107 C/O Engine</t>
  </si>
  <si>
    <t>40628698</t>
  </si>
  <si>
    <t>10R1885</t>
  </si>
  <si>
    <t>TURBOCHARGER;BASIC;C</t>
  </si>
  <si>
    <t>252986</t>
  </si>
  <si>
    <t>51195319</t>
  </si>
  <si>
    <t>06H107 C/O Turbocharger LH</t>
  </si>
  <si>
    <t>51195320</t>
  </si>
  <si>
    <t>06H107 C/O Turbocharger RH</t>
  </si>
  <si>
    <t>40090957</t>
  </si>
  <si>
    <t>20R0849</t>
  </si>
  <si>
    <t>252985</t>
  </si>
  <si>
    <t>51195317</t>
  </si>
  <si>
    <t>06H107 C/O Fuel Injectors</t>
  </si>
  <si>
    <t>40120734</t>
  </si>
  <si>
    <t>10R1670</t>
  </si>
  <si>
    <t>PUMP,WTR;CAT;10R1670</t>
  </si>
  <si>
    <t>252987</t>
  </si>
  <si>
    <t>51195322</t>
  </si>
  <si>
    <t>06H107 C/O Water Pump Main</t>
  </si>
  <si>
    <t>AGC02337</t>
  </si>
  <si>
    <t>5052023</t>
  </si>
  <si>
    <t>06H110 C/O Transmission</t>
  </si>
  <si>
    <t>50061058</t>
  </si>
  <si>
    <t>5052027</t>
  </si>
  <si>
    <t>06H107 C/O Main Pump Drive Trans</t>
  </si>
  <si>
    <t>50340929</t>
  </si>
  <si>
    <t>TRAN .MPDT</t>
  </si>
  <si>
    <t>5052026</t>
  </si>
  <si>
    <t>06H110 C/O Differential</t>
  </si>
  <si>
    <t>50053624</t>
  </si>
  <si>
    <t>AGC01991</t>
  </si>
  <si>
    <t>20177233</t>
  </si>
  <si>
    <t>6G7877F</t>
  </si>
  <si>
    <t>SPINDLE ASSEMBLY;SX;</t>
  </si>
  <si>
    <t>5052063</t>
  </si>
  <si>
    <t>06H216 C/O Hub &amp; Spindle LH</t>
  </si>
  <si>
    <t>50341817</t>
  </si>
  <si>
    <t>06H216 C/O Hub &amp; Spindle RH</t>
  </si>
  <si>
    <t>50341818</t>
  </si>
  <si>
    <t>AGC02319</t>
  </si>
  <si>
    <t>5052065</t>
  </si>
  <si>
    <t>06H122 C/O Strg Cyl &amp; Tie Rod End LH</t>
  </si>
  <si>
    <t>50048462</t>
  </si>
  <si>
    <t>06H122 C/O Steering Cylinder LH</t>
  </si>
  <si>
    <t>06H122 C/O Strg Cyl &amp; Tie Rod End RH</t>
  </si>
  <si>
    <t>50048465</t>
  </si>
  <si>
    <t>06H122 C/O Steering Cylinder RH</t>
  </si>
  <si>
    <t>5052060</t>
  </si>
  <si>
    <t>06H107 C/O Suspension LHF</t>
  </si>
  <si>
    <t>50100638</t>
  </si>
  <si>
    <t>06H107 C/O Suspension RHF</t>
  </si>
  <si>
    <t>50100811</t>
  </si>
  <si>
    <t>5052061</t>
  </si>
  <si>
    <t>06H122 C/O Susp &amp; Lat Control Rod RHR</t>
  </si>
  <si>
    <t>50092646</t>
  </si>
  <si>
    <t>06H122 C/O Suspension RHR</t>
  </si>
  <si>
    <t>STRU .SUGR.SURR</t>
  </si>
  <si>
    <t>06H110 C/O Suspension LHR</t>
  </si>
  <si>
    <t>50095832</t>
  </si>
  <si>
    <t>STRU .SUGR.SULR</t>
  </si>
  <si>
    <t>777F</t>
  </si>
  <si>
    <t>JRP00353</t>
  </si>
  <si>
    <t>20395621</t>
  </si>
  <si>
    <t>3538645X</t>
  </si>
  <si>
    <t>ENGINE;SX;CAT;353-86</t>
  </si>
  <si>
    <t>5052200</t>
  </si>
  <si>
    <t>06D11 Engine</t>
  </si>
  <si>
    <t>50287373</t>
  </si>
  <si>
    <t>06D11 C/O Engine</t>
  </si>
  <si>
    <t>JRP01086</t>
  </si>
  <si>
    <t>20275669</t>
  </si>
  <si>
    <t>10R9819</t>
  </si>
  <si>
    <t>ENGINE;RM;CAT;10R-98</t>
  </si>
  <si>
    <t>06R44 Engine</t>
  </si>
  <si>
    <t>50287427</t>
  </si>
  <si>
    <t>06R44 C/O Engine</t>
  </si>
  <si>
    <t>JXP00197</t>
  </si>
  <si>
    <t>137889</t>
  </si>
  <si>
    <t>06R527 Engine</t>
  </si>
  <si>
    <t>50343612</t>
  </si>
  <si>
    <t>06R527 C/O Engine</t>
  </si>
  <si>
    <t>20395623</t>
  </si>
  <si>
    <t>20R0974</t>
  </si>
  <si>
    <t>5052204</t>
  </si>
  <si>
    <t>50287374</t>
  </si>
  <si>
    <t>06D11 C/O Turbocharger LH</t>
  </si>
  <si>
    <t>20395622</t>
  </si>
  <si>
    <t>20R0973</t>
  </si>
  <si>
    <t>129304</t>
  </si>
  <si>
    <t>50287375</t>
  </si>
  <si>
    <t>06D11 C/O Turbocharger RH</t>
  </si>
  <si>
    <t>JXP00207</t>
  </si>
  <si>
    <t>137766</t>
  </si>
  <si>
    <t>06D55 Engine</t>
  </si>
  <si>
    <t>50362608</t>
  </si>
  <si>
    <t>06D55 C/O Turbocharger LH</t>
  </si>
  <si>
    <t>137818</t>
  </si>
  <si>
    <t>50362609</t>
  </si>
  <si>
    <t>06D55 C/O Turbocharger RH</t>
  </si>
  <si>
    <t>196965</t>
  </si>
  <si>
    <t>51195542</t>
  </si>
  <si>
    <t>06D11 C/O Fuel Injectors</t>
  </si>
  <si>
    <t>137825</t>
  </si>
  <si>
    <t>51195583</t>
  </si>
  <si>
    <t>06D55 C/O Fuel Injectors</t>
  </si>
  <si>
    <t>20275672</t>
  </si>
  <si>
    <t>2423290F</t>
  </si>
  <si>
    <t>RADIATOR;SX;CAT;242-</t>
  </si>
  <si>
    <t>5052201</t>
  </si>
  <si>
    <t>06D11 C/O Engine Radiator</t>
  </si>
  <si>
    <t>50100723</t>
  </si>
  <si>
    <t>137892</t>
  </si>
  <si>
    <t>06R527 C/O Engine Radiator</t>
  </si>
  <si>
    <t>50343645</t>
  </si>
  <si>
    <t>253028</t>
  </si>
  <si>
    <t>51195552</t>
  </si>
  <si>
    <t>06D11 C/O Water Pump</t>
  </si>
  <si>
    <t>40724877</t>
  </si>
  <si>
    <t>2462647X</t>
  </si>
  <si>
    <t>5052194</t>
  </si>
  <si>
    <t>06D11 C/O Transmission</t>
  </si>
  <si>
    <t>50691227</t>
  </si>
  <si>
    <t>138068</t>
  </si>
  <si>
    <t>06R527 C/O Transmission</t>
  </si>
  <si>
    <t>50343667</t>
  </si>
  <si>
    <t>20088980</t>
  </si>
  <si>
    <t>10R6196</t>
  </si>
  <si>
    <t>PUMP;GEAR;RM;CAT;10R</t>
  </si>
  <si>
    <t>5052218</t>
  </si>
  <si>
    <t>06D11 C/O Transmission Pump</t>
  </si>
  <si>
    <t>50691229</t>
  </si>
  <si>
    <t>TRAN .PUMP.DP01</t>
  </si>
  <si>
    <t>PUMP,GEAR;RM;CAT;10R</t>
  </si>
  <si>
    <t>138025</t>
  </si>
  <si>
    <t>06R527 C/O Transmission Pump</t>
  </si>
  <si>
    <t>50343668</t>
  </si>
  <si>
    <t>20281328</t>
  </si>
  <si>
    <t>2495539X</t>
  </si>
  <si>
    <t>5052195</t>
  </si>
  <si>
    <t>06D11 C/O Torque Converter</t>
  </si>
  <si>
    <t>50691225</t>
  </si>
  <si>
    <t>138063</t>
  </si>
  <si>
    <t>06R527 C/O Torque Converter</t>
  </si>
  <si>
    <t>50343666</t>
  </si>
  <si>
    <t>20088979</t>
  </si>
  <si>
    <t>10R6195</t>
  </si>
  <si>
    <t>5052216</t>
  </si>
  <si>
    <t>06D11 C/O Torque Converter Pumps</t>
  </si>
  <si>
    <t>50691226</t>
  </si>
  <si>
    <t>TRAN .PUMP.DP03</t>
  </si>
  <si>
    <t>3138 - TORQUE CONVERTER &amp; PARKING BRAKE RELEASE PUMP</t>
  </si>
  <si>
    <t>JXP00226</t>
  </si>
  <si>
    <t>138028</t>
  </si>
  <si>
    <t>06D56 C/O Torque Converter Pumps</t>
  </si>
  <si>
    <t>50493501</t>
  </si>
  <si>
    <t>5052197</t>
  </si>
  <si>
    <t>06D11 C/O Differential</t>
  </si>
  <si>
    <t>50691224</t>
  </si>
  <si>
    <t>137940</t>
  </si>
  <si>
    <t>06R527 C/O Differential</t>
  </si>
  <si>
    <t>50343643</t>
  </si>
  <si>
    <t>20350651</t>
  </si>
  <si>
    <t>2612356XL</t>
  </si>
  <si>
    <t>WHEEL GRP;FRONT L/H;</t>
  </si>
  <si>
    <t>5052236</t>
  </si>
  <si>
    <t>06D11 C/O Hub &amp; Spindle LH</t>
  </si>
  <si>
    <t>50691230</t>
  </si>
  <si>
    <t>20350652</t>
  </si>
  <si>
    <t>2612356XR</t>
  </si>
  <si>
    <t>WHEEL GRP;FRONT R/H;</t>
  </si>
  <si>
    <t>152375</t>
  </si>
  <si>
    <t>06D11 C/O Hub &amp; Spindle RH</t>
  </si>
  <si>
    <t>50691231</t>
  </si>
  <si>
    <t>137954</t>
  </si>
  <si>
    <t>06R527 C/O Hub &amp; Spindle LH</t>
  </si>
  <si>
    <t>50343651</t>
  </si>
  <si>
    <t>159690</t>
  </si>
  <si>
    <t>06R527 C/O Hub &amp; Spindle RH</t>
  </si>
  <si>
    <t>50343652</t>
  </si>
  <si>
    <t>40724847</t>
  </si>
  <si>
    <t>2435544X</t>
  </si>
  <si>
    <t>FINAL DRIVE ASSY;SX;</t>
  </si>
  <si>
    <t>5052191</t>
  </si>
  <si>
    <t>06D11 C/O Final Drive LH</t>
  </si>
  <si>
    <t>50691221</t>
  </si>
  <si>
    <t>06D11 C/O Final Drive RH</t>
  </si>
  <si>
    <t>50691222</t>
  </si>
  <si>
    <t>137957</t>
  </si>
  <si>
    <t>06R527 C/O Final Drive LH</t>
  </si>
  <si>
    <t>50343646</t>
  </si>
  <si>
    <t>06D55 C/O Final Drive RH</t>
  </si>
  <si>
    <t>50364250</t>
  </si>
  <si>
    <t>JRP01319</t>
  </si>
  <si>
    <t>5052238</t>
  </si>
  <si>
    <t>06H55 C/O Strg Cyl &amp; Tie Rod End LH</t>
  </si>
  <si>
    <t>50231128</t>
  </si>
  <si>
    <t>06H55 C/O Steering Cylinder LH</t>
  </si>
  <si>
    <t>06H55 C/O Strg Cyl &amp; Tie Rod End RH</t>
  </si>
  <si>
    <t>50231130</t>
  </si>
  <si>
    <t>06H55 C/O Steering Cylinder RH</t>
  </si>
  <si>
    <t>JXP00190</t>
  </si>
  <si>
    <t>138005</t>
  </si>
  <si>
    <t>06H59 C/O Strg Cyl &amp; Tie Rod End LH</t>
  </si>
  <si>
    <t>50335086</t>
  </si>
  <si>
    <t>06H59 C/O Steering Cylinder LH</t>
  </si>
  <si>
    <t>06H59 C/O Strg Cyl &amp; Tie Rod End RH</t>
  </si>
  <si>
    <t>50335089</t>
  </si>
  <si>
    <t>06H59 C/O Steering Cylinder RH</t>
  </si>
  <si>
    <t>20556041</t>
  </si>
  <si>
    <t>20R3304</t>
  </si>
  <si>
    <t>PUMP;RM;CAT;20R3304</t>
  </si>
  <si>
    <t>5052219</t>
  </si>
  <si>
    <t>06D11 C/O Primary Steering Pump</t>
  </si>
  <si>
    <t>50296460</t>
  </si>
  <si>
    <t>STRG .PUMP.SP01</t>
  </si>
  <si>
    <t>138007</t>
  </si>
  <si>
    <t>06H59 C/O Primary Steering Pump</t>
  </si>
  <si>
    <t>50335083</t>
  </si>
  <si>
    <t>5052233</t>
  </si>
  <si>
    <t>06D11 C/O Suspension RHF</t>
  </si>
  <si>
    <t>50296462</t>
  </si>
  <si>
    <t>JRP00614</t>
  </si>
  <si>
    <t>06D18 C/O Suspension LHF</t>
  </si>
  <si>
    <t>50101356</t>
  </si>
  <si>
    <t>138014</t>
  </si>
  <si>
    <t>06D55 C/O Suspension LHF</t>
  </si>
  <si>
    <t>50364282</t>
  </si>
  <si>
    <t>06D55 C/O Suspension RHF</t>
  </si>
  <si>
    <t>50364284</t>
  </si>
  <si>
    <t>5052234</t>
  </si>
  <si>
    <t>06D11 C/O Suspension LHR</t>
  </si>
  <si>
    <t>50296551</t>
  </si>
  <si>
    <t>06D11 C/O Susp &amp; Lat Control Rod RHR</t>
  </si>
  <si>
    <t>50296553</t>
  </si>
  <si>
    <t>06D11 C/O Suspension RHR</t>
  </si>
  <si>
    <t>138017</t>
  </si>
  <si>
    <t>06R527 C/O Susp &amp; Lat Control Rod RHR</t>
  </si>
  <si>
    <t>50343665</t>
  </si>
  <si>
    <t>06R527 C/O Suspension RHR</t>
  </si>
  <si>
    <t>06D55 C/O Suspension LHR</t>
  </si>
  <si>
    <t>50364283</t>
  </si>
  <si>
    <t>777G</t>
  </si>
  <si>
    <t>T4Y00117</t>
  </si>
  <si>
    <t>20589516</t>
  </si>
  <si>
    <t>3507671X</t>
  </si>
  <si>
    <t>ENGINE;SX;CAT;350767</t>
  </si>
  <si>
    <t>156072</t>
  </si>
  <si>
    <t>06D58 Engine</t>
  </si>
  <si>
    <t>50432302</t>
  </si>
  <si>
    <t>06D58 C/O Engine</t>
  </si>
  <si>
    <t>156082</t>
  </si>
  <si>
    <t>50432304</t>
  </si>
  <si>
    <t>06D58 C/O Turbocharger LH</t>
  </si>
  <si>
    <t>156083</t>
  </si>
  <si>
    <t>50432305</t>
  </si>
  <si>
    <t>06D58 C/O Turbocharger RH</t>
  </si>
  <si>
    <t>156079</t>
  </si>
  <si>
    <t>50433305</t>
  </si>
  <si>
    <t>06D58 C/O Fuel Injectors</t>
  </si>
  <si>
    <t>156074</t>
  </si>
  <si>
    <t>06D58 C/O Engine Radiator</t>
  </si>
  <si>
    <t>50432992</t>
  </si>
  <si>
    <t>156084</t>
  </si>
  <si>
    <t>50433304</t>
  </si>
  <si>
    <t>06D58 C/O Water Pump Main</t>
  </si>
  <si>
    <t>156109</t>
  </si>
  <si>
    <t>06D58 C/O Transmission</t>
  </si>
  <si>
    <t>50433070</t>
  </si>
  <si>
    <t>20589074</t>
  </si>
  <si>
    <t>5948163X</t>
  </si>
  <si>
    <t>CONVERTER TRQ;CAT;59</t>
  </si>
  <si>
    <t>156108</t>
  </si>
  <si>
    <t>06D58 C/O Torque Converter</t>
  </si>
  <si>
    <t>50433069</t>
  </si>
  <si>
    <t>156070</t>
  </si>
  <si>
    <t>06D58 C/O Differential</t>
  </si>
  <si>
    <t>50432990</t>
  </si>
  <si>
    <t>156085</t>
  </si>
  <si>
    <t>06D58 C/O Hub &amp; Spindle LH</t>
  </si>
  <si>
    <t>50433042</t>
  </si>
  <si>
    <t>201177</t>
  </si>
  <si>
    <t>06D58 C/O Hub &amp; Spindle RH</t>
  </si>
  <si>
    <t>50433043</t>
  </si>
  <si>
    <t>20589076</t>
  </si>
  <si>
    <t>3569840X</t>
  </si>
  <si>
    <t>WHEEL;SX;CAT;3569840</t>
  </si>
  <si>
    <t>156068</t>
  </si>
  <si>
    <t>06D58 C/O Wheel Group LH</t>
  </si>
  <si>
    <t>50432995</t>
  </si>
  <si>
    <t>06D58 C/O Wheel Group RH</t>
  </si>
  <si>
    <t>50432996</t>
  </si>
  <si>
    <t>T4Y02018</t>
  </si>
  <si>
    <t>HUB,SPINDLE;CAT;3569843XL</t>
  </si>
  <si>
    <t>A/156085/T1</t>
  </si>
  <si>
    <t>2133397: 06H274 C/O Hub &amp; Spindle LH</t>
  </si>
  <si>
    <t>51669013</t>
  </si>
  <si>
    <t>06H274 C/O Hub &amp; Spindle LH</t>
  </si>
  <si>
    <t>4016 - WHEEL, BRAKE &amp; SUSPENSION CYLINDER</t>
  </si>
  <si>
    <t>HUB,SPINDLE;CAT;3569843XR</t>
  </si>
  <si>
    <t>A/201177/T1</t>
  </si>
  <si>
    <t>2133385: 06H274 C/O Hub &amp; Spindle RH</t>
  </si>
  <si>
    <t>51669001</t>
  </si>
  <si>
    <t>06H274 C/O Hub &amp; Spindle RH</t>
  </si>
  <si>
    <t>20707644</t>
  </si>
  <si>
    <t>5738015</t>
  </si>
  <si>
    <t>PUMP;CAT;573-8015</t>
  </si>
  <si>
    <t>156093</t>
  </si>
  <si>
    <t>06D58 C/O Hoist &amp; Brake Cooling Pump</t>
  </si>
  <si>
    <t>50432998</t>
  </si>
  <si>
    <t>MYHD .PUMP.HP01</t>
  </si>
  <si>
    <t>T4Y00187</t>
  </si>
  <si>
    <t>156095</t>
  </si>
  <si>
    <t>06H799 C/O Strg Cyl &amp; Tie Rod End LH</t>
  </si>
  <si>
    <t>50895118</t>
  </si>
  <si>
    <t>06H799 C/O Steering Cylinder LH</t>
  </si>
  <si>
    <t>156516</t>
  </si>
  <si>
    <t>06H799 C/O Strg Cyl &amp; Tie Rod End RH</t>
  </si>
  <si>
    <t>50895120</t>
  </si>
  <si>
    <t>06H799 C/O Steering Cylinder RH</t>
  </si>
  <si>
    <t>156099</t>
  </si>
  <si>
    <t>06D58 C/O Primary Steering Pump</t>
  </si>
  <si>
    <t>50433052</t>
  </si>
  <si>
    <t>20276271</t>
  </si>
  <si>
    <t>2497012</t>
  </si>
  <si>
    <t>PUMP ASSEMBLY;CAT;24</t>
  </si>
  <si>
    <t>323199</t>
  </si>
  <si>
    <t>06R600 C/O Rear Axle Lubrication Pump</t>
  </si>
  <si>
    <t>51608703</t>
  </si>
  <si>
    <t>20404522</t>
  </si>
  <si>
    <t>4595771</t>
  </si>
  <si>
    <t>PUMP;CAT;459-5771</t>
  </si>
  <si>
    <t>160640</t>
  </si>
  <si>
    <t>06D58 C/O Water System Hydraulic Pump</t>
  </si>
  <si>
    <t>50463935</t>
  </si>
  <si>
    <t>MYHD .PUMP.HP02</t>
  </si>
  <si>
    <t>160648</t>
  </si>
  <si>
    <t>06D58 C/O Water System Pilot Pump</t>
  </si>
  <si>
    <t>50463940</t>
  </si>
  <si>
    <t>MYHD .PUMP.HP03</t>
  </si>
  <si>
    <t>156102</t>
  </si>
  <si>
    <t>06D58 C/O Suspension LHF</t>
  </si>
  <si>
    <t>50433064</t>
  </si>
  <si>
    <t>06D58 C/O Suspension RHF</t>
  </si>
  <si>
    <t>50433066</t>
  </si>
  <si>
    <t>156103</t>
  </si>
  <si>
    <t>06D58 C/O Suspension LHR</t>
  </si>
  <si>
    <t>50433067</t>
  </si>
  <si>
    <t>06D58 C/O Susp &amp; Lat Control Rod RHR</t>
  </si>
  <si>
    <t>50433068</t>
  </si>
  <si>
    <t>06D58 C/O Suspension RHR</t>
  </si>
  <si>
    <t>785C</t>
  </si>
  <si>
    <t>APX01574</t>
  </si>
  <si>
    <t>40724804</t>
  </si>
  <si>
    <t>1755285X</t>
  </si>
  <si>
    <t>ENGINE;SX;CAT;175528</t>
  </si>
  <si>
    <t>5052146</t>
  </si>
  <si>
    <t>06D27 Engine</t>
  </si>
  <si>
    <t>50259960</t>
  </si>
  <si>
    <t>06D27 C/O Engine</t>
  </si>
  <si>
    <t>40722883</t>
  </si>
  <si>
    <t>0R7430</t>
  </si>
  <si>
    <t>124978</t>
  </si>
  <si>
    <t>50259962</t>
  </si>
  <si>
    <t>06D27 C/O Turbocharger LH</t>
  </si>
  <si>
    <t>124980</t>
  </si>
  <si>
    <t>50259964</t>
  </si>
  <si>
    <t>06D27 C/O Turbocharger RH</t>
  </si>
  <si>
    <t>20699841</t>
  </si>
  <si>
    <t>3936232X</t>
  </si>
  <si>
    <t>DRIVE;CAT;3936232X</t>
  </si>
  <si>
    <t>1207 - ACCESSORY DRIVE</t>
  </si>
  <si>
    <t>INJECTOR;FUEL;RM;CAT</t>
  </si>
  <si>
    <t>5052149</t>
  </si>
  <si>
    <t>50259968</t>
  </si>
  <si>
    <t>06D27 C/O Fuel Injectors</t>
  </si>
  <si>
    <t>20235971</t>
  </si>
  <si>
    <t>1630809F</t>
  </si>
  <si>
    <t>RADIATOR;CAT;163-080</t>
  </si>
  <si>
    <t>5052147</t>
  </si>
  <si>
    <t>06D27 C/O Engine Radiator</t>
  </si>
  <si>
    <t>50259850</t>
  </si>
  <si>
    <t>40724817</t>
  </si>
  <si>
    <t>3T0034X</t>
  </si>
  <si>
    <t>SUPPLY SX TRANSMISSI</t>
  </si>
  <si>
    <t>5052140</t>
  </si>
  <si>
    <t>06D27 C/O Transmission</t>
  </si>
  <si>
    <t>50259955</t>
  </si>
  <si>
    <t>40282500</t>
  </si>
  <si>
    <t>0R7822</t>
  </si>
  <si>
    <t>PUMP;RM;CAT;0R7822</t>
  </si>
  <si>
    <t>5052162</t>
  </si>
  <si>
    <t>06D27 C/O Trans Charge/Scavenge Pump</t>
  </si>
  <si>
    <t>50259956</t>
  </si>
  <si>
    <t>20007551</t>
  </si>
  <si>
    <t>1173357X</t>
  </si>
  <si>
    <t>5052141</t>
  </si>
  <si>
    <t>06D27 C/O Torque Converter</t>
  </si>
  <si>
    <t>50259953</t>
  </si>
  <si>
    <t>20098695</t>
  </si>
  <si>
    <t>2A6546X</t>
  </si>
  <si>
    <t>PUMP DRIVE;CAT;2A654</t>
  </si>
  <si>
    <t>5052144</t>
  </si>
  <si>
    <t>06D27 C/O Pump Drive</t>
  </si>
  <si>
    <t>50259924</t>
  </si>
  <si>
    <t>FDRV .SHAF.DS02</t>
  </si>
  <si>
    <t>40508432</t>
  </si>
  <si>
    <t>10R5186</t>
  </si>
  <si>
    <t>REMAN;DRIVE SHAFT;CA</t>
  </si>
  <si>
    <t>255088</t>
  </si>
  <si>
    <t>06D27 C/O Drive Shaft Main</t>
  </si>
  <si>
    <t>51213995</t>
  </si>
  <si>
    <t>06D27 C/O Driveshaft Main</t>
  </si>
  <si>
    <t>40724834</t>
  </si>
  <si>
    <t>1306634XP</t>
  </si>
  <si>
    <t>5052143</t>
  </si>
  <si>
    <t>06D27 C/O Differential</t>
  </si>
  <si>
    <t>50259844</t>
  </si>
  <si>
    <t>20273045</t>
  </si>
  <si>
    <t>3099597XL</t>
  </si>
  <si>
    <t>SPINDLE;LEFT HAND;CA</t>
  </si>
  <si>
    <t>5052178</t>
  </si>
  <si>
    <t>06D27 C/O Hub &amp; Spindle LH</t>
  </si>
  <si>
    <t>50283645</t>
  </si>
  <si>
    <t>20273047</t>
  </si>
  <si>
    <t>3099597XR</t>
  </si>
  <si>
    <t>SPINDLE;RIGHT HAND;C</t>
  </si>
  <si>
    <t>136963</t>
  </si>
  <si>
    <t>06D27 C/O Hub &amp; Spindle RH</t>
  </si>
  <si>
    <t>50283646</t>
  </si>
  <si>
    <t>20291577</t>
  </si>
  <si>
    <t>3178378X</t>
  </si>
  <si>
    <t>WHEEL;SX;CAT;3178378</t>
  </si>
  <si>
    <t>5052136</t>
  </si>
  <si>
    <t>06D27 C/O Wheel Group LHR</t>
  </si>
  <si>
    <t>50283634</t>
  </si>
  <si>
    <t>06D27 C/O Wheel Group RHR</t>
  </si>
  <si>
    <t>50283637</t>
  </si>
  <si>
    <t>SPINDLE;LEFT HAND;CAT;3099597XL</t>
  </si>
  <si>
    <t>A/5052178/X1</t>
  </si>
  <si>
    <t>1102322: 06D27 C/O Hub &amp; Spindle LH</t>
  </si>
  <si>
    <t>SPINDLE;RIGHT HAND;CAT;3099597XR</t>
  </si>
  <si>
    <t>A/136963/X1</t>
  </si>
  <si>
    <t>1102323: 06D27 C/O Hub &amp; Spindle RH</t>
  </si>
  <si>
    <t>APX01200</t>
  </si>
  <si>
    <t>5052180</t>
  </si>
  <si>
    <t>06H108 C/O Strg Cyl &amp; Tie Rod End LH</t>
  </si>
  <si>
    <t>50150840</t>
  </si>
  <si>
    <t>06H108 C/O Steering Cylinder LH</t>
  </si>
  <si>
    <t>06D27 C/O Strg Cyl &amp; Tie Rod End RH</t>
  </si>
  <si>
    <t>50283649</t>
  </si>
  <si>
    <t>06D27 C/O Steering Cylinder RH</t>
  </si>
  <si>
    <t>20172878</t>
  </si>
  <si>
    <t>10R9089</t>
  </si>
  <si>
    <t>5052163</t>
  </si>
  <si>
    <t>06D27 C/O Primary Steering Pump</t>
  </si>
  <si>
    <t>50259950</t>
  </si>
  <si>
    <t>20176856</t>
  </si>
  <si>
    <t>10R7971</t>
  </si>
  <si>
    <t>PUMP;RM;CAT;10R-7971</t>
  </si>
  <si>
    <t>5052158</t>
  </si>
  <si>
    <t>06H108 C/O Hoist &amp; Brake Cooling Pump</t>
  </si>
  <si>
    <t>50150833</t>
  </si>
  <si>
    <t>06H108 C/O Hoist Pump</t>
  </si>
  <si>
    <t>5083 - HYDRAULIC HOIST PUMP</t>
  </si>
  <si>
    <t>06D27 C/O Hoist &amp; Brake Cooling Pump</t>
  </si>
  <si>
    <t>50259915</t>
  </si>
  <si>
    <t>MYHD .PUMP</t>
  </si>
  <si>
    <t>APX01453</t>
  </si>
  <si>
    <t>5052175</t>
  </si>
  <si>
    <t>06H161 C/O Suspension LHF</t>
  </si>
  <si>
    <t>50168043</t>
  </si>
  <si>
    <t>06H161 C/O Suspension RHF</t>
  </si>
  <si>
    <t>50168047</t>
  </si>
  <si>
    <t>APX01456</t>
  </si>
  <si>
    <t>40724862</t>
  </si>
  <si>
    <t>4568724X</t>
  </si>
  <si>
    <t>CYLINDER HYD;REAR;CA</t>
  </si>
  <si>
    <t>5052176</t>
  </si>
  <si>
    <t>06H162 C/O Suspension LHR O/C</t>
  </si>
  <si>
    <t>50168712</t>
  </si>
  <si>
    <t>06D27 C/O Suspension LHR</t>
  </si>
  <si>
    <t>50259929</t>
  </si>
  <si>
    <t>06D27 C/O Suspension RHR</t>
  </si>
  <si>
    <t>50259930</t>
  </si>
  <si>
    <t>785D</t>
  </si>
  <si>
    <t>DMC00172</t>
  </si>
  <si>
    <t>169110</t>
  </si>
  <si>
    <t>06H721 Engine</t>
  </si>
  <si>
    <t>50882960</t>
  </si>
  <si>
    <t>06H721 C/O Engine</t>
  </si>
  <si>
    <t>DMC00218</t>
  </si>
  <si>
    <t>20589018</t>
  </si>
  <si>
    <t>3659313X</t>
  </si>
  <si>
    <t>ENGINE;SX;CAT;365931</t>
  </si>
  <si>
    <t>278895</t>
  </si>
  <si>
    <t>06D327 Engine</t>
  </si>
  <si>
    <t>51421097</t>
  </si>
  <si>
    <t>06D327 C/O Engine</t>
  </si>
  <si>
    <t>DMC00235</t>
  </si>
  <si>
    <t>21199996</t>
  </si>
  <si>
    <t>5612194X</t>
  </si>
  <si>
    <t>ENGINE;ASSY;12;CAT;5</t>
  </si>
  <si>
    <t>06D367 Engine</t>
  </si>
  <si>
    <t>51466352</t>
  </si>
  <si>
    <t>06D367 C/O Engine</t>
  </si>
  <si>
    <t>MSY00246</t>
  </si>
  <si>
    <t>258117</t>
  </si>
  <si>
    <t>06H637 Engine</t>
  </si>
  <si>
    <t>51227689</t>
  </si>
  <si>
    <t>06H637 C/O Engine</t>
  </si>
  <si>
    <t>20443591</t>
  </si>
  <si>
    <t>10R8799</t>
  </si>
  <si>
    <t>278884</t>
  </si>
  <si>
    <t>51421099</t>
  </si>
  <si>
    <t>06D327 C/O Turbocharger LHF</t>
  </si>
  <si>
    <t>ENGD .TURB.TCLF</t>
  </si>
  <si>
    <t>51421101</t>
  </si>
  <si>
    <t>06D327 C/O Turbocharger LHR</t>
  </si>
  <si>
    <t>ENGD .TURB.TCLR</t>
  </si>
  <si>
    <t>51421100</t>
  </si>
  <si>
    <t>06D327 C/O Turbocharger RHF</t>
  </si>
  <si>
    <t>ENGD .TURB.TCRF</t>
  </si>
  <si>
    <t>51421102</t>
  </si>
  <si>
    <t>06D327 C/O Turbocharger RHR</t>
  </si>
  <si>
    <t>ENGD .TURB.TCRR</t>
  </si>
  <si>
    <t>258102</t>
  </si>
  <si>
    <t>51227691</t>
  </si>
  <si>
    <t>06H637 C/O Turbocharger LHF</t>
  </si>
  <si>
    <t>51227692</t>
  </si>
  <si>
    <t>06H637 C/O Turbocharger RHF</t>
  </si>
  <si>
    <t>51227693</t>
  </si>
  <si>
    <t>06H637 C/O Turbocharger LHR</t>
  </si>
  <si>
    <t>51227694</t>
  </si>
  <si>
    <t>06H637 C/O Turbocharger RHR</t>
  </si>
  <si>
    <t>278862</t>
  </si>
  <si>
    <t>51421107</t>
  </si>
  <si>
    <t>06D327 C/O Fuel Injectors</t>
  </si>
  <si>
    <t>258110</t>
  </si>
  <si>
    <t>51227699</t>
  </si>
  <si>
    <t>06H637 C/O Fuel Injectors</t>
  </si>
  <si>
    <t>20589019</t>
  </si>
  <si>
    <t>3098457F</t>
  </si>
  <si>
    <t>RADIATOR;SX;CAT;3098</t>
  </si>
  <si>
    <t>278860</t>
  </si>
  <si>
    <t>06D327 C/O Engine Radiator</t>
  </si>
  <si>
    <t>51421110</t>
  </si>
  <si>
    <t>MSY00230</t>
  </si>
  <si>
    <t>258028</t>
  </si>
  <si>
    <t>06R915 C/O Engine Radiator</t>
  </si>
  <si>
    <t>51184910</t>
  </si>
  <si>
    <t>169127</t>
  </si>
  <si>
    <t>50882967</t>
  </si>
  <si>
    <t>06H721 C/O Water Pump Main</t>
  </si>
  <si>
    <t>20006788</t>
  </si>
  <si>
    <t>10R1669</t>
  </si>
  <si>
    <t>PUMP,WATER;CAT;10R16</t>
  </si>
  <si>
    <t>258106</t>
  </si>
  <si>
    <t>51227696</t>
  </si>
  <si>
    <t>06H637 C/O Water Pump Main</t>
  </si>
  <si>
    <t>278882</t>
  </si>
  <si>
    <t>06D327 C/O Transmission</t>
  </si>
  <si>
    <t>51421132</t>
  </si>
  <si>
    <t>258082</t>
  </si>
  <si>
    <t>06H637 C/O Transmission</t>
  </si>
  <si>
    <t>51227683</t>
  </si>
  <si>
    <t>278883</t>
  </si>
  <si>
    <t>06D327 C/O Transmission Pump</t>
  </si>
  <si>
    <t>51421134</t>
  </si>
  <si>
    <t>258087</t>
  </si>
  <si>
    <t>06R915 C/O Transmission Pump</t>
  </si>
  <si>
    <t>51184935</t>
  </si>
  <si>
    <t>169165</t>
  </si>
  <si>
    <t>06H721 C/O Torque Converter</t>
  </si>
  <si>
    <t>50634230</t>
  </si>
  <si>
    <t>20280815</t>
  </si>
  <si>
    <t>CONVERTER,TORQUE;CAT</t>
  </si>
  <si>
    <t>258079</t>
  </si>
  <si>
    <t>06R915 C/O Torque Converter</t>
  </si>
  <si>
    <t>51184931</t>
  </si>
  <si>
    <t>278870</t>
  </si>
  <si>
    <t>06D327 C/O Main Pump Drive Trans</t>
  </si>
  <si>
    <t>51421116</t>
  </si>
  <si>
    <t>258064</t>
  </si>
  <si>
    <t>06R915 C/O Main Pump Drive Trans</t>
  </si>
  <si>
    <t>51184916</t>
  </si>
  <si>
    <t>278830</t>
  </si>
  <si>
    <t>06D327 C/O Drive Shaft Main</t>
  </si>
  <si>
    <t>51421094</t>
  </si>
  <si>
    <t>06D327 C/O Driveshaft Main</t>
  </si>
  <si>
    <t>FDRV .SHAF.DS01</t>
  </si>
  <si>
    <t>REMAN,DRIVE SHAFT,CA</t>
  </si>
  <si>
    <t>258022</t>
  </si>
  <si>
    <t>06R915 C/O Drive Shaft Main &amp; Uni Joints</t>
  </si>
  <si>
    <t>51227479</t>
  </si>
  <si>
    <t>06R915 C/O Driveshaft Main</t>
  </si>
  <si>
    <t>20342321</t>
  </si>
  <si>
    <t>3099602X</t>
  </si>
  <si>
    <t>DIFFERENTIAL;CAT;309</t>
  </si>
  <si>
    <t>278827</t>
  </si>
  <si>
    <t>06D327 C/O Differential</t>
  </si>
  <si>
    <t>51421091</t>
  </si>
  <si>
    <t>258021</t>
  </si>
  <si>
    <t>06R915 C/O Differential</t>
  </si>
  <si>
    <t>51184906</t>
  </si>
  <si>
    <t>278866</t>
  </si>
  <si>
    <t>06D327 C/O Hub &amp; Spindle LH</t>
  </si>
  <si>
    <t>51421114</t>
  </si>
  <si>
    <t>278869</t>
  </si>
  <si>
    <t>06D327 C/O Hub &amp; Spindle RH</t>
  </si>
  <si>
    <t>51421115</t>
  </si>
  <si>
    <t>DMC00253</t>
  </si>
  <si>
    <t>21201415</t>
  </si>
  <si>
    <t>6241853XL</t>
  </si>
  <si>
    <t>SPINDLE;LH ASSEMBLY;</t>
  </si>
  <si>
    <t>06H657 C/O Hub &amp; Spindle LH</t>
  </si>
  <si>
    <t>51541352</t>
  </si>
  <si>
    <t>21201407</t>
  </si>
  <si>
    <t>6241853XR</t>
  </si>
  <si>
    <t>SPINDLE;RH ASSEMBLY;</t>
  </si>
  <si>
    <t>06H657 C/O Hub &amp; Spindle RH</t>
  </si>
  <si>
    <t>51541353</t>
  </si>
  <si>
    <t>258033</t>
  </si>
  <si>
    <t>06R915 C/O Hub &amp; Spindle LH</t>
  </si>
  <si>
    <t>51184914</t>
  </si>
  <si>
    <t>258035</t>
  </si>
  <si>
    <t>06R915 C/O Hub &amp; Spindle RH</t>
  </si>
  <si>
    <t>51184915</t>
  </si>
  <si>
    <t>20589072</t>
  </si>
  <si>
    <t>169179</t>
  </si>
  <si>
    <t>06H721 C/O Final Drive Group LH</t>
  </si>
  <si>
    <t>50634242</t>
  </si>
  <si>
    <t>06H721 C/O Final Drive Group RH</t>
  </si>
  <si>
    <t>50634243</t>
  </si>
  <si>
    <t>21201414</t>
  </si>
  <si>
    <t>6259021X</t>
  </si>
  <si>
    <t>WHEEL;DRIVE FINAL;CA</t>
  </si>
  <si>
    <t>278861</t>
  </si>
  <si>
    <t>06H657 C/O Final Drive Group LH</t>
  </si>
  <si>
    <t>51541349</t>
  </si>
  <si>
    <t>258029</t>
  </si>
  <si>
    <t>06H637 C/O Final Drive Group RH</t>
  </si>
  <si>
    <t>51227663</t>
  </si>
  <si>
    <t>06R915 C/O Final Drive Group LH</t>
  </si>
  <si>
    <t>51184911</t>
  </si>
  <si>
    <t>A/258033/W1</t>
  </si>
  <si>
    <t>1763654: 06R915 C/O Hub &amp; Spindle LH</t>
  </si>
  <si>
    <t>A/258035/W1</t>
  </si>
  <si>
    <t>1763655: 06R915 C/O Hub &amp; Spindle RH</t>
  </si>
  <si>
    <t>20866730</t>
  </si>
  <si>
    <t>3099597XFSL</t>
  </si>
  <si>
    <t>CORNER;FL;SX;CAT;309</t>
  </si>
  <si>
    <t>258036</t>
  </si>
  <si>
    <t>06H637 C/O Axle Group Front LH</t>
  </si>
  <si>
    <t>51227711</t>
  </si>
  <si>
    <t>FDRV .AXAF.AGLH</t>
  </si>
  <si>
    <t>20866729</t>
  </si>
  <si>
    <t>3099597XFSR</t>
  </si>
  <si>
    <t>CORNER;FR;SX;CAT;309</t>
  </si>
  <si>
    <t>258038</t>
  </si>
  <si>
    <t>06H637 C/O Axle Group Front RH</t>
  </si>
  <si>
    <t>51227712</t>
  </si>
  <si>
    <t>FDRV .AXAF.AGRH</t>
  </si>
  <si>
    <t>278876</t>
  </si>
  <si>
    <t>06D327 C/O Strg Cyl &amp; Tie Rod End LH</t>
  </si>
  <si>
    <t>51421124</t>
  </si>
  <si>
    <t>06D327 C/O Steering Cylinder LH</t>
  </si>
  <si>
    <t>06D327 C/O Strg Cyl &amp; Tie Rod End RH</t>
  </si>
  <si>
    <t>51421157</t>
  </si>
  <si>
    <t>06D327 C/O Steering Cylinder RH</t>
  </si>
  <si>
    <t>A/258073/Z1</t>
  </si>
  <si>
    <t>1795508: 06H637 C/O Strg Cyl &amp; Tie Rod End LH</t>
  </si>
  <si>
    <t>51227673</t>
  </si>
  <si>
    <t>06H637 C/O Steering Cylinder LH</t>
  </si>
  <si>
    <t>1795509: 06H637 C/O Strg Cyl &amp; Tie Rod End RH</t>
  </si>
  <si>
    <t>51227675</t>
  </si>
  <si>
    <t>06H637 C/O Steering Cylinder RH</t>
  </si>
  <si>
    <t>278872</t>
  </si>
  <si>
    <t>06D327 C/O Primary Steering Pump</t>
  </si>
  <si>
    <t>51421120</t>
  </si>
  <si>
    <t>258069</t>
  </si>
  <si>
    <t>06R915 C/O Primary Steering Pump</t>
  </si>
  <si>
    <t>51184919</t>
  </si>
  <si>
    <t>278891</t>
  </si>
  <si>
    <t>06D327 C/O Water System Hydraulic Pump</t>
  </si>
  <si>
    <t>51421140</t>
  </si>
  <si>
    <t>169175</t>
  </si>
  <si>
    <t>06H721 C/O Water System Hydraulic Pump</t>
  </si>
  <si>
    <t>50634241</t>
  </si>
  <si>
    <t>STRU .WATA.HP01</t>
  </si>
  <si>
    <t>169176</t>
  </si>
  <si>
    <t>06H721 C/O Water System Hyd Charge Pump</t>
  </si>
  <si>
    <t>50634239</t>
  </si>
  <si>
    <t>STRU .WATA.HP02</t>
  </si>
  <si>
    <t>278865</t>
  </si>
  <si>
    <t>06D327 C/O Hoist &amp; Brake Cooling Pump</t>
  </si>
  <si>
    <t>51421113</t>
  </si>
  <si>
    <t>258030</t>
  </si>
  <si>
    <t>06R915 C/O Hoist &amp; Brake Cooling Pump</t>
  </si>
  <si>
    <t>51184913</t>
  </si>
  <si>
    <t>20866732</t>
  </si>
  <si>
    <t>3315006X</t>
  </si>
  <si>
    <t>SUSPENSION;SX;CAT;33</t>
  </si>
  <si>
    <t>278878</t>
  </si>
  <si>
    <t>06D327 C/O Suspension LHF</t>
  </si>
  <si>
    <t>51421126</t>
  </si>
  <si>
    <t>06D327 C/O Suspension RHF</t>
  </si>
  <si>
    <t>51421128</t>
  </si>
  <si>
    <t>258077</t>
  </si>
  <si>
    <t>06R915 C/O Suspension RHF</t>
  </si>
  <si>
    <t>51184929</t>
  </si>
  <si>
    <t>06R915 C/O Suspension LHF</t>
  </si>
  <si>
    <t>51184927</t>
  </si>
  <si>
    <t>278899</t>
  </si>
  <si>
    <t>06D327 C/O Suspension LHR</t>
  </si>
  <si>
    <t>51421127</t>
  </si>
  <si>
    <t>06D327 C/O Suspension RHR</t>
  </si>
  <si>
    <t>51421129</t>
  </si>
  <si>
    <t>258078</t>
  </si>
  <si>
    <t>06H637 C/O Suspension LHR</t>
  </si>
  <si>
    <t>51227678</t>
  </si>
  <si>
    <t>06H637 C/O Suspension RHR</t>
  </si>
  <si>
    <t>51227680</t>
  </si>
  <si>
    <t>789C</t>
  </si>
  <si>
    <t>2BW01034</t>
  </si>
  <si>
    <t>20168259</t>
  </si>
  <si>
    <t>1755289X</t>
  </si>
  <si>
    <t>ENGINE;SX;CAT;175-52</t>
  </si>
  <si>
    <t>187941</t>
  </si>
  <si>
    <t>06H117 Engine</t>
  </si>
  <si>
    <t>50694225</t>
  </si>
  <si>
    <t>06H117 C/O Engine INLINE</t>
  </si>
  <si>
    <t>2BW77025</t>
  </si>
  <si>
    <t>06R39 Engine</t>
  </si>
  <si>
    <t>50694265</t>
  </si>
  <si>
    <t>06R39 C/O Engine</t>
  </si>
  <si>
    <t>20979653</t>
  </si>
  <si>
    <t>20R6651</t>
  </si>
  <si>
    <t>222576</t>
  </si>
  <si>
    <t>50977166</t>
  </si>
  <si>
    <t>06H117 C/O Turbocharger LHF</t>
  </si>
  <si>
    <t>50977168</t>
  </si>
  <si>
    <t>06H117 C/O Turbocharger LHR</t>
  </si>
  <si>
    <t>50977167</t>
  </si>
  <si>
    <t>06H117 C/O Turbocharger RHF</t>
  </si>
  <si>
    <t>50977169</t>
  </si>
  <si>
    <t>06H117 C/O Turbocharger RHR</t>
  </si>
  <si>
    <t>2BW77029</t>
  </si>
  <si>
    <t>06H117 C/O Engine Turbocharger LHF</t>
  </si>
  <si>
    <t>06H117 C/O Engine Turbocharger RHF</t>
  </si>
  <si>
    <t>06H117 C/O Engine Turbocharger LHR</t>
  </si>
  <si>
    <t>06H117 C/O Engine Turbocharger RHR</t>
  </si>
  <si>
    <t>222578</t>
  </si>
  <si>
    <t>50977170</t>
  </si>
  <si>
    <t>06H117 C/O Fuel Injectors</t>
  </si>
  <si>
    <t>06H117 C/O Engine Fuel Injectors</t>
  </si>
  <si>
    <t>20261058</t>
  </si>
  <si>
    <t>1451226F</t>
  </si>
  <si>
    <t>RADIATOR;SX;CAT;145-</t>
  </si>
  <si>
    <t>5052090</t>
  </si>
  <si>
    <t>06H117 C/O Engine Radiator</t>
  </si>
  <si>
    <t>50349822</t>
  </si>
  <si>
    <t>06R39 C/O Engine Radiator</t>
  </si>
  <si>
    <t>50112582</t>
  </si>
  <si>
    <t>40724878</t>
  </si>
  <si>
    <t>6Y5645X</t>
  </si>
  <si>
    <t>SUPPLY SX;TRANSMISSI</t>
  </si>
  <si>
    <t>5052083</t>
  </si>
  <si>
    <t>06H117 C/O Transmission</t>
  </si>
  <si>
    <t>50111355</t>
  </si>
  <si>
    <t>SUPPLY SX,TRANSMISSI</t>
  </si>
  <si>
    <t>06R39 C/O Transmission</t>
  </si>
  <si>
    <t>50112621</t>
  </si>
  <si>
    <t>40724871</t>
  </si>
  <si>
    <t>1165810X</t>
  </si>
  <si>
    <t>SUPPLY SX,TORQUE CON</t>
  </si>
  <si>
    <t>5052084</t>
  </si>
  <si>
    <t>06H117 C/O Torque Converter</t>
  </si>
  <si>
    <t>50111352</t>
  </si>
  <si>
    <t>06R39 C/O Torque Converter</t>
  </si>
  <si>
    <t>50112618</t>
  </si>
  <si>
    <t>5052087</t>
  </si>
  <si>
    <t>06H117 C/O Main Pump Drive Trans</t>
  </si>
  <si>
    <t>50319633</t>
  </si>
  <si>
    <t>06R39 C/O Main Pump Drive Trans</t>
  </si>
  <si>
    <t>50322742</t>
  </si>
  <si>
    <t>06R39 C/O Main P/Drive Transmission</t>
  </si>
  <si>
    <t>40508431</t>
  </si>
  <si>
    <t>10R5185</t>
  </si>
  <si>
    <t>222611</t>
  </si>
  <si>
    <t>06H117 Main Drive Shaft</t>
  </si>
  <si>
    <t>50977158</t>
  </si>
  <si>
    <t>06H117 C/O Driveshaft Main</t>
  </si>
  <si>
    <t>06R39 Main Drive Shaft</t>
  </si>
  <si>
    <t>50977524</t>
  </si>
  <si>
    <t>06R39 C/O Driveshaft Main</t>
  </si>
  <si>
    <t>40724833</t>
  </si>
  <si>
    <t>1256046XP</t>
  </si>
  <si>
    <t>SUPPLY SX;DIFFERENTI</t>
  </si>
  <si>
    <t>5052086</t>
  </si>
  <si>
    <t>06H117 C/O Differential</t>
  </si>
  <si>
    <t>50110702</t>
  </si>
  <si>
    <t>SUPPLY SX,DIFFERENTI</t>
  </si>
  <si>
    <t>06R39 C/O Differential</t>
  </si>
  <si>
    <t>50112584</t>
  </si>
  <si>
    <t>40724864</t>
  </si>
  <si>
    <t>3288492XL</t>
  </si>
  <si>
    <t>SPINDLE &amp; BRAKE ASSY</t>
  </si>
  <si>
    <t>5052120</t>
  </si>
  <si>
    <t>06H117 C/O Hub &amp; Spindle LH</t>
  </si>
  <si>
    <t>50319626</t>
  </si>
  <si>
    <t>06H117 C/O Hub &amp; Spindle RH</t>
  </si>
  <si>
    <t>50319627</t>
  </si>
  <si>
    <t>06R39 C/O Hub &amp; Spindle RH</t>
  </si>
  <si>
    <t>50322662</t>
  </si>
  <si>
    <t>06R39 C/O Hub &amp; Spindle LH</t>
  </si>
  <si>
    <t>50322663</t>
  </si>
  <si>
    <t>40724846</t>
  </si>
  <si>
    <t>3216787X</t>
  </si>
  <si>
    <t>WHEEL ASSY;SX;CAT;32</t>
  </si>
  <si>
    <t>5052080</t>
  </si>
  <si>
    <t>06H117 C/O Final Drive Group LH</t>
  </si>
  <si>
    <t>50319658</t>
  </si>
  <si>
    <t>06H117 C/O Final Drive Group RH</t>
  </si>
  <si>
    <t>50319722</t>
  </si>
  <si>
    <t>06R39 C/O Final Drive Group LH</t>
  </si>
  <si>
    <t>50322664</t>
  </si>
  <si>
    <t>06R39 C/O Final Drive LH</t>
  </si>
  <si>
    <t>06R39 C/O Final Drive Group RH</t>
  </si>
  <si>
    <t>50322665</t>
  </si>
  <si>
    <t>06R39 C/O Final Drive RH</t>
  </si>
  <si>
    <t>40724868</t>
  </si>
  <si>
    <t>4T6797X</t>
  </si>
  <si>
    <t>CYLINDER;STEERING;SX</t>
  </si>
  <si>
    <t>5052124</t>
  </si>
  <si>
    <t>06H117 C/O Steering Cylinder LH</t>
  </si>
  <si>
    <t>50319647</t>
  </si>
  <si>
    <t>06H117 C/O Steering Cylinder RH</t>
  </si>
  <si>
    <t>50319656</t>
  </si>
  <si>
    <t>CYLINDER,STEERING;SX</t>
  </si>
  <si>
    <t>20906560</t>
  </si>
  <si>
    <t>10R7967</t>
  </si>
  <si>
    <t>PUMP;GEAR;CAT;10R796</t>
  </si>
  <si>
    <t>5052101</t>
  </si>
  <si>
    <t>06H117 C/O Hoist &amp; Brake Cooling Pump</t>
  </si>
  <si>
    <t>50319731</t>
  </si>
  <si>
    <t>40724827</t>
  </si>
  <si>
    <t>9T2807X</t>
  </si>
  <si>
    <t>SUPPLY SX;CYLINDER;H</t>
  </si>
  <si>
    <t>5052100</t>
  </si>
  <si>
    <t>06H117 C/O Hoist Cylinder LH</t>
  </si>
  <si>
    <t>50111333</t>
  </si>
  <si>
    <t>MYHD .CYLI.HOIL</t>
  </si>
  <si>
    <t>06H117 C/O Hoist Cylinder RH</t>
  </si>
  <si>
    <t>50111334</t>
  </si>
  <si>
    <t>MYHD .CYLI.HOIR</t>
  </si>
  <si>
    <t>SUPPLY SX,CYLINDER,H</t>
  </si>
  <si>
    <t>06R39 C/O Hoist Cylinder LH</t>
  </si>
  <si>
    <t>50112538</t>
  </si>
  <si>
    <t>06R39 C/O Hoist Cylinder RH</t>
  </si>
  <si>
    <t>50112539</t>
  </si>
  <si>
    <t>40724851</t>
  </si>
  <si>
    <t>3524023X</t>
  </si>
  <si>
    <t>CYLINDER;SUSPENSION;</t>
  </si>
  <si>
    <t>5052117</t>
  </si>
  <si>
    <t>06H117 C/O Suspension LHF</t>
  </si>
  <si>
    <t>50111345</t>
  </si>
  <si>
    <t>06H117 C/O Suspension RHF</t>
  </si>
  <si>
    <t>50111346</t>
  </si>
  <si>
    <t>06R39 C/O Suspension LHF</t>
  </si>
  <si>
    <t>50112611</t>
  </si>
  <si>
    <t>06R39 C/O Suspension RHF</t>
  </si>
  <si>
    <t>50112612</t>
  </si>
  <si>
    <t>40724861</t>
  </si>
  <si>
    <t>1061801X</t>
  </si>
  <si>
    <t>SUPPLY SX;REAR SUSP</t>
  </si>
  <si>
    <t>5052118</t>
  </si>
  <si>
    <t>06H117 C/O Suspension LHR O/C</t>
  </si>
  <si>
    <t>50111347</t>
  </si>
  <si>
    <t>06H117 C/O Suspension RHR O/C</t>
  </si>
  <si>
    <t>50111348</t>
  </si>
  <si>
    <t>SUPPLY SX,REAR SUSP</t>
  </si>
  <si>
    <t>06R39 C/O Suspension LHR O/C</t>
  </si>
  <si>
    <t>50112613</t>
  </si>
  <si>
    <t>06R39 C/O Suspension LHR</t>
  </si>
  <si>
    <t>06R39 C/O Suspension RHR O/C</t>
  </si>
  <si>
    <t>50112614</t>
  </si>
  <si>
    <t>06R39 C/O Suspension RHR</t>
  </si>
  <si>
    <t>789D</t>
  </si>
  <si>
    <t>AX700102</t>
  </si>
  <si>
    <t>21017707</t>
  </si>
  <si>
    <t>6155618X</t>
  </si>
  <si>
    <t>ENGINE;CAT;6155618X</t>
  </si>
  <si>
    <t>322799</t>
  </si>
  <si>
    <t>06B234 Engine</t>
  </si>
  <si>
    <t>51607122</t>
  </si>
  <si>
    <t>06B234 C/O Engine</t>
  </si>
  <si>
    <t>AX790101</t>
  </si>
  <si>
    <t>06B232 Engine</t>
  </si>
  <si>
    <t>51606562</t>
  </si>
  <si>
    <t>06B232 C/O Engine</t>
  </si>
  <si>
    <t>AX700101</t>
  </si>
  <si>
    <t>20944070</t>
  </si>
  <si>
    <t>20R5068</t>
  </si>
  <si>
    <t>322805</t>
  </si>
  <si>
    <t>06B233 Engine</t>
  </si>
  <si>
    <t>51607141</t>
  </si>
  <si>
    <t>06B233 C/O Turbocharger LHF</t>
  </si>
  <si>
    <t>51607142</t>
  </si>
  <si>
    <t>06B233 C/O Turbocharger RHF</t>
  </si>
  <si>
    <t>51607143</t>
  </si>
  <si>
    <t>06B233 C/O Turbocharger LHR</t>
  </si>
  <si>
    <t>51607144</t>
  </si>
  <si>
    <t>06B233 C/O Turbocharger RHR</t>
  </si>
  <si>
    <t>51606567</t>
  </si>
  <si>
    <t>06B232 C/O Turbocharger LHF</t>
  </si>
  <si>
    <t>51606569</t>
  </si>
  <si>
    <t>06B232 C/O Turbocharger LHR</t>
  </si>
  <si>
    <t>51606568</t>
  </si>
  <si>
    <t>06B232 C/O Turbocharger RHF</t>
  </si>
  <si>
    <t>51606570</t>
  </si>
  <si>
    <t>06B232 C/O Turbocharger RHR</t>
  </si>
  <si>
    <t>20944068</t>
  </si>
  <si>
    <t>20R0863</t>
  </si>
  <si>
    <t>322802</t>
  </si>
  <si>
    <t>51607138</t>
  </si>
  <si>
    <t>06B233 C/O Fuel Injectors</t>
  </si>
  <si>
    <t>51606564</t>
  </si>
  <si>
    <t>06B232 C/O Fuel Injectors</t>
  </si>
  <si>
    <t>21108661</t>
  </si>
  <si>
    <t>3716127F</t>
  </si>
  <si>
    <t>RADIATOR;ASSY;CAT;37</t>
  </si>
  <si>
    <t>273879</t>
  </si>
  <si>
    <t>06B234 C/O Engine Radiator</t>
  </si>
  <si>
    <t>51420006</t>
  </si>
  <si>
    <t>06B232 C/O Engine Radiator</t>
  </si>
  <si>
    <t>51419760</t>
  </si>
  <si>
    <t>322801</t>
  </si>
  <si>
    <t>51607145</t>
  </si>
  <si>
    <t>06B233 C/O Engine Water Pump Main</t>
  </si>
  <si>
    <t>PUMP;WATER;CAT;10R16</t>
  </si>
  <si>
    <t>51606571</t>
  </si>
  <si>
    <t>06B232 C/O Engine Water Pump Main</t>
  </si>
  <si>
    <t>21017955</t>
  </si>
  <si>
    <t>3510988XAHS</t>
  </si>
  <si>
    <t>TRANSMISSION;CAT;351</t>
  </si>
  <si>
    <t>273907</t>
  </si>
  <si>
    <t>06B234 C/O Transmission</t>
  </si>
  <si>
    <t>51420065</t>
  </si>
  <si>
    <t>06B232 C/O Transmission</t>
  </si>
  <si>
    <t>51419809</t>
  </si>
  <si>
    <t>21018050</t>
  </si>
  <si>
    <t>2990726X</t>
  </si>
  <si>
    <t>CONVERTER TRQ;CAT;29</t>
  </si>
  <si>
    <t>273905</t>
  </si>
  <si>
    <t>06B234 C/O Torque Converter</t>
  </si>
  <si>
    <t>51420052</t>
  </si>
  <si>
    <t>06B232 C/O Torque Converter</t>
  </si>
  <si>
    <t>51419808</t>
  </si>
  <si>
    <t>273891</t>
  </si>
  <si>
    <t>06B234 C/O Main Pump Drive Trans</t>
  </si>
  <si>
    <t>51420028</t>
  </si>
  <si>
    <t>06B232 C/O Main Pump Drive Trans</t>
  </si>
  <si>
    <t>51419805</t>
  </si>
  <si>
    <t>325078</t>
  </si>
  <si>
    <t>06B233 C/O Drive Shaft &amp; Unis Main</t>
  </si>
  <si>
    <t>51627925</t>
  </si>
  <si>
    <t>06B233 C/O Driveshaft Main</t>
  </si>
  <si>
    <t>06B232 C/O Drive Shaft &amp; Unis Main</t>
  </si>
  <si>
    <t>51627927</t>
  </si>
  <si>
    <t>06B232 C/O Driveshaft Main</t>
  </si>
  <si>
    <t>20944081</t>
  </si>
  <si>
    <t>2885664X</t>
  </si>
  <si>
    <t>273877</t>
  </si>
  <si>
    <t>06B234 C/O Differential</t>
  </si>
  <si>
    <t>51419991</t>
  </si>
  <si>
    <t>06B232 C/O Differential</t>
  </si>
  <si>
    <t>51419763</t>
  </si>
  <si>
    <t>20944095</t>
  </si>
  <si>
    <t>3288492XLA</t>
  </si>
  <si>
    <t>WHEEL;LH;CAT;3288492</t>
  </si>
  <si>
    <t>273889</t>
  </si>
  <si>
    <t>06B233 C/O Hub &amp; Spindle LH</t>
  </si>
  <si>
    <t>51420024</t>
  </si>
  <si>
    <t>20944096</t>
  </si>
  <si>
    <t>3288492XRA</t>
  </si>
  <si>
    <t>WHEEL;RH;CAT;3288492</t>
  </si>
  <si>
    <t>273890</t>
  </si>
  <si>
    <t>06B233 C/O Hub &amp; Spindle RH</t>
  </si>
  <si>
    <t>51420010</t>
  </si>
  <si>
    <t>06B232 C/O Hub &amp; Spindle LH</t>
  </si>
  <si>
    <t>51419761</t>
  </si>
  <si>
    <t>06B232 C/O Hub &amp; Spindle RH</t>
  </si>
  <si>
    <t>51419762</t>
  </si>
  <si>
    <t>273880</t>
  </si>
  <si>
    <t>06B232 C/O Final Drive LH</t>
  </si>
  <si>
    <t>51419764</t>
  </si>
  <si>
    <t>06B232 C/O Final Drive RH</t>
  </si>
  <si>
    <t>51419765</t>
  </si>
  <si>
    <t>20861806</t>
  </si>
  <si>
    <t>6239954X</t>
  </si>
  <si>
    <t>CYLINDER HYD;CAT;623</t>
  </si>
  <si>
    <t>273897</t>
  </si>
  <si>
    <t>06B233 C/O Steering Cylinder LH</t>
  </si>
  <si>
    <t>51420040</t>
  </si>
  <si>
    <t>20861807</t>
  </si>
  <si>
    <t>6239953X</t>
  </si>
  <si>
    <t>273898</t>
  </si>
  <si>
    <t>06B233 C/O Steering Cylinder RH</t>
  </si>
  <si>
    <t>51420018</t>
  </si>
  <si>
    <t>06B232 C/O Steering Cylinder LH</t>
  </si>
  <si>
    <t>51419771</t>
  </si>
  <si>
    <t>06B232 C/O Steering Cylinder RH</t>
  </si>
  <si>
    <t>51419772</t>
  </si>
  <si>
    <t>20944072</t>
  </si>
  <si>
    <t>20R7971</t>
  </si>
  <si>
    <t>PUMP;RM;CAT;20R-7971</t>
  </si>
  <si>
    <t>273894</t>
  </si>
  <si>
    <t>06B233 C/O Primary Steering Pump</t>
  </si>
  <si>
    <t>51420014</t>
  </si>
  <si>
    <t>06B232 C/O Primary Steering Pump</t>
  </si>
  <si>
    <t>51419776</t>
  </si>
  <si>
    <t>PUMP,GEAR;CAT;10R796</t>
  </si>
  <si>
    <t>273886</t>
  </si>
  <si>
    <t>06B234 C/O Main Hydraulic Pump</t>
  </si>
  <si>
    <t>51420011</t>
  </si>
  <si>
    <t>06B232 C/O Main Hydraulic Pump</t>
  </si>
  <si>
    <t>51419770</t>
  </si>
  <si>
    <t>273902</t>
  </si>
  <si>
    <t>06B233 C/O Suspension LHF</t>
  </si>
  <si>
    <t>51420060</t>
  </si>
  <si>
    <t>06B233 C/O Suspension RHF</t>
  </si>
  <si>
    <t>51420046</t>
  </si>
  <si>
    <t>06B232 C/O Suspension LHF</t>
  </si>
  <si>
    <t>51419801</t>
  </si>
  <si>
    <t>06B232 C/O Suspension RHF</t>
  </si>
  <si>
    <t>51419802</t>
  </si>
  <si>
    <t>273903</t>
  </si>
  <si>
    <t>06B234 C/O Suspension LHR</t>
  </si>
  <si>
    <t>51420061</t>
  </si>
  <si>
    <t>06B233 C/O Suspension RHR</t>
  </si>
  <si>
    <t>51420062</t>
  </si>
  <si>
    <t>06B232 C/O Suspension RHR</t>
  </si>
  <si>
    <t>51419804</t>
  </si>
  <si>
    <t>06B232 C/O Suspension LHR</t>
  </si>
  <si>
    <t>51419803</t>
  </si>
  <si>
    <t>793B</t>
  </si>
  <si>
    <t>1HL00428</t>
  </si>
  <si>
    <t>20098856</t>
  </si>
  <si>
    <t>9T8912X</t>
  </si>
  <si>
    <t>CYLINDER HYD;RM;CAT;</t>
  </si>
  <si>
    <t>138571</t>
  </si>
  <si>
    <t>11H114 C/O Steering Cylinder LH</t>
  </si>
  <si>
    <t>50348291</t>
  </si>
  <si>
    <t>11H114 C/O Steering Cylinder RH</t>
  </si>
  <si>
    <t>50348293</t>
  </si>
  <si>
    <t>793D</t>
  </si>
  <si>
    <t>FDB01430</t>
  </si>
  <si>
    <t>20342258</t>
  </si>
  <si>
    <t>2350300X</t>
  </si>
  <si>
    <t>ENGINE;CAT;2350300X</t>
  </si>
  <si>
    <t>140627</t>
  </si>
  <si>
    <t>11H1018 Engine</t>
  </si>
  <si>
    <t>50430470</t>
  </si>
  <si>
    <t>11H1018 C/O Engine</t>
  </si>
  <si>
    <t>FDB01684</t>
  </si>
  <si>
    <t>20038372</t>
  </si>
  <si>
    <t>20R9727</t>
  </si>
  <si>
    <t>140805</t>
  </si>
  <si>
    <t>11H1083 Engine</t>
  </si>
  <si>
    <t>50482551</t>
  </si>
  <si>
    <t>11H1083 C/O Engine Turbocharger RHR</t>
  </si>
  <si>
    <t>50482552</t>
  </si>
  <si>
    <t>11H1083 C/O Engine Turbocharger LHR</t>
  </si>
  <si>
    <t>50482553</t>
  </si>
  <si>
    <t>11H1083 C/O Engine Turbocharger RHF</t>
  </si>
  <si>
    <t>50482554</t>
  </si>
  <si>
    <t>11H1083 C/O Engine Turbocharger LHF</t>
  </si>
  <si>
    <t>FDB02019</t>
  </si>
  <si>
    <t>11H1082 Engine</t>
  </si>
  <si>
    <t>51219943</t>
  </si>
  <si>
    <t>11H1082 C/O Turbocharger LHF</t>
  </si>
  <si>
    <t>51219941</t>
  </si>
  <si>
    <t>11H1082 C/O Turbocharger LHR</t>
  </si>
  <si>
    <t>51219942</t>
  </si>
  <si>
    <t>11H1082 C/O Turbocharger RHF</t>
  </si>
  <si>
    <t>51219940</t>
  </si>
  <si>
    <t>11H1082 C/O Turbocharger RHR</t>
  </si>
  <si>
    <t>40307512</t>
  </si>
  <si>
    <t>20R0850</t>
  </si>
  <si>
    <t>140641</t>
  </si>
  <si>
    <t>50482557</t>
  </si>
  <si>
    <t>11H1083 C/O Engine Fuel Injectors</t>
  </si>
  <si>
    <t>51219946</t>
  </si>
  <si>
    <t>11H1082 C/O Fuel Injectors</t>
  </si>
  <si>
    <t>20903332</t>
  </si>
  <si>
    <t>1936287F</t>
  </si>
  <si>
    <t>RADIATOR;WESTRAC;193</t>
  </si>
  <si>
    <t>140633</t>
  </si>
  <si>
    <t>11H1018 C/O Engine Radiator</t>
  </si>
  <si>
    <t>50430526</t>
  </si>
  <si>
    <t>20331885</t>
  </si>
  <si>
    <t>20R0505</t>
  </si>
  <si>
    <t>PUMP,WATER;CAT;20R05</t>
  </si>
  <si>
    <t>140810</t>
  </si>
  <si>
    <t>50482549</t>
  </si>
  <si>
    <t>11H1083 C/O Engine Water Pump Main</t>
  </si>
  <si>
    <t>20342308</t>
  </si>
  <si>
    <t>2407184X</t>
  </si>
  <si>
    <t>TRANSMISSION;CAT;240</t>
  </si>
  <si>
    <t>140804</t>
  </si>
  <si>
    <t>11H1018 C/O Transmission</t>
  </si>
  <si>
    <t>50888512</t>
  </si>
  <si>
    <t>20342327</t>
  </si>
  <si>
    <t>2407186X</t>
  </si>
  <si>
    <t>140792</t>
  </si>
  <si>
    <t>11H1018 C/O Torque Converter</t>
  </si>
  <si>
    <t>50888511</t>
  </si>
  <si>
    <t>20556026</t>
  </si>
  <si>
    <t>3864902X</t>
  </si>
  <si>
    <t>PUMP;MAIN;SX;CAT;149</t>
  </si>
  <si>
    <t>140660</t>
  </si>
  <si>
    <t>11H1018 C/O Main Pump Drive Trans</t>
  </si>
  <si>
    <t>50430571</t>
  </si>
  <si>
    <t>11H1083 C/O Main Pump Drive Trans</t>
  </si>
  <si>
    <t>50482594</t>
  </si>
  <si>
    <t>11H1083 C/O Main P/Drive Transmission</t>
  </si>
  <si>
    <t>20649425</t>
  </si>
  <si>
    <t>PUMP DRIVE GROUP;CAT</t>
  </si>
  <si>
    <t>11H1082 C/O Main Pump Drive Trans</t>
  </si>
  <si>
    <t>51219983</t>
  </si>
  <si>
    <t>11H1082 C/O Main P/Drive Transmission</t>
  </si>
  <si>
    <t>40507744</t>
  </si>
  <si>
    <t>1936222X</t>
  </si>
  <si>
    <t>DIFFERENTIAL;CAT;193</t>
  </si>
  <si>
    <t>140622</t>
  </si>
  <si>
    <t>11H1018 C/O Differential</t>
  </si>
  <si>
    <t>50430566</t>
  </si>
  <si>
    <t>20761884</t>
  </si>
  <si>
    <t>2802056XL</t>
  </si>
  <si>
    <t>WHEEL ASSEMBLY;FRONT</t>
  </si>
  <si>
    <t>140647</t>
  </si>
  <si>
    <t>11H1018 C/O Hub &amp; Spindle LH</t>
  </si>
  <si>
    <t>50888470</t>
  </si>
  <si>
    <t>20761885</t>
  </si>
  <si>
    <t>2802056XR</t>
  </si>
  <si>
    <t>140648</t>
  </si>
  <si>
    <t>11H1018 C/O Hub &amp; Spindle RH</t>
  </si>
  <si>
    <t>50888471</t>
  </si>
  <si>
    <t>163752</t>
  </si>
  <si>
    <t>11H1082 C/O Rear Wheel Group LH</t>
  </si>
  <si>
    <t>51219963</t>
  </si>
  <si>
    <t>11H1082 C/O Final Drive LH</t>
  </si>
  <si>
    <t>11H1082 C/O Rear Wheel Group RH</t>
  </si>
  <si>
    <t>51219964</t>
  </si>
  <si>
    <t>11H1082 C/O Final Drive RH</t>
  </si>
  <si>
    <t>20297777</t>
  </si>
  <si>
    <t>10R5395</t>
  </si>
  <si>
    <t>BRAKE;CAT;10R-5395</t>
  </si>
  <si>
    <t>140590</t>
  </si>
  <si>
    <t>11H1082 C/O Brake LHF</t>
  </si>
  <si>
    <t>51219926</t>
  </si>
  <si>
    <t>BRAK .SEBR.SBLF</t>
  </si>
  <si>
    <t>11H1082 C/O Brake RHF</t>
  </si>
  <si>
    <t>51219929</t>
  </si>
  <si>
    <t>BRAK .SEBR.SBRF</t>
  </si>
  <si>
    <t>20735499</t>
  </si>
  <si>
    <t>20R7440</t>
  </si>
  <si>
    <t>PUMP;RM;CAT;20R-7440</t>
  </si>
  <si>
    <t>140734</t>
  </si>
  <si>
    <t>11H1018 C/O Brake Oil Cooling Pump</t>
  </si>
  <si>
    <t>50430537</t>
  </si>
  <si>
    <t>BRAK .PUMP.BP02</t>
  </si>
  <si>
    <t>140680</t>
  </si>
  <si>
    <t>11H1018 C/O Steering Cylinder LH</t>
  </si>
  <si>
    <t>50888502</t>
  </si>
  <si>
    <t>11H1018 C/O Steering Cylinder RH</t>
  </si>
  <si>
    <t>50888503</t>
  </si>
  <si>
    <t>20687847</t>
  </si>
  <si>
    <t>9T8910X</t>
  </si>
  <si>
    <t>140784</t>
  </si>
  <si>
    <t>11H1018 C/O Suspension LHF</t>
  </si>
  <si>
    <t>50888505</t>
  </si>
  <si>
    <t>11H1018 C/O Suspension RHF</t>
  </si>
  <si>
    <t>50888506</t>
  </si>
  <si>
    <t>140787</t>
  </si>
  <si>
    <t>11H1018 C/O Suspension LHR</t>
  </si>
  <si>
    <t>50888507</t>
  </si>
  <si>
    <t>11H1018 C/O Suspension RHR</t>
  </si>
  <si>
    <t>50888508</t>
  </si>
  <si>
    <t>793F</t>
  </si>
  <si>
    <t>RBT00364</t>
  </si>
  <si>
    <t>20845859</t>
  </si>
  <si>
    <t>5632134X</t>
  </si>
  <si>
    <t>ENGINE;CAT;5632134X</t>
  </si>
  <si>
    <t>323819</t>
  </si>
  <si>
    <t>06B352 Engine</t>
  </si>
  <si>
    <t>51667218</t>
  </si>
  <si>
    <t>06B352 C/O Engine</t>
  </si>
  <si>
    <t>SSP00671</t>
  </si>
  <si>
    <t>325212</t>
  </si>
  <si>
    <t>06H545 Engine</t>
  </si>
  <si>
    <t>51666798</t>
  </si>
  <si>
    <t>06H545 C/O Engine</t>
  </si>
  <si>
    <t>RBT00309</t>
  </si>
  <si>
    <t>20290578</t>
  </si>
  <si>
    <t>20R5566</t>
  </si>
  <si>
    <t>325252</t>
  </si>
  <si>
    <t>06H312 Engine</t>
  </si>
  <si>
    <t>51667056</t>
  </si>
  <si>
    <t>06H312 C/O Engine Fuel Injectors</t>
  </si>
  <si>
    <t>20769050</t>
  </si>
  <si>
    <t>3377882F</t>
  </si>
  <si>
    <t>MODULE;RADIATOR;CAT;</t>
  </si>
  <si>
    <t>334329</t>
  </si>
  <si>
    <t>51667217</t>
  </si>
  <si>
    <t>06B352 C/O Engine Radiator Module</t>
  </si>
  <si>
    <t>MODULE,RADIATOR;CAT;</t>
  </si>
  <si>
    <t>334328</t>
  </si>
  <si>
    <t>51666797</t>
  </si>
  <si>
    <t>06H545 C/O Engine Radiator Module</t>
  </si>
  <si>
    <t>20243051</t>
  </si>
  <si>
    <t>10R9042</t>
  </si>
  <si>
    <t>325257</t>
  </si>
  <si>
    <t>51667060</t>
  </si>
  <si>
    <t>06H312 C/O Engine Water Pump Main</t>
  </si>
  <si>
    <t>20732595</t>
  </si>
  <si>
    <t>4217193</t>
  </si>
  <si>
    <t>ALTERNATOR;CAT;421-7</t>
  </si>
  <si>
    <t>323817</t>
  </si>
  <si>
    <t>06B352 Alternator, Tensioner &amp; Belt</t>
  </si>
  <si>
    <t>51610443</t>
  </si>
  <si>
    <t>06B352 C/O LV Alt, Tensioner &amp; Belt</t>
  </si>
  <si>
    <t>1405 - ALTERNATOR</t>
  </si>
  <si>
    <t>SSP01261</t>
  </si>
  <si>
    <t>323813</t>
  </si>
  <si>
    <t>06H262 Alternator, Tensioner &amp; Belt</t>
  </si>
  <si>
    <t>51610515</t>
  </si>
  <si>
    <t>06H262 C/O LV Alt, Tensioner &amp; Belt</t>
  </si>
  <si>
    <t>RBT00295</t>
  </si>
  <si>
    <t>STARTER,MOTOR;CAT;20</t>
  </si>
  <si>
    <t>334267</t>
  </si>
  <si>
    <t>06H111 Engine</t>
  </si>
  <si>
    <t>51626597</t>
  </si>
  <si>
    <t>06H111 C/O Starter Motor LH</t>
  </si>
  <si>
    <t>LVEL .STSY.STML</t>
  </si>
  <si>
    <t>51667211</t>
  </si>
  <si>
    <t>06B352 C/O Starter Motors</t>
  </si>
  <si>
    <t>LVEL .STSY</t>
  </si>
  <si>
    <t>334266</t>
  </si>
  <si>
    <t>06H262 Engine</t>
  </si>
  <si>
    <t>51628328</t>
  </si>
  <si>
    <t>06H262 C/O Starter Motors</t>
  </si>
  <si>
    <t>06H262 C/O Starter Motor LH</t>
  </si>
  <si>
    <t>20861777</t>
  </si>
  <si>
    <t>4791630X</t>
  </si>
  <si>
    <t>TRANSMISSION;CAT;479</t>
  </si>
  <si>
    <t>280121</t>
  </si>
  <si>
    <t>06B352 C/O Transmission</t>
  </si>
  <si>
    <t>51532868</t>
  </si>
  <si>
    <t>336558</t>
  </si>
  <si>
    <t>06H262 C/O Transmission</t>
  </si>
  <si>
    <t>51445250</t>
  </si>
  <si>
    <t>20342325</t>
  </si>
  <si>
    <t>2792521X</t>
  </si>
  <si>
    <t>154056</t>
  </si>
  <si>
    <t>06B352 C/O Torque Converter</t>
  </si>
  <si>
    <t>51437232</t>
  </si>
  <si>
    <t>286213</t>
  </si>
  <si>
    <t>06H262 C/O Torque Converter</t>
  </si>
  <si>
    <t>51192437</t>
  </si>
  <si>
    <t>154024</t>
  </si>
  <si>
    <t>06H111 C/O Main Pump Drive</t>
  </si>
  <si>
    <t>51190846</t>
  </si>
  <si>
    <t>06H111 C/O Main P/Drive Transmission</t>
  </si>
  <si>
    <t>06B352 C/O Main Pump Drive</t>
  </si>
  <si>
    <t>51437174</t>
  </si>
  <si>
    <t>286205</t>
  </si>
  <si>
    <t>06H262 C/O Main Pump Drive</t>
  </si>
  <si>
    <t>51192415</t>
  </si>
  <si>
    <t>06H262 C/O Main P/Drive Transmission</t>
  </si>
  <si>
    <t>20358085</t>
  </si>
  <si>
    <t>3032504</t>
  </si>
  <si>
    <t>SHAFT;CAT;303-2504</t>
  </si>
  <si>
    <t>323278</t>
  </si>
  <si>
    <t>06B352 C/O Drive Shaft &amp; Uni Joints Main</t>
  </si>
  <si>
    <t>51608983</t>
  </si>
  <si>
    <t>06B352 C/O Driveshaft Main</t>
  </si>
  <si>
    <t>20668153</t>
  </si>
  <si>
    <t>4667422X</t>
  </si>
  <si>
    <t>DIFFERENTIAL ASSY;SX</t>
  </si>
  <si>
    <t>153997</t>
  </si>
  <si>
    <t>06B352 C/O Differential</t>
  </si>
  <si>
    <t>51437067</t>
  </si>
  <si>
    <t>SSP00682</t>
  </si>
  <si>
    <t>286197</t>
  </si>
  <si>
    <t>06H550 C/O Differential</t>
  </si>
  <si>
    <t>50426306</t>
  </si>
  <si>
    <t>RBT00296</t>
  </si>
  <si>
    <t>20654060</t>
  </si>
  <si>
    <t>3345493X</t>
  </si>
  <si>
    <t>DRIVE;SX;CAT;3345493</t>
  </si>
  <si>
    <t>154007</t>
  </si>
  <si>
    <t>06H112 C/O Wheel Group LH</t>
  </si>
  <si>
    <t>51190955</t>
  </si>
  <si>
    <t>06H112 C/O Final Drive LH</t>
  </si>
  <si>
    <t>FDRV .AXAR.FIDL</t>
  </si>
  <si>
    <t>06H112 C/O Wheel Group RH</t>
  </si>
  <si>
    <t>51190956</t>
  </si>
  <si>
    <t>06H112 C/O Final Drive RH</t>
  </si>
  <si>
    <t>FDRV .AXAR.FIDR</t>
  </si>
  <si>
    <t>06B352 C/O Wheel Group LH</t>
  </si>
  <si>
    <t>51437216</t>
  </si>
  <si>
    <t>06B352 C/O Wheel Group RH</t>
  </si>
  <si>
    <t>51437238</t>
  </si>
  <si>
    <t>286201</t>
  </si>
  <si>
    <t>06H262 C/O Wheel Group LH</t>
  </si>
  <si>
    <t>51192440</t>
  </si>
  <si>
    <t>06H262 C/O Final Drive LH</t>
  </si>
  <si>
    <t>06H262 C/O Wheel Group RH</t>
  </si>
  <si>
    <t>51192441</t>
  </si>
  <si>
    <t>06H262 C/O Final Drive RH</t>
  </si>
  <si>
    <t>RBT00322</t>
  </si>
  <si>
    <t>20704338</t>
  </si>
  <si>
    <t>3377950XFSL</t>
  </si>
  <si>
    <t>CORNER ASSY;CAT;3377</t>
  </si>
  <si>
    <t>224165</t>
  </si>
  <si>
    <t>06H315 Corner Group LHF</t>
  </si>
  <si>
    <t>51505386</t>
  </si>
  <si>
    <t>06H315 C/O Corner Group LHF</t>
  </si>
  <si>
    <t>20704339</t>
  </si>
  <si>
    <t>3377950XFSR</t>
  </si>
  <si>
    <t>224166</t>
  </si>
  <si>
    <t>06H315 Corner Group RHF</t>
  </si>
  <si>
    <t>51505688</t>
  </si>
  <si>
    <t>06H315 C/O Corner Group RHF</t>
  </si>
  <si>
    <t>21187050</t>
  </si>
  <si>
    <t>3377950XFSL-SHORT</t>
  </si>
  <si>
    <t>STRUT;CAT;3377950XFS</t>
  </si>
  <si>
    <t>06B352 Corner Group LHF</t>
  </si>
  <si>
    <t>51505396</t>
  </si>
  <si>
    <t>06B352 C/O Corner Group LHF</t>
  </si>
  <si>
    <t>06B352 C/O Axle Group LHF</t>
  </si>
  <si>
    <t>FDRV .AXAF.COGL</t>
  </si>
  <si>
    <t>06B352 C/O Axle Group RHF</t>
  </si>
  <si>
    <t>51505697</t>
  </si>
  <si>
    <t>FDRV .AXAF.COGR</t>
  </si>
  <si>
    <t>286241</t>
  </si>
  <si>
    <t>06H262 C/O Axle Group RHF</t>
  </si>
  <si>
    <t>51505659</t>
  </si>
  <si>
    <t>06H262 Corner Group RHF</t>
  </si>
  <si>
    <t>06H262 C/O Corner Group RHF</t>
  </si>
  <si>
    <t>SSP01264</t>
  </si>
  <si>
    <t>286240</t>
  </si>
  <si>
    <t>06H262 C/O Axle Group LHF</t>
  </si>
  <si>
    <t>51505236</t>
  </si>
  <si>
    <t>06H265 Corner Group LHF</t>
  </si>
  <si>
    <t>51505634</t>
  </si>
  <si>
    <t>06H265 C/O Corner Group LHF</t>
  </si>
  <si>
    <t>153993</t>
  </si>
  <si>
    <t>06B352 C/O Brake Oil Cooler Pump</t>
  </si>
  <si>
    <t>51437064</t>
  </si>
  <si>
    <t>286195</t>
  </si>
  <si>
    <t>06H262 C/O Brake Oil Cooler Pump</t>
  </si>
  <si>
    <t>51191811</t>
  </si>
  <si>
    <t>154044</t>
  </si>
  <si>
    <t>06B352 C/O Steering Cylinder LH</t>
  </si>
  <si>
    <t>51437195</t>
  </si>
  <si>
    <t>267271</t>
  </si>
  <si>
    <t>06B352 C/O Steering Cylinder RH</t>
  </si>
  <si>
    <t>51437197</t>
  </si>
  <si>
    <t>286209</t>
  </si>
  <si>
    <t>06H262 C/O Steering Cylinder LH</t>
  </si>
  <si>
    <t>51192429</t>
  </si>
  <si>
    <t>286257</t>
  </si>
  <si>
    <t>06H262 C/O Steering Cylinder RH</t>
  </si>
  <si>
    <t>51192430</t>
  </si>
  <si>
    <t>20358035</t>
  </si>
  <si>
    <t>20R0936</t>
  </si>
  <si>
    <t>PUMP;RM;CAT;20R-0936</t>
  </si>
  <si>
    <t>154019</t>
  </si>
  <si>
    <t>06B352 C/O Steering &amp; Cooling Fan Pump</t>
  </si>
  <si>
    <t>51437191</t>
  </si>
  <si>
    <t>STRG .PUMP.STCF</t>
  </si>
  <si>
    <t>286204</t>
  </si>
  <si>
    <t>06H262 C/O Steering &amp; Cooling Fan Pump</t>
  </si>
  <si>
    <t>51192427</t>
  </si>
  <si>
    <t>20735495</t>
  </si>
  <si>
    <t>20R6508</t>
  </si>
  <si>
    <t>PUMP;RM;CAT;20R-6508</t>
  </si>
  <si>
    <t>154018</t>
  </si>
  <si>
    <t>06B352 C/O Hoist &amp; Brake Cooling Pump</t>
  </si>
  <si>
    <t>51437127</t>
  </si>
  <si>
    <t>MYHD .PUMP.HBCP</t>
  </si>
  <si>
    <t>286203</t>
  </si>
  <si>
    <t>06H262 C/O Hoist &amp; Brake Cooling Pump</t>
  </si>
  <si>
    <t>51192412</t>
  </si>
  <si>
    <t>20358070</t>
  </si>
  <si>
    <t>2955708X</t>
  </si>
  <si>
    <t>CYLINDER;CAT;295-570</t>
  </si>
  <si>
    <t>154016</t>
  </si>
  <si>
    <t>06B352 C/O Hoist Cylinder LH</t>
  </si>
  <si>
    <t>51437144</t>
  </si>
  <si>
    <t>06B352 C/O Hoist Cylinder RH</t>
  </si>
  <si>
    <t>51437134</t>
  </si>
  <si>
    <t>286202</t>
  </si>
  <si>
    <t>06H262 C/O Hoist Cylinder LH</t>
  </si>
  <si>
    <t>51192413</t>
  </si>
  <si>
    <t>06H262 C/O Hoist Cylinder RH</t>
  </si>
  <si>
    <t>51192414</t>
  </si>
  <si>
    <t>154054</t>
  </si>
  <si>
    <t>06B352 C/O Suspension LHR</t>
  </si>
  <si>
    <t>51437224</t>
  </si>
  <si>
    <t>06B352 C/O Suspension RHR</t>
  </si>
  <si>
    <t>51437211</t>
  </si>
  <si>
    <t>854K</t>
  </si>
  <si>
    <t>22100303</t>
  </si>
  <si>
    <t>20200198</t>
  </si>
  <si>
    <t>10R8915</t>
  </si>
  <si>
    <t>ENGINE;RM;CAT;10R-89</t>
  </si>
  <si>
    <t>115671</t>
  </si>
  <si>
    <t>08H107 Engine</t>
  </si>
  <si>
    <t>50847157</t>
  </si>
  <si>
    <t>08H107 C/O Engine</t>
  </si>
  <si>
    <t>22100427</t>
  </si>
  <si>
    <t>20192876</t>
  </si>
  <si>
    <t>2593142X</t>
  </si>
  <si>
    <t>ENGINE;CAT;259-3142</t>
  </si>
  <si>
    <t>08D09 Engine</t>
  </si>
  <si>
    <t>50845210</t>
  </si>
  <si>
    <t>08D09 C/O Engine</t>
  </si>
  <si>
    <t>H9K00206</t>
  </si>
  <si>
    <t>20565356</t>
  </si>
  <si>
    <t>3331169X</t>
  </si>
  <si>
    <t>ENGINE;SX;CAT;333116</t>
  </si>
  <si>
    <t>154342</t>
  </si>
  <si>
    <t>08D226 Engine</t>
  </si>
  <si>
    <t>50843273</t>
  </si>
  <si>
    <t>08D226 C/O Engine</t>
  </si>
  <si>
    <t>RM300250</t>
  </si>
  <si>
    <t>20599346</t>
  </si>
  <si>
    <t>20R4346</t>
  </si>
  <si>
    <t>ENGINE;RM;CAT;20R434</t>
  </si>
  <si>
    <t>218884</t>
  </si>
  <si>
    <t>08H209 Engine</t>
  </si>
  <si>
    <t>50888281</t>
  </si>
  <si>
    <t>08H209 C/O Engine</t>
  </si>
  <si>
    <t>RM300251</t>
  </si>
  <si>
    <t>08H208 Engine</t>
  </si>
  <si>
    <t>50888220</t>
  </si>
  <si>
    <t>08H208 C/O Engine</t>
  </si>
  <si>
    <t>RM600292</t>
  </si>
  <si>
    <t>21080815</t>
  </si>
  <si>
    <t>3402665X</t>
  </si>
  <si>
    <t>270589</t>
  </si>
  <si>
    <t>08B223 Engine</t>
  </si>
  <si>
    <t>51409829</t>
  </si>
  <si>
    <t>08B223 C/O Engine</t>
  </si>
  <si>
    <t>20089146</t>
  </si>
  <si>
    <t>10R7295</t>
  </si>
  <si>
    <t>5006903</t>
  </si>
  <si>
    <t>50845212</t>
  </si>
  <si>
    <t>08D09 C/O Turbocharger LH</t>
  </si>
  <si>
    <t>20192866</t>
  </si>
  <si>
    <t>10R8956</t>
  </si>
  <si>
    <t>5006904</t>
  </si>
  <si>
    <t>50845213</t>
  </si>
  <si>
    <t>08D09 C/O Turbocharger RH</t>
  </si>
  <si>
    <t>20347513</t>
  </si>
  <si>
    <t>3750823</t>
  </si>
  <si>
    <t>TURBOCHARGER;CAT;375</t>
  </si>
  <si>
    <t>154383</t>
  </si>
  <si>
    <t>50843275</t>
  </si>
  <si>
    <t>08D226 C/O Turbocharger LH</t>
  </si>
  <si>
    <t>20501127</t>
  </si>
  <si>
    <t>3759396</t>
  </si>
  <si>
    <t>181537</t>
  </si>
  <si>
    <t>50843276</t>
  </si>
  <si>
    <t>08D226 C/O Turbocharger RH</t>
  </si>
  <si>
    <t>218926</t>
  </si>
  <si>
    <t>50888222</t>
  </si>
  <si>
    <t>08H208 C/O Turbocharger LH</t>
  </si>
  <si>
    <t>218946</t>
  </si>
  <si>
    <t>50888223</t>
  </si>
  <si>
    <t>08H208 C/O Turbocharger RH</t>
  </si>
  <si>
    <t>270624</t>
  </si>
  <si>
    <t>51409831</t>
  </si>
  <si>
    <t>08B223 C/O Turbocharger LH</t>
  </si>
  <si>
    <t>270625</t>
  </si>
  <si>
    <t>51409832</t>
  </si>
  <si>
    <t>08B223 C/O Turbocharger RH</t>
  </si>
  <si>
    <t>5006897</t>
  </si>
  <si>
    <t>50845216</t>
  </si>
  <si>
    <t>08D09 C/O Fuel Injectors</t>
  </si>
  <si>
    <t>154349</t>
  </si>
  <si>
    <t>50843277</t>
  </si>
  <si>
    <t>08D226 C/O Fuel Injectors</t>
  </si>
  <si>
    <t>218892</t>
  </si>
  <si>
    <t>50888224</t>
  </si>
  <si>
    <t>08H208 C/O Fuel Injectors</t>
  </si>
  <si>
    <t>270598</t>
  </si>
  <si>
    <t>51409833</t>
  </si>
  <si>
    <t>08B223 C/O Fuel Injectors</t>
  </si>
  <si>
    <t>5006905</t>
  </si>
  <si>
    <t>50845218</t>
  </si>
  <si>
    <t>08D09 C/O Water Pump Main</t>
  </si>
  <si>
    <t>20347505</t>
  </si>
  <si>
    <t>3557389</t>
  </si>
  <si>
    <t>PUMP,WATER;CAT;355-7</t>
  </si>
  <si>
    <t>154384</t>
  </si>
  <si>
    <t>50843279</t>
  </si>
  <si>
    <t>08D226 C/O Water Pump Main</t>
  </si>
  <si>
    <t>218928</t>
  </si>
  <si>
    <t>50888226</t>
  </si>
  <si>
    <t>08H208 C/O Water Pump Main</t>
  </si>
  <si>
    <t>270626</t>
  </si>
  <si>
    <t>51409835</t>
  </si>
  <si>
    <t>08B223 C/O Water Pump Main</t>
  </si>
  <si>
    <t>5006932</t>
  </si>
  <si>
    <t>08D09 C/O Engine Cooling Fan Pump</t>
  </si>
  <si>
    <t>50652108</t>
  </si>
  <si>
    <t>PUMP;RM,CAT;20R0098</t>
  </si>
  <si>
    <t>154345</t>
  </si>
  <si>
    <t>08D226 C/O Engine Cooling Fan Pump</t>
  </si>
  <si>
    <t>50653588</t>
  </si>
  <si>
    <t>218888</t>
  </si>
  <si>
    <t>08H208 C/O Engine Cooling Fan Pump</t>
  </si>
  <si>
    <t>50887768</t>
  </si>
  <si>
    <t>22100305</t>
  </si>
  <si>
    <t>5006907</t>
  </si>
  <si>
    <t>08H92 C/O Axle Assembly Rear</t>
  </si>
  <si>
    <t>50523336</t>
  </si>
  <si>
    <t>22100426</t>
  </si>
  <si>
    <t>5006906</t>
  </si>
  <si>
    <t>08H144 C/O Axle Assembly Front</t>
  </si>
  <si>
    <t>50523328</t>
  </si>
  <si>
    <t>154322</t>
  </si>
  <si>
    <t>08D226 C/O Axle Assembly Front</t>
  </si>
  <si>
    <t>50627718</t>
  </si>
  <si>
    <t>154324</t>
  </si>
  <si>
    <t>08D226 C/O Axle Assembly Rear</t>
  </si>
  <si>
    <t>50627719</t>
  </si>
  <si>
    <t>218763</t>
  </si>
  <si>
    <t>08H208 C/O Axle Assembly Front</t>
  </si>
  <si>
    <t>50887764</t>
  </si>
  <si>
    <t>218764</t>
  </si>
  <si>
    <t>08H208 Axle Assembly Rear</t>
  </si>
  <si>
    <t>51593486</t>
  </si>
  <si>
    <t>08H208 C/O Axle Assembly Rear</t>
  </si>
  <si>
    <t>270565</t>
  </si>
  <si>
    <t>08B223 C/O Axle Assembly Front</t>
  </si>
  <si>
    <t>51409607</t>
  </si>
  <si>
    <t>270566</t>
  </si>
  <si>
    <t>08B223 C/O Axle Assembly Rear</t>
  </si>
  <si>
    <t>51409801</t>
  </si>
  <si>
    <t>20195410</t>
  </si>
  <si>
    <t>2837702X</t>
  </si>
  <si>
    <t>5006990</t>
  </si>
  <si>
    <t>08D09 C/O Transmission</t>
  </si>
  <si>
    <t>50358935</t>
  </si>
  <si>
    <t>154379</t>
  </si>
  <si>
    <t>08D226 C/O Transmission</t>
  </si>
  <si>
    <t>50627820</t>
  </si>
  <si>
    <t>218923</t>
  </si>
  <si>
    <t>08H208 C/O Transmission</t>
  </si>
  <si>
    <t>50887715</t>
  </si>
  <si>
    <t>270621</t>
  </si>
  <si>
    <t>08B223 C/O Transmission</t>
  </si>
  <si>
    <t>51409887</t>
  </si>
  <si>
    <t>218924</t>
  </si>
  <si>
    <t>08H208 C/O Transmission Charge Pump</t>
  </si>
  <si>
    <t>50887717</t>
  </si>
  <si>
    <t>270622</t>
  </si>
  <si>
    <t>08B223 C/O Transmission Charge Pump</t>
  </si>
  <si>
    <t>51409871</t>
  </si>
  <si>
    <t>157253</t>
  </si>
  <si>
    <t>08H92 C/O Main Pump Drive Trans with TC</t>
  </si>
  <si>
    <t>50435496</t>
  </si>
  <si>
    <t>157254</t>
  </si>
  <si>
    <t>08D226 C/O Main Pump Drive Trans with TC</t>
  </si>
  <si>
    <t>50627809</t>
  </si>
  <si>
    <t>218944</t>
  </si>
  <si>
    <t>08H208 C/O Main Pump Drive Trans with TC</t>
  </si>
  <si>
    <t>50887763</t>
  </si>
  <si>
    <t>270606</t>
  </si>
  <si>
    <t>08B223 C/O Main Pump Drive Trans with TC</t>
  </si>
  <si>
    <t>51409849</t>
  </si>
  <si>
    <t>270579</t>
  </si>
  <si>
    <t>08B223 C/O Drive Shaft &amp; Unis Centre</t>
  </si>
  <si>
    <t>51409803</t>
  </si>
  <si>
    <t>08B223 C/O Driveshaft Centre</t>
  </si>
  <si>
    <t>40426486</t>
  </si>
  <si>
    <t>1645486</t>
  </si>
  <si>
    <t>PUMP;CAT;1645486</t>
  </si>
  <si>
    <t>5006870</t>
  </si>
  <si>
    <t>08D09 C/O Primary Brake Pump</t>
  </si>
  <si>
    <t>50358973</t>
  </si>
  <si>
    <t>5006950</t>
  </si>
  <si>
    <t>08D09 C/O Steering Cylinder LH</t>
  </si>
  <si>
    <t>50358887</t>
  </si>
  <si>
    <t>08D09 C/O Steering Cylinder RH</t>
  </si>
  <si>
    <t>50358888</t>
  </si>
  <si>
    <t>154372</t>
  </si>
  <si>
    <t>08D226 C/O Steering Cylinder LH</t>
  </si>
  <si>
    <t>50627814</t>
  </si>
  <si>
    <t>08D226 C/O Steering Cylinder RH</t>
  </si>
  <si>
    <t>50627815</t>
  </si>
  <si>
    <t>218917</t>
  </si>
  <si>
    <t>08H208 C/O Steering Cylinder LH</t>
  </si>
  <si>
    <t>50887708</t>
  </si>
  <si>
    <t>08H208 C/O Steering Cylinder RH</t>
  </si>
  <si>
    <t>50887709</t>
  </si>
  <si>
    <t>270615</t>
  </si>
  <si>
    <t>08B223 C/O Steering Cylinder LH</t>
  </si>
  <si>
    <t>51409866</t>
  </si>
  <si>
    <t>08B223 C/O Steering Cylinder RH</t>
  </si>
  <si>
    <t>51409881</t>
  </si>
  <si>
    <t>5006952</t>
  </si>
  <si>
    <t>08H144 C/O Primary Steering Pump</t>
  </si>
  <si>
    <t>50379741</t>
  </si>
  <si>
    <t>154363</t>
  </si>
  <si>
    <t>08D226 C/O Primary Steering Pump</t>
  </si>
  <si>
    <t>50627812</t>
  </si>
  <si>
    <t>218908</t>
  </si>
  <si>
    <t>08H208 C/O Primary Steering Pump</t>
  </si>
  <si>
    <t>50887706</t>
  </si>
  <si>
    <t>270611</t>
  </si>
  <si>
    <t>08B223 C/O Primary Steering Pump</t>
  </si>
  <si>
    <t>51409864</t>
  </si>
  <si>
    <t>5006868</t>
  </si>
  <si>
    <t>08D09 C/O Axle Cooler Pump &amp; Motor</t>
  </si>
  <si>
    <t>50434395</t>
  </si>
  <si>
    <t>H9K00303</t>
  </si>
  <si>
    <t>154328</t>
  </si>
  <si>
    <t>08H135 C/O Axle Cooler Pump &amp; Motor</t>
  </si>
  <si>
    <t>50653564</t>
  </si>
  <si>
    <t>218767</t>
  </si>
  <si>
    <t>08H208 C/O Axle Cooler Pump &amp; Motor</t>
  </si>
  <si>
    <t>50887766</t>
  </si>
  <si>
    <t>5006931</t>
  </si>
  <si>
    <t>08H144 C/O Main Hydraulic Pump</t>
  </si>
  <si>
    <t>50379736</t>
  </si>
  <si>
    <t>154358</t>
  </si>
  <si>
    <t>08D226 C/O Main Hydraulic Pump</t>
  </si>
  <si>
    <t>50627804</t>
  </si>
  <si>
    <t>218901</t>
  </si>
  <si>
    <t>08H208 C/O Main Hydraulic Pump</t>
  </si>
  <si>
    <t>50887701</t>
  </si>
  <si>
    <t>270605</t>
  </si>
  <si>
    <t>08B223 C/O Main Hydraulic Pump</t>
  </si>
  <si>
    <t>51409847</t>
  </si>
  <si>
    <t>40433435</t>
  </si>
  <si>
    <t>CYLINDER;CAT;1539939</t>
  </si>
  <si>
    <t>5006925</t>
  </si>
  <si>
    <t>08D09 C/O Lift Cylinder LH</t>
  </si>
  <si>
    <t>50358880</t>
  </si>
  <si>
    <t>5006926</t>
  </si>
  <si>
    <t>08D09 C/O Lift Cylinder RH</t>
  </si>
  <si>
    <t>50358881</t>
  </si>
  <si>
    <t>154356</t>
  </si>
  <si>
    <t>08D226 C/O Lift Cylinder RH</t>
  </si>
  <si>
    <t>50627803</t>
  </si>
  <si>
    <t>154355</t>
  </si>
  <si>
    <t>08H135 C/O Lift Cylinder LH</t>
  </si>
  <si>
    <t>50408176</t>
  </si>
  <si>
    <t>218898</t>
  </si>
  <si>
    <t>08H208 C/O Lift Cylinder LH</t>
  </si>
  <si>
    <t>50887702</t>
  </si>
  <si>
    <t>218899</t>
  </si>
  <si>
    <t>08H208 C/O Lift Cylinder RH</t>
  </si>
  <si>
    <t>50887703</t>
  </si>
  <si>
    <t>270602</t>
  </si>
  <si>
    <t>08B223 C/O Lift Cylinder LH</t>
  </si>
  <si>
    <t>51409819</t>
  </si>
  <si>
    <t>270603</t>
  </si>
  <si>
    <t>08B223 C/O Lift Cylinder RH</t>
  </si>
  <si>
    <t>51409846</t>
  </si>
  <si>
    <t>5006927</t>
  </si>
  <si>
    <t>08D09 C/O Tilt Cylinder LH</t>
  </si>
  <si>
    <t>50358932</t>
  </si>
  <si>
    <t>5006928</t>
  </si>
  <si>
    <t>08D09 C/O Tilt Cylinder RH</t>
  </si>
  <si>
    <t>50358933</t>
  </si>
  <si>
    <t>154376</t>
  </si>
  <si>
    <t>08D226 C/O Tilt Cylinder LH</t>
  </si>
  <si>
    <t>50627817</t>
  </si>
  <si>
    <t>08D226 C/O Tilt Cylinder RH</t>
  </si>
  <si>
    <t>50627818</t>
  </si>
  <si>
    <t>218920</t>
  </si>
  <si>
    <t>08H208 C/O Tilt Cylinder LH</t>
  </si>
  <si>
    <t>50887711</t>
  </si>
  <si>
    <t>218921</t>
  </si>
  <si>
    <t>08H208 C/O Tilt Cylinder RH</t>
  </si>
  <si>
    <t>50887713</t>
  </si>
  <si>
    <t>270618</t>
  </si>
  <si>
    <t>08B223 C/O Tilt Cylinder LH</t>
  </si>
  <si>
    <t>51409869</t>
  </si>
  <si>
    <t>270619</t>
  </si>
  <si>
    <t>08B223 C/O Tilt Cylinder RH</t>
  </si>
  <si>
    <t>51409886</t>
  </si>
  <si>
    <t>980H</t>
  </si>
  <si>
    <t>A8J04185</t>
  </si>
  <si>
    <t>20651742</t>
  </si>
  <si>
    <t>20R2514</t>
  </si>
  <si>
    <t>ENGINE;RM;CAT;20R251</t>
  </si>
  <si>
    <t>112781</t>
  </si>
  <si>
    <t>07H163 Engine</t>
  </si>
  <si>
    <t>50335863</t>
  </si>
  <si>
    <t>07H163 C/O Engine</t>
  </si>
  <si>
    <t>KZL00800</t>
  </si>
  <si>
    <t>143765</t>
  </si>
  <si>
    <t>07R195 Engine</t>
  </si>
  <si>
    <t>50426882</t>
  </si>
  <si>
    <t>07R195 C/O Engine</t>
  </si>
  <si>
    <t>992G</t>
  </si>
  <si>
    <t>AZX00393</t>
  </si>
  <si>
    <t>187952</t>
  </si>
  <si>
    <t>07H139 Engine</t>
  </si>
  <si>
    <t>50847397</t>
  </si>
  <si>
    <t>07H139 C/O Engine</t>
  </si>
  <si>
    <t>ADZ00540</t>
  </si>
  <si>
    <t>5007181</t>
  </si>
  <si>
    <t>07H893 C/O Axle Assembly Front</t>
  </si>
  <si>
    <t>51036471</t>
  </si>
  <si>
    <t>5007182</t>
  </si>
  <si>
    <t>07H893 C/O Axle Assembly Rear</t>
  </si>
  <si>
    <t>51036478</t>
  </si>
  <si>
    <t>20705337</t>
  </si>
  <si>
    <t>1070703F</t>
  </si>
  <si>
    <t>AXLE ASSY;CAT;107070</t>
  </si>
  <si>
    <t>224400</t>
  </si>
  <si>
    <t>07H139 C/O Axle Assembly Front</t>
  </si>
  <si>
    <t>51036469</t>
  </si>
  <si>
    <t>20705338</t>
  </si>
  <si>
    <t>1070702F</t>
  </si>
  <si>
    <t>224401</t>
  </si>
  <si>
    <t>07H139 C/O Axle Assembly Rear</t>
  </si>
  <si>
    <t>51036476</t>
  </si>
  <si>
    <t>102799</t>
  </si>
  <si>
    <t>07H139 C/O Transmission</t>
  </si>
  <si>
    <t>50186482</t>
  </si>
  <si>
    <t>20055345</t>
  </si>
  <si>
    <t>1555294X</t>
  </si>
  <si>
    <t>TORQUE CONVERTER ASS</t>
  </si>
  <si>
    <t>102800</t>
  </si>
  <si>
    <t>07H893 C/O Torque Converter</t>
  </si>
  <si>
    <t>50329838</t>
  </si>
  <si>
    <t>225169</t>
  </si>
  <si>
    <t>07H139 C/O Drive Shaft &amp; Unis Centre</t>
  </si>
  <si>
    <t>51102932</t>
  </si>
  <si>
    <t>07H139 C/O Driveshaft Centre</t>
  </si>
  <si>
    <t>102803</t>
  </si>
  <si>
    <t>07H139 C/O Steering Cylinder LH</t>
  </si>
  <si>
    <t>50186433</t>
  </si>
  <si>
    <t>07H139 C/O Steering Cylinder RH</t>
  </si>
  <si>
    <t>50186435</t>
  </si>
  <si>
    <t>102802</t>
  </si>
  <si>
    <t>07H139 C/O Steering Pump</t>
  </si>
  <si>
    <t>50186490</t>
  </si>
  <si>
    <t>40722873</t>
  </si>
  <si>
    <t>10R3807</t>
  </si>
  <si>
    <t>PUMP;RM;CAT;10R-3807</t>
  </si>
  <si>
    <t>102808</t>
  </si>
  <si>
    <t>07H139 C/O Pump Variable Displacement</t>
  </si>
  <si>
    <t>50186492</t>
  </si>
  <si>
    <t>102809</t>
  </si>
  <si>
    <t>07H139 C/O Lift Cylinder RH</t>
  </si>
  <si>
    <t>50186489</t>
  </si>
  <si>
    <t>102810</t>
  </si>
  <si>
    <t>07H139 C/O Lift Cylinder LH</t>
  </si>
  <si>
    <t>50186488</t>
  </si>
  <si>
    <t>316892</t>
  </si>
  <si>
    <t>07H139 C/O Tilt Cylinder</t>
  </si>
  <si>
    <t>50186486</t>
  </si>
  <si>
    <t>992K</t>
  </si>
  <si>
    <t>88000411</t>
  </si>
  <si>
    <t>331032</t>
  </si>
  <si>
    <t>07H313 Engine</t>
  </si>
  <si>
    <t>50847530</t>
  </si>
  <si>
    <t>07H313 C/O Engine</t>
  </si>
  <si>
    <t>H4C00334</t>
  </si>
  <si>
    <t>20342311</t>
  </si>
  <si>
    <t>2464283X</t>
  </si>
  <si>
    <t>ENGINE;SX;CAT;246-42</t>
  </si>
  <si>
    <t>5007161</t>
  </si>
  <si>
    <t>07H117 Engine</t>
  </si>
  <si>
    <t>50847584</t>
  </si>
  <si>
    <t>07H117 C/O Engine</t>
  </si>
  <si>
    <t>RM200151</t>
  </si>
  <si>
    <t>222120</t>
  </si>
  <si>
    <t>07H363 Engine</t>
  </si>
  <si>
    <t>50903063</t>
  </si>
  <si>
    <t>07H363 C/O Engine</t>
  </si>
  <si>
    <t>RM500274</t>
  </si>
  <si>
    <t>270423</t>
  </si>
  <si>
    <t>07B408 Engine</t>
  </si>
  <si>
    <t>51410815</t>
  </si>
  <si>
    <t>07B408 C/O Engine</t>
  </si>
  <si>
    <t>ZMX00267</t>
  </si>
  <si>
    <t>07H167 Engine</t>
  </si>
  <si>
    <t>50847237</t>
  </si>
  <si>
    <t>07H167 C/O Engine</t>
  </si>
  <si>
    <t>ZMX00448</t>
  </si>
  <si>
    <t>07R191 Engine</t>
  </si>
  <si>
    <t>50838962</t>
  </si>
  <si>
    <t>07R191 C/O Engine</t>
  </si>
  <si>
    <t>149052</t>
  </si>
  <si>
    <t>50847534</t>
  </si>
  <si>
    <t>07H313 C/O Turbocharger LH</t>
  </si>
  <si>
    <t>149053</t>
  </si>
  <si>
    <t>50847535</t>
  </si>
  <si>
    <t>07H313 C/O Turbocharger RH</t>
  </si>
  <si>
    <t>H4C00519</t>
  </si>
  <si>
    <t>5007178</t>
  </si>
  <si>
    <t>07H375 Engine</t>
  </si>
  <si>
    <t>51081777</t>
  </si>
  <si>
    <t>07H375 C/O Turbocharger LH</t>
  </si>
  <si>
    <t>5007179</t>
  </si>
  <si>
    <t>51081778</t>
  </si>
  <si>
    <t>07H375 C/O Turbocharger RH</t>
  </si>
  <si>
    <t>222124</t>
  </si>
  <si>
    <t>50903067</t>
  </si>
  <si>
    <t>07H363 C/O Turbocharger LH</t>
  </si>
  <si>
    <t>222125</t>
  </si>
  <si>
    <t>50903068</t>
  </si>
  <si>
    <t>07H363 C/O Turbocharger RH</t>
  </si>
  <si>
    <t>270428</t>
  </si>
  <si>
    <t>51410819</t>
  </si>
  <si>
    <t>07B408 C/O Turbocharger LH</t>
  </si>
  <si>
    <t>270429</t>
  </si>
  <si>
    <t>51410900</t>
  </si>
  <si>
    <t>07B408 C/O Turbocharger RH</t>
  </si>
  <si>
    <t>50847481</t>
  </si>
  <si>
    <t>07H167 C/O Turbocharger LH</t>
  </si>
  <si>
    <t>50847482</t>
  </si>
  <si>
    <t>07H167 C/O Turbocharger RH</t>
  </si>
  <si>
    <t>149010</t>
  </si>
  <si>
    <t>50847532</t>
  </si>
  <si>
    <t>07H313 C/O Fuel Injectors</t>
  </si>
  <si>
    <t>5007170</t>
  </si>
  <si>
    <t>51081779</t>
  </si>
  <si>
    <t>07H375 C/O Fuel Injectors</t>
  </si>
  <si>
    <t>222122</t>
  </si>
  <si>
    <t>50903065</t>
  </si>
  <si>
    <t>07H363 C/O Fuel Injectors</t>
  </si>
  <si>
    <t>270425</t>
  </si>
  <si>
    <t>51410817</t>
  </si>
  <si>
    <t>07B408 C/O Fuel Injectors</t>
  </si>
  <si>
    <t>50847239</t>
  </si>
  <si>
    <t>07H167 C/O Fuel Injectors</t>
  </si>
  <si>
    <t>149054</t>
  </si>
  <si>
    <t>50847536</t>
  </si>
  <si>
    <t>07H313 C/O Water Pump Main</t>
  </si>
  <si>
    <t>20089845</t>
  </si>
  <si>
    <t>287538</t>
  </si>
  <si>
    <t>51475361</t>
  </si>
  <si>
    <t>07H375 C/O Water Pump Main</t>
  </si>
  <si>
    <t>222128</t>
  </si>
  <si>
    <t>50903069</t>
  </si>
  <si>
    <t>07H363 C/O Water Pump Main</t>
  </si>
  <si>
    <t>270431</t>
  </si>
  <si>
    <t>51410901</t>
  </si>
  <si>
    <t>07B408 C/O Water Pump Main</t>
  </si>
  <si>
    <t>50847483</t>
  </si>
  <si>
    <t>07H167 C/O Water Pump Main</t>
  </si>
  <si>
    <t>188386</t>
  </si>
  <si>
    <t>07H313 C/O Engine Cooling Fan Pump</t>
  </si>
  <si>
    <t>50701571</t>
  </si>
  <si>
    <t>5007215</t>
  </si>
  <si>
    <t>07H117 C/O Engine Cooling Fan Pump</t>
  </si>
  <si>
    <t>50251776</t>
  </si>
  <si>
    <t>MYHD .PUMP.HP04</t>
  </si>
  <si>
    <t>149005</t>
  </si>
  <si>
    <t>07R191 C/O Engine Cooling Fan Pump</t>
  </si>
  <si>
    <t>50480091</t>
  </si>
  <si>
    <t>188351</t>
  </si>
  <si>
    <t>07H313 C/O Axle Assembly Front</t>
  </si>
  <si>
    <t>50701543</t>
  </si>
  <si>
    <t>188355</t>
  </si>
  <si>
    <t>07H313 C/O Axle Assembly Rear</t>
  </si>
  <si>
    <t>50701544</t>
  </si>
  <si>
    <t>07H117 C/O Axle Assembly Front</t>
  </si>
  <si>
    <t>50523345</t>
  </si>
  <si>
    <t>07H117 C/O Axle Assembly Rear</t>
  </si>
  <si>
    <t>50523346</t>
  </si>
  <si>
    <t>222072</t>
  </si>
  <si>
    <t>07H363 C/O Axle Assembly Rear</t>
  </si>
  <si>
    <t>50902986</t>
  </si>
  <si>
    <t>222071</t>
  </si>
  <si>
    <t>07H363 C/O Axle Assembly Front</t>
  </si>
  <si>
    <t>50902985</t>
  </si>
  <si>
    <t>270343</t>
  </si>
  <si>
    <t>07B408 C/O Axle Assembly Front</t>
  </si>
  <si>
    <t>51410882</t>
  </si>
  <si>
    <t>270344</t>
  </si>
  <si>
    <t>07B408 C/O Axle Assembly Rear</t>
  </si>
  <si>
    <t>51410903</t>
  </si>
  <si>
    <t>ZMX00441</t>
  </si>
  <si>
    <t>148994</t>
  </si>
  <si>
    <t>07R199 C/O Axle Assembly Front</t>
  </si>
  <si>
    <t>50563264</t>
  </si>
  <si>
    <t>148995</t>
  </si>
  <si>
    <t>07R191 C/O Axle Assembly Rear</t>
  </si>
  <si>
    <t>50523354</t>
  </si>
  <si>
    <t>188416</t>
  </si>
  <si>
    <t>07H313 C/O Transmission</t>
  </si>
  <si>
    <t>50702865</t>
  </si>
  <si>
    <t>5007288</t>
  </si>
  <si>
    <t>07H117 C/O Transmission</t>
  </si>
  <si>
    <t>50251702</t>
  </si>
  <si>
    <t>222112</t>
  </si>
  <si>
    <t>07H363 C/O Transmission</t>
  </si>
  <si>
    <t>50903098</t>
  </si>
  <si>
    <t>270414</t>
  </si>
  <si>
    <t>07B408 C/O Transmission</t>
  </si>
  <si>
    <t>51410919</t>
  </si>
  <si>
    <t>149049</t>
  </si>
  <si>
    <t>07R191 C/O Transmission</t>
  </si>
  <si>
    <t>50480117</t>
  </si>
  <si>
    <t>270416</t>
  </si>
  <si>
    <t>07B408 C/O Transmission Charge Pump</t>
  </si>
  <si>
    <t>51410933</t>
  </si>
  <si>
    <t>155996</t>
  </si>
  <si>
    <t>07H117 C/O Main Pump Drive Trans with TC</t>
  </si>
  <si>
    <t>50431100</t>
  </si>
  <si>
    <t>RM500244</t>
  </si>
  <si>
    <t>279915</t>
  </si>
  <si>
    <t>07H425 C/O Main Pump Drive Trans with TC</t>
  </si>
  <si>
    <t>51443629</t>
  </si>
  <si>
    <t>155998</t>
  </si>
  <si>
    <t>07H167 C/O Main Pump Drive Trans with TC</t>
  </si>
  <si>
    <t>50431102</t>
  </si>
  <si>
    <t>JOINT,SLIP;CAT;16819</t>
  </si>
  <si>
    <t>5007189</t>
  </si>
  <si>
    <t>07H375 C/O Drive Shaft &amp; Unis Centre</t>
  </si>
  <si>
    <t>51081767</t>
  </si>
  <si>
    <t>07H375 C/O Driveshaft Centre</t>
  </si>
  <si>
    <t>270380</t>
  </si>
  <si>
    <t>07B408 C/O Drive Shaft &amp; Unis Centre</t>
  </si>
  <si>
    <t>51410892</t>
  </si>
  <si>
    <t>07B408 C/O Driveshaft Centre</t>
  </si>
  <si>
    <t>189044</t>
  </si>
  <si>
    <t>07H167 C/O Drive Shaft &amp; Unis Centre</t>
  </si>
  <si>
    <t>50847598</t>
  </si>
  <si>
    <t>07H167 C/O Driveshaft Centre</t>
  </si>
  <si>
    <t>188407</t>
  </si>
  <si>
    <t>07H313 C/O Steering Cylinder LH</t>
  </si>
  <si>
    <t>50702859</t>
  </si>
  <si>
    <t>07H313 C/O Steering Cylinder RH</t>
  </si>
  <si>
    <t>50702860</t>
  </si>
  <si>
    <t>5007242</t>
  </si>
  <si>
    <t>07H117 C/O Steering Cylinder LH</t>
  </si>
  <si>
    <t>50251715</t>
  </si>
  <si>
    <t>07H117 C/O Steering Cylinder RH</t>
  </si>
  <si>
    <t>50252298</t>
  </si>
  <si>
    <t>222106</t>
  </si>
  <si>
    <t>07H363 C/O Steering Cylinder LH</t>
  </si>
  <si>
    <t>50903092</t>
  </si>
  <si>
    <t>07H363 C/O Steering Cylinder RH</t>
  </si>
  <si>
    <t>50903093</t>
  </si>
  <si>
    <t>270409</t>
  </si>
  <si>
    <t>07B408 C/O Steering Cylinder LH</t>
  </si>
  <si>
    <t>51410925</t>
  </si>
  <si>
    <t>07B408 C/O Steering Cylinder RH</t>
  </si>
  <si>
    <t>51410926</t>
  </si>
  <si>
    <t>RM500275</t>
  </si>
  <si>
    <t>A/270409/Q1</t>
  </si>
  <si>
    <t>1950677: 07H435 C/O Steering Cylinder LH</t>
  </si>
  <si>
    <t>51408982</t>
  </si>
  <si>
    <t>07H435 C/O Steering Cylinder LH</t>
  </si>
  <si>
    <t>1950678: 07H435 C/O Steering Cylinder RH</t>
  </si>
  <si>
    <t>51408983</t>
  </si>
  <si>
    <t>07H435 C/O Steering Cylinder RH</t>
  </si>
  <si>
    <t>149039</t>
  </si>
  <si>
    <t>07H167 C/O Steering Cylinder LH</t>
  </si>
  <si>
    <t>50399438</t>
  </si>
  <si>
    <t>07H167 C/O Steering Cylinder RH</t>
  </si>
  <si>
    <t>50399439</t>
  </si>
  <si>
    <t>188404</t>
  </si>
  <si>
    <t>07H313 C/O Primary Steering Pump</t>
  </si>
  <si>
    <t>50702856</t>
  </si>
  <si>
    <t>H4C00521</t>
  </si>
  <si>
    <t>5007244</t>
  </si>
  <si>
    <t>07H376 C/O Primary Steering Pump</t>
  </si>
  <si>
    <t>51081965</t>
  </si>
  <si>
    <t>270406</t>
  </si>
  <si>
    <t>07B408 C/O Primary Steering Pump</t>
  </si>
  <si>
    <t>51410928</t>
  </si>
  <si>
    <t>ZMX00604</t>
  </si>
  <si>
    <t>149030</t>
  </si>
  <si>
    <t>07H279 C/O Primary Steering Pump</t>
  </si>
  <si>
    <t>50690072</t>
  </si>
  <si>
    <t>270375</t>
  </si>
  <si>
    <t>07B408 C/O Axle Cooler Pump &amp; Motor</t>
  </si>
  <si>
    <t>51410915</t>
  </si>
  <si>
    <t>20263127</t>
  </si>
  <si>
    <t>10R9048</t>
  </si>
  <si>
    <t>PUMP,PISTON;RM;CAT;1</t>
  </si>
  <si>
    <t>264985</t>
  </si>
  <si>
    <t>07H313 C/O Main Hydraulic Pump Centre</t>
  </si>
  <si>
    <t>50702850</t>
  </si>
  <si>
    <t>CE - CENTER</t>
  </si>
  <si>
    <t>20695228</t>
  </si>
  <si>
    <t>20R6309</t>
  </si>
  <si>
    <t>PUMP;CAT;20R-6309</t>
  </si>
  <si>
    <t>188399</t>
  </si>
  <si>
    <t>07H313 C/O Main Hydraulic Pump RH</t>
  </si>
  <si>
    <t>50702851</t>
  </si>
  <si>
    <t>PUMP;PISTON;RM;CAT;1</t>
  </si>
  <si>
    <t>5007213</t>
  </si>
  <si>
    <t>07H117 C/O Main Hydraulic Pump Centre</t>
  </si>
  <si>
    <t>50251711</t>
  </si>
  <si>
    <t>20263124</t>
  </si>
  <si>
    <t>10R9049</t>
  </si>
  <si>
    <t>PUMP;CAT;10R-9049</t>
  </si>
  <si>
    <t>5007212</t>
  </si>
  <si>
    <t>07H117 C/O Main Hydraulic Pump RH</t>
  </si>
  <si>
    <t>50251712</t>
  </si>
  <si>
    <t>20193192</t>
  </si>
  <si>
    <t>3849439</t>
  </si>
  <si>
    <t>PUMP;CAT;3849439</t>
  </si>
  <si>
    <t>222096</t>
  </si>
  <si>
    <t>07H363 C/O Main Hydraulic Pump Centre</t>
  </si>
  <si>
    <t>50903082</t>
  </si>
  <si>
    <t>222097</t>
  </si>
  <si>
    <t>07H363 C/O Main Hydraulic Pump RH</t>
  </si>
  <si>
    <t>50903084</t>
  </si>
  <si>
    <t>270398</t>
  </si>
  <si>
    <t>07B408 C/O Main Hydraulic Pump Centre</t>
  </si>
  <si>
    <t>51410899</t>
  </si>
  <si>
    <t>270399</t>
  </si>
  <si>
    <t>07B408 C/O Main Hydraulic Pump RH</t>
  </si>
  <si>
    <t>51410898</t>
  </si>
  <si>
    <t>149021</t>
  </si>
  <si>
    <t>07R191 C/O Main Hydraulic Pump Centre</t>
  </si>
  <si>
    <t>50480103</t>
  </si>
  <si>
    <t>149022</t>
  </si>
  <si>
    <t>07R191 C/O Main Hydraulic Pump RH</t>
  </si>
  <si>
    <t>50480104</t>
  </si>
  <si>
    <t>20193206</t>
  </si>
  <si>
    <t>2711717X</t>
  </si>
  <si>
    <t>CYLINDER,LIFT;SX;CAT</t>
  </si>
  <si>
    <t>188394</t>
  </si>
  <si>
    <t>07H313 C/O Lift Cylinder LH</t>
  </si>
  <si>
    <t>50701611</t>
  </si>
  <si>
    <t>20193207</t>
  </si>
  <si>
    <t>2711716X</t>
  </si>
  <si>
    <t>188395</t>
  </si>
  <si>
    <t>07H313 C/O Lift Cylinder RH</t>
  </si>
  <si>
    <t>50701612</t>
  </si>
  <si>
    <t>5007207</t>
  </si>
  <si>
    <t>07H117 C/O Lift Cylinder LH</t>
  </si>
  <si>
    <t>50251716</t>
  </si>
  <si>
    <t>5007208</t>
  </si>
  <si>
    <t>07H117 C/O Lift Cylinder RH</t>
  </si>
  <si>
    <t>50251717</t>
  </si>
  <si>
    <t>222090</t>
  </si>
  <si>
    <t>07H363 C/O Lift Cylinder LH</t>
  </si>
  <si>
    <t>50903078</t>
  </si>
  <si>
    <t>222091</t>
  </si>
  <si>
    <t>07H363 C/O Lift Cylinder RH</t>
  </si>
  <si>
    <t>50903079</t>
  </si>
  <si>
    <t>CYLINDER;LIFT;SX;CAT</t>
  </si>
  <si>
    <t>270394</t>
  </si>
  <si>
    <t>07B408 C/O Lift Cylinder LH</t>
  </si>
  <si>
    <t>51410894</t>
  </si>
  <si>
    <t>270395</t>
  </si>
  <si>
    <t>07B408 C/O Lift Cylinder RH</t>
  </si>
  <si>
    <t>51410895</t>
  </si>
  <si>
    <t>149015</t>
  </si>
  <si>
    <t>07R191 C/O Lift Cylinder LH</t>
  </si>
  <si>
    <t>50480099</t>
  </si>
  <si>
    <t>149016</t>
  </si>
  <si>
    <t>07R191 C/O Lift Cylinder RH</t>
  </si>
  <si>
    <t>50480100</t>
  </si>
  <si>
    <t>20193204</t>
  </si>
  <si>
    <t>2713572X</t>
  </si>
  <si>
    <t>CYLINDER;TILT;CAT;27</t>
  </si>
  <si>
    <t>188413</t>
  </si>
  <si>
    <t>07H313 C/O Tilt Cylinder</t>
  </si>
  <si>
    <t>50702863</t>
  </si>
  <si>
    <t>5007209</t>
  </si>
  <si>
    <t>07H117 C/O Tilt Cylinder</t>
  </si>
  <si>
    <t>50251718</t>
  </si>
  <si>
    <t>222110</t>
  </si>
  <si>
    <t>07H363 C/O Tilt Cylinder</t>
  </si>
  <si>
    <t>50903096</t>
  </si>
  <si>
    <t>270412</t>
  </si>
  <si>
    <t>07B408 C/O Tilt Cylinder</t>
  </si>
  <si>
    <t>51410896</t>
  </si>
  <si>
    <t>149044</t>
  </si>
  <si>
    <t>07H167 C/O Tilt Cylinder</t>
  </si>
  <si>
    <t>50399442</t>
  </si>
  <si>
    <t>993K</t>
  </si>
  <si>
    <t>Z9K00281</t>
  </si>
  <si>
    <t>20193326</t>
  </si>
  <si>
    <t>2459772X</t>
  </si>
  <si>
    <t>ENGINE;SX;CAT;245-97</t>
  </si>
  <si>
    <t>5007026</t>
  </si>
  <si>
    <t>07H126 Engine</t>
  </si>
  <si>
    <t>50279373</t>
  </si>
  <si>
    <t>07H126 C/O Engine</t>
  </si>
  <si>
    <t>20193320</t>
  </si>
  <si>
    <t>10R8965</t>
  </si>
  <si>
    <t>5007121</t>
  </si>
  <si>
    <t>50279374</t>
  </si>
  <si>
    <t>07H126 C/O Turbocharger LH</t>
  </si>
  <si>
    <t>20193321</t>
  </si>
  <si>
    <t>10R8972</t>
  </si>
  <si>
    <t>5007122</t>
  </si>
  <si>
    <t>50279376</t>
  </si>
  <si>
    <t>07H126 C/O Turbocharger RH</t>
  </si>
  <si>
    <t>5007034</t>
  </si>
  <si>
    <t>50279377</t>
  </si>
  <si>
    <t>07H126 C/O Fuel Injectors</t>
  </si>
  <si>
    <t>20328257</t>
  </si>
  <si>
    <t>2559332X</t>
  </si>
  <si>
    <t>5007120</t>
  </si>
  <si>
    <t>07H126 C/O Transmission</t>
  </si>
  <si>
    <t>50250483</t>
  </si>
  <si>
    <t>5007119</t>
  </si>
  <si>
    <t>07H126 C/O Torque Converter</t>
  </si>
  <si>
    <t>50250482</t>
  </si>
  <si>
    <t>5007009</t>
  </si>
  <si>
    <t>07H126 C/O Primary Brake Pump</t>
  </si>
  <si>
    <t>50250225</t>
  </si>
  <si>
    <t>20193327</t>
  </si>
  <si>
    <t>2885504X</t>
  </si>
  <si>
    <t>CYLINDER;SX;CAT;2885</t>
  </si>
  <si>
    <t>5007086</t>
  </si>
  <si>
    <t>07H126 C/O Steering Cylinder LH</t>
  </si>
  <si>
    <t>50250457</t>
  </si>
  <si>
    <t>5007087</t>
  </si>
  <si>
    <t>07H126 C/O Steering Cylinder RH</t>
  </si>
  <si>
    <t>50250458</t>
  </si>
  <si>
    <t>20200846</t>
  </si>
  <si>
    <t>20R0110</t>
  </si>
  <si>
    <t>PUMP;RM;CAT;20R-0110</t>
  </si>
  <si>
    <t>5007088</t>
  </si>
  <si>
    <t>07H126 C/O Primary Steering Pump Front</t>
  </si>
  <si>
    <t>50250459</t>
  </si>
  <si>
    <t>20972897</t>
  </si>
  <si>
    <t>20R7579</t>
  </si>
  <si>
    <t>PUMP;GEAR;REMAN;CAT;</t>
  </si>
  <si>
    <t>5007123</t>
  </si>
  <si>
    <t>07H126 C/O Primary Steering Pump Centre</t>
  </si>
  <si>
    <t>50250484</t>
  </si>
  <si>
    <t>STRG .PUMP.SP02</t>
  </si>
  <si>
    <t>5007010</t>
  </si>
  <si>
    <t>07H126 C/O Axle Cooler Pump/Motor Front</t>
  </si>
  <si>
    <t>50250226</t>
  </si>
  <si>
    <t>5007011</t>
  </si>
  <si>
    <t>07H126 C/O Axle Cooler Pump/Motor Rear</t>
  </si>
  <si>
    <t>50250227</t>
  </si>
  <si>
    <t>20276256</t>
  </si>
  <si>
    <t>10R9046</t>
  </si>
  <si>
    <t>PUMP;HYDRAULIC;CAT;1</t>
  </si>
  <si>
    <t>5007070</t>
  </si>
  <si>
    <t>07H126 C/O Hydraulic VD Pump RH</t>
  </si>
  <si>
    <t>50250450</t>
  </si>
  <si>
    <t>20276257</t>
  </si>
  <si>
    <t>10R9047</t>
  </si>
  <si>
    <t>20340009</t>
  </si>
  <si>
    <t>10R9757</t>
  </si>
  <si>
    <t>PUMP;CAT;10R-9757</t>
  </si>
  <si>
    <t>5007071</t>
  </si>
  <si>
    <t>07H126 C/O Hydraulic VD Pump Centre</t>
  </si>
  <si>
    <t>50250451</t>
  </si>
  <si>
    <t>20193330</t>
  </si>
  <si>
    <t>3080831X</t>
  </si>
  <si>
    <t>CYLINDER;SX;CAT;308-</t>
  </si>
  <si>
    <t>5007064</t>
  </si>
  <si>
    <t>07H126 C/O Lift Cylinder LH</t>
  </si>
  <si>
    <t>50250445</t>
  </si>
  <si>
    <t>20193329</t>
  </si>
  <si>
    <t>3080830X</t>
  </si>
  <si>
    <t>CYLINDER;CAT;352-795</t>
  </si>
  <si>
    <t>5007065</t>
  </si>
  <si>
    <t>07H126 C/O Lift Cylinder RH</t>
  </si>
  <si>
    <t>50250446</t>
  </si>
  <si>
    <t>20247946</t>
  </si>
  <si>
    <t>4519084X</t>
  </si>
  <si>
    <t>CYLINDER;TILT;SX;CAT</t>
  </si>
  <si>
    <t>5007066</t>
  </si>
  <si>
    <t>07H126 C/O Tilt Cylinder High Lift LH</t>
  </si>
  <si>
    <t>50250447</t>
  </si>
  <si>
    <t>07H126 C/O Tilt Cylinder LH</t>
  </si>
  <si>
    <t>20247947</t>
  </si>
  <si>
    <t>3080835X</t>
  </si>
  <si>
    <t>5007067</t>
  </si>
  <si>
    <t>07H126 C/O Tilt Cylinder High Lift RH</t>
  </si>
  <si>
    <t>50340821</t>
  </si>
  <si>
    <t>07H126 C/O Tilt Cylinder RH</t>
  </si>
  <si>
    <t>Z9K00305</t>
  </si>
  <si>
    <t>20262518</t>
  </si>
  <si>
    <t>3694558X</t>
  </si>
  <si>
    <t>07H127 C/O Tilt Cylinder LH</t>
  </si>
  <si>
    <t>50249715</t>
  </si>
  <si>
    <t>20138991</t>
  </si>
  <si>
    <t>3694557X</t>
  </si>
  <si>
    <t>07H127 C/O Tilt Cylinder RH</t>
  </si>
  <si>
    <t>50349634</t>
  </si>
  <si>
    <t>994K</t>
  </si>
  <si>
    <t>MM900332</t>
  </si>
  <si>
    <t>21062073</t>
  </si>
  <si>
    <t>4998893X</t>
  </si>
  <si>
    <t>ENGINE;DIESEL;78L;CA</t>
  </si>
  <si>
    <t>308780</t>
  </si>
  <si>
    <t>07B307 Engine</t>
  </si>
  <si>
    <t>51555045</t>
  </si>
  <si>
    <t>07B307 C/O Engine</t>
  </si>
  <si>
    <t>20942857</t>
  </si>
  <si>
    <t>20R9675</t>
  </si>
  <si>
    <t>308776</t>
  </si>
  <si>
    <t>51555081</t>
  </si>
  <si>
    <t>07B307 C/O Turbocharger LHF</t>
  </si>
  <si>
    <t>51555083</t>
  </si>
  <si>
    <t>07B307 C/O Turbocharger LHR</t>
  </si>
  <si>
    <t>51555082</t>
  </si>
  <si>
    <t>07B307 C/O Turbocharger RHF</t>
  </si>
  <si>
    <t>51555084</t>
  </si>
  <si>
    <t>07B307 C/O Turbocharger RHR</t>
  </si>
  <si>
    <t>20942841</t>
  </si>
  <si>
    <t>20R8049</t>
  </si>
  <si>
    <t>308778</t>
  </si>
  <si>
    <t>51554058</t>
  </si>
  <si>
    <t>07B307 C/O Fuel Injectors</t>
  </si>
  <si>
    <t>271657</t>
  </si>
  <si>
    <t>07B307 C/O Engine Radiator</t>
  </si>
  <si>
    <t>51417808</t>
  </si>
  <si>
    <t>20942858</t>
  </si>
  <si>
    <t>5537200</t>
  </si>
  <si>
    <t>PUMP,WATER;CAT;553-7</t>
  </si>
  <si>
    <t>308775</t>
  </si>
  <si>
    <t>51555085</t>
  </si>
  <si>
    <t>07B307 C/O Water Pump Main</t>
  </si>
  <si>
    <t>20938088</t>
  </si>
  <si>
    <t>20R9372</t>
  </si>
  <si>
    <t>271656</t>
  </si>
  <si>
    <t>07B307 Engine Cooling Fan Pump</t>
  </si>
  <si>
    <t>51418820</t>
  </si>
  <si>
    <t>07B307 C/O Engine Cooling Fan Pump</t>
  </si>
  <si>
    <t>21062153</t>
  </si>
  <si>
    <t>3882728X</t>
  </si>
  <si>
    <t>TRANSMISSION;POWERSH</t>
  </si>
  <si>
    <t>271679</t>
  </si>
  <si>
    <t>07B307 C/O Transmission</t>
  </si>
  <si>
    <t>51418031</t>
  </si>
  <si>
    <t>20090210</t>
  </si>
  <si>
    <t>10R7115</t>
  </si>
  <si>
    <t>PUMP;RM;CAT;10R-7115</t>
  </si>
  <si>
    <t>271680</t>
  </si>
  <si>
    <t>07B307 C/O Transmission Oil Pump</t>
  </si>
  <si>
    <t>51418833</t>
  </si>
  <si>
    <t>07B307 C/O Transmission Charge Pump</t>
  </si>
  <si>
    <t>21062038</t>
  </si>
  <si>
    <t>3904072X</t>
  </si>
  <si>
    <t>CONVERTER TRQ;CAT;39</t>
  </si>
  <si>
    <t>271678</t>
  </si>
  <si>
    <t>07B307 C/O Torque Converter</t>
  </si>
  <si>
    <t>51418164</t>
  </si>
  <si>
    <t>20938092</t>
  </si>
  <si>
    <t>3894896X</t>
  </si>
  <si>
    <t>DRIVE;PUMP;FRONT;SX;</t>
  </si>
  <si>
    <t>273728</t>
  </si>
  <si>
    <t>07B307 C/O Main Pump Drive Trans Front</t>
  </si>
  <si>
    <t>51418030</t>
  </si>
  <si>
    <t>TRAN .MPD1</t>
  </si>
  <si>
    <t>20938094</t>
  </si>
  <si>
    <t>3894906X</t>
  </si>
  <si>
    <t>DRIVE;PUMP;REAR;SX;C</t>
  </si>
  <si>
    <t>273729</t>
  </si>
  <si>
    <t>07B307 C/O Main Pump Drive Trans Rear</t>
  </si>
  <si>
    <t>51418163</t>
  </si>
  <si>
    <t>TRAN .MPD2</t>
  </si>
  <si>
    <t>21062089</t>
  </si>
  <si>
    <t>3882729X</t>
  </si>
  <si>
    <t>GEARBOX;TRANSFER;CAT</t>
  </si>
  <si>
    <t>305262</t>
  </si>
  <si>
    <t>07B307 C/O Transfer Gearbox</t>
  </si>
  <si>
    <t>51537837</t>
  </si>
  <si>
    <t>TRAN .TRAN.TRGE</t>
  </si>
  <si>
    <t>3159 - TRANSFER GEARS</t>
  </si>
  <si>
    <t>20938026</t>
  </si>
  <si>
    <t>3978071</t>
  </si>
  <si>
    <t>JOINT;UNIVERSAL;CAT;</t>
  </si>
  <si>
    <t>273676</t>
  </si>
  <si>
    <t>07B307 C/O Drive Shaft &amp; Unis Frnt Axle</t>
  </si>
  <si>
    <t>51418834</t>
  </si>
  <si>
    <t>07B307 C/O Driveshaft Front Axle</t>
  </si>
  <si>
    <t>20938030</t>
  </si>
  <si>
    <t>3978068</t>
  </si>
  <si>
    <t>273681</t>
  </si>
  <si>
    <t>07B307 C/O Drive Shaft &amp; Unis Rear Axle</t>
  </si>
  <si>
    <t>51418838</t>
  </si>
  <si>
    <t>07B307 C/O Driveshaft Rear Axle</t>
  </si>
  <si>
    <t>20938028</t>
  </si>
  <si>
    <t>3978077</t>
  </si>
  <si>
    <t>JOINT;SLIP;CAT;397-8</t>
  </si>
  <si>
    <t>273690</t>
  </si>
  <si>
    <t>07B307 C/O D/Shaft &amp; Unis Trans Input</t>
  </si>
  <si>
    <t>51418842</t>
  </si>
  <si>
    <t>07B307 C/O Driveshaft Trans Input</t>
  </si>
  <si>
    <t>20938035</t>
  </si>
  <si>
    <t>4806730X</t>
  </si>
  <si>
    <t>271652</t>
  </si>
  <si>
    <t>07B307 C/O Differential Front</t>
  </si>
  <si>
    <t>51417809</t>
  </si>
  <si>
    <t>20938039</t>
  </si>
  <si>
    <t>4806731X</t>
  </si>
  <si>
    <t>271653</t>
  </si>
  <si>
    <t>07B307 C/O Differential Rear</t>
  </si>
  <si>
    <t>51417811</t>
  </si>
  <si>
    <t>20938047</t>
  </si>
  <si>
    <t>3894696X</t>
  </si>
  <si>
    <t>DRIVE;FINAL;SX;CAT;3</t>
  </si>
  <si>
    <t>271658</t>
  </si>
  <si>
    <t>07B307 C/O Final Drive LHF</t>
  </si>
  <si>
    <t>51418021</t>
  </si>
  <si>
    <t>FDRV .AXAF.FDLH</t>
  </si>
  <si>
    <t>07B307 C/O Final Drive LHR</t>
  </si>
  <si>
    <t>51418022</t>
  </si>
  <si>
    <t>07B307 C/O Final Drive RHF</t>
  </si>
  <si>
    <t>51417810</t>
  </si>
  <si>
    <t>FDRV .AXAF.FDRH</t>
  </si>
  <si>
    <t>07B307 C/O Final Drive RHR</t>
  </si>
  <si>
    <t>51417812</t>
  </si>
  <si>
    <t>20937919</t>
  </si>
  <si>
    <t>5105052X</t>
  </si>
  <si>
    <t>BRAKE;SX;CAT;510-505</t>
  </si>
  <si>
    <t>273671</t>
  </si>
  <si>
    <t>07B307 C/O Service Brake LHF</t>
  </si>
  <si>
    <t>51417969</t>
  </si>
  <si>
    <t>07B307 C/O Service Brake LHR</t>
  </si>
  <si>
    <t>51417971</t>
  </si>
  <si>
    <t>07B307 C/O Service Brake RHF</t>
  </si>
  <si>
    <t>51417970</t>
  </si>
  <si>
    <t>07B307 C/O Service Brake RHR</t>
  </si>
  <si>
    <t>51417972</t>
  </si>
  <si>
    <t>271670</t>
  </si>
  <si>
    <t>07B307 C/O Primary Brake Pump</t>
  </si>
  <si>
    <t>51417967</t>
  </si>
  <si>
    <t>20938096</t>
  </si>
  <si>
    <t>4164020X</t>
  </si>
  <si>
    <t>271674</t>
  </si>
  <si>
    <t>07B307 C/O Steering Cylinder LH</t>
  </si>
  <si>
    <t>51418160</t>
  </si>
  <si>
    <t>07B307 C/O Steering Cylinder RH</t>
  </si>
  <si>
    <t>51418027</t>
  </si>
  <si>
    <t>20938099</t>
  </si>
  <si>
    <t>4164594X</t>
  </si>
  <si>
    <t>PUMP;STEERING;SX;CAT</t>
  </si>
  <si>
    <t>271671</t>
  </si>
  <si>
    <t>07B307 Steering Pump</t>
  </si>
  <si>
    <t>51418826</t>
  </si>
  <si>
    <t>07B307 C/O Steering Pump</t>
  </si>
  <si>
    <t>MM900357</t>
  </si>
  <si>
    <t>273687</t>
  </si>
  <si>
    <t>07H261 Main Steering Valve</t>
  </si>
  <si>
    <t>51490494</t>
  </si>
  <si>
    <t>07H261 C/O Main Steering Valve</t>
  </si>
  <si>
    <t>STRG .VALV.SV01</t>
  </si>
  <si>
    <t>4307 - STEERING VALVE</t>
  </si>
  <si>
    <t>271664</t>
  </si>
  <si>
    <t>07H261 C/O Main Control Valve LH</t>
  </si>
  <si>
    <t>51489735</t>
  </si>
  <si>
    <t>MYHD .VALV.MCVL</t>
  </si>
  <si>
    <t>271665</t>
  </si>
  <si>
    <t>07H261 C/O Main Control Valve RH</t>
  </si>
  <si>
    <t>51490473</t>
  </si>
  <si>
    <t>MYHD .VALV.MCVR</t>
  </si>
  <si>
    <t>20055689</t>
  </si>
  <si>
    <t>10R5466</t>
  </si>
  <si>
    <t>MOTOR HYD;CAT;10R546</t>
  </si>
  <si>
    <t>271655</t>
  </si>
  <si>
    <t>07B307 Engine Cooling Fan Motor</t>
  </si>
  <si>
    <t>51418824</t>
  </si>
  <si>
    <t>07B307 C/O Engine Cooling Fan Motor</t>
  </si>
  <si>
    <t>MYHD .MOTO.HM01</t>
  </si>
  <si>
    <t>5058 - PISTON MOTOR</t>
  </si>
  <si>
    <t>20938085</t>
  </si>
  <si>
    <t>5120769X</t>
  </si>
  <si>
    <t>PUMP;SX;CAT;512-0769</t>
  </si>
  <si>
    <t>271666</t>
  </si>
  <si>
    <t>07B307 Main Hydraulic Pump LH</t>
  </si>
  <si>
    <t>51418477</t>
  </si>
  <si>
    <t>07B307 C/O Main Hydraulic Pump LH</t>
  </si>
  <si>
    <t>271667</t>
  </si>
  <si>
    <t>07B307 Main Hydraulic Pump RH</t>
  </si>
  <si>
    <t>51418478</t>
  </si>
  <si>
    <t>07B307 C/O Main Hydraulic Pump RH</t>
  </si>
  <si>
    <t>20938090</t>
  </si>
  <si>
    <t>4241866</t>
  </si>
  <si>
    <t>PUMP;PISTON;CAT;424-</t>
  </si>
  <si>
    <t>273684</t>
  </si>
  <si>
    <t>07B307 Pilot Hydraulic Pump</t>
  </si>
  <si>
    <t>51418479</t>
  </si>
  <si>
    <t>07B307 C/O Pilot Hydraulic Pump</t>
  </si>
  <si>
    <t>20938068</t>
  </si>
  <si>
    <t>4164017X</t>
  </si>
  <si>
    <t>CYLINDER;SX;CAT;4164</t>
  </si>
  <si>
    <t>271662</t>
  </si>
  <si>
    <t>07B307 C/O Lift Cylinder LH</t>
  </si>
  <si>
    <t>51418023</t>
  </si>
  <si>
    <t>271663</t>
  </si>
  <si>
    <t>07B307 C/O Lift Cylinder RH</t>
  </si>
  <si>
    <t>51417814</t>
  </si>
  <si>
    <t>20938080</t>
  </si>
  <si>
    <t>4164019X</t>
  </si>
  <si>
    <t>CYLINDER;LH;SX;CAT;4</t>
  </si>
  <si>
    <t>304874</t>
  </si>
  <si>
    <t>07B307 C/O Tilt Cylinder LH</t>
  </si>
  <si>
    <t>51417815</t>
  </si>
  <si>
    <t>20938076</t>
  </si>
  <si>
    <t>4164018X</t>
  </si>
  <si>
    <t>CYLINDER;RH;SX;CAT;4</t>
  </si>
  <si>
    <t>271677</t>
  </si>
  <si>
    <t>07B307 C/O Tilt Cylinder RH</t>
  </si>
  <si>
    <t>51418024</t>
  </si>
  <si>
    <t>D10</t>
  </si>
  <si>
    <t>MGY00114</t>
  </si>
  <si>
    <t>325057</t>
  </si>
  <si>
    <t>08R373 C/O Engine</t>
  </si>
  <si>
    <t>51627919</t>
  </si>
  <si>
    <t>325037</t>
  </si>
  <si>
    <t>51627966</t>
  </si>
  <si>
    <t>08R373 C/O Fuel Injectors</t>
  </si>
  <si>
    <t>324844</t>
  </si>
  <si>
    <t>08R373 C/O Engine Radiator</t>
  </si>
  <si>
    <t>51627972</t>
  </si>
  <si>
    <t>325040</t>
  </si>
  <si>
    <t>51627961</t>
  </si>
  <si>
    <t>08R373 C/O Water Pump Main</t>
  </si>
  <si>
    <t>324961</t>
  </si>
  <si>
    <t>08R373 C/O Engine Cooling Fan Motor</t>
  </si>
  <si>
    <t>51627970</t>
  </si>
  <si>
    <t>A/324842/N1</t>
  </si>
  <si>
    <t>2106813: 08R373 C/O Engine Cooling Fan Pump</t>
  </si>
  <si>
    <t>51627971</t>
  </si>
  <si>
    <t>08R373 C/O Engine Cooling Fan Pump</t>
  </si>
  <si>
    <t>325051</t>
  </si>
  <si>
    <t>51627964</t>
  </si>
  <si>
    <t>08R373 C/O Starter Motor</t>
  </si>
  <si>
    <t>LVEL .STSY.STMO</t>
  </si>
  <si>
    <t>324109</t>
  </si>
  <si>
    <t>08R373 C/O Transmission</t>
  </si>
  <si>
    <t>51628001</t>
  </si>
  <si>
    <t>21001246</t>
  </si>
  <si>
    <t>30R0153</t>
  </si>
  <si>
    <t>PUMP ASSEMBLY;GEAR;C</t>
  </si>
  <si>
    <t>324110</t>
  </si>
  <si>
    <t>08R373 C/O Power Train Oil Pump</t>
  </si>
  <si>
    <t>51627982</t>
  </si>
  <si>
    <t>TRAN .PUMP.PTOP</t>
  </si>
  <si>
    <t>324107</t>
  </si>
  <si>
    <t>08R373 C/O Torque Converter</t>
  </si>
  <si>
    <t>51627992</t>
  </si>
  <si>
    <t>40508400</t>
  </si>
  <si>
    <t>0R8504</t>
  </si>
  <si>
    <t>DRIVE;FINAL;CAT;0R85</t>
  </si>
  <si>
    <t>324120</t>
  </si>
  <si>
    <t>08R373 C/O Final Drive LH</t>
  </si>
  <si>
    <t>51627974</t>
  </si>
  <si>
    <t>08R373 C/O Final Drive RH</t>
  </si>
  <si>
    <t>51627975</t>
  </si>
  <si>
    <t>21171548</t>
  </si>
  <si>
    <t>5710489X</t>
  </si>
  <si>
    <t>CLUTCH;ASSY;CAT;5710489X</t>
  </si>
  <si>
    <t>A/324116/N1</t>
  </si>
  <si>
    <t>2106832: 08R373 C/O Steering Clutch &amp; Brake LH</t>
  </si>
  <si>
    <t>51627990</t>
  </si>
  <si>
    <t>08R373 C/O Steering Clutch &amp; Brake LH</t>
  </si>
  <si>
    <t>BRSS .SCBA.SCLH</t>
  </si>
  <si>
    <t>4100 - STEERING CLUTCH &amp; BRAKE</t>
  </si>
  <si>
    <t>2106833: 08R373 C/O Steering Clutch &amp; Brake RH</t>
  </si>
  <si>
    <t>51627991</t>
  </si>
  <si>
    <t>08R373 C/O Steering Clutch &amp; Brake RH</t>
  </si>
  <si>
    <t>BRSS .SCBA.SCRH</t>
  </si>
  <si>
    <t>20801266</t>
  </si>
  <si>
    <t>3643803F</t>
  </si>
  <si>
    <t>FRAME,TRACK;CAT;3643</t>
  </si>
  <si>
    <t>324836</t>
  </si>
  <si>
    <t>08R373 C/O Track Frame LH</t>
  </si>
  <si>
    <t>51627995</t>
  </si>
  <si>
    <t>STRU .TFLH</t>
  </si>
  <si>
    <t>4150 - UNDERCARRIAGE</t>
  </si>
  <si>
    <t>20801265</t>
  </si>
  <si>
    <t>3643802F</t>
  </si>
  <si>
    <t>324837</t>
  </si>
  <si>
    <t>08R373 C/O Track Frame RH</t>
  </si>
  <si>
    <t>51627998</t>
  </si>
  <si>
    <t>STRU .TFRH</t>
  </si>
  <si>
    <t>20646535</t>
  </si>
  <si>
    <t>10R9167</t>
  </si>
  <si>
    <t>SHAFT;PIVOT;RM;CAT;1</t>
  </si>
  <si>
    <t>324903</t>
  </si>
  <si>
    <t>08R373 C/O Pivot Shaft</t>
  </si>
  <si>
    <t>51627980</t>
  </si>
  <si>
    <t>STRU .CHAS.PISH</t>
  </si>
  <si>
    <t>4153 - ROLLER FRAME PIVOT SHAFT</t>
  </si>
  <si>
    <t>21110777</t>
  </si>
  <si>
    <t>20R9385</t>
  </si>
  <si>
    <t>PISTON PUMP;CAT;20R-</t>
  </si>
  <si>
    <t>324691</t>
  </si>
  <si>
    <t>08R373 C/O Implement Pump 1</t>
  </si>
  <si>
    <t>51627977</t>
  </si>
  <si>
    <t>21110546</t>
  </si>
  <si>
    <t>20R9389</t>
  </si>
  <si>
    <t>324692</t>
  </si>
  <si>
    <t>08R373 C/O Implement Pump 2</t>
  </si>
  <si>
    <t>51627978</t>
  </si>
  <si>
    <t>21171540</t>
  </si>
  <si>
    <t>5701651X</t>
  </si>
  <si>
    <t>CYLINDER HYD;LEFT OR</t>
  </si>
  <si>
    <t>324112</t>
  </si>
  <si>
    <t>08R373 C/O Blade Lift Cylinder LH</t>
  </si>
  <si>
    <t>51627914</t>
  </si>
  <si>
    <t>21171547</t>
  </si>
  <si>
    <t>5772492X</t>
  </si>
  <si>
    <t>CYLINDER;ASSY;TILT;C</t>
  </si>
  <si>
    <t>324113</t>
  </si>
  <si>
    <t>08R373 C/O Blade Tilt Cylinder LH</t>
  </si>
  <si>
    <t>51627916</t>
  </si>
  <si>
    <t>08R373 C/O Blade Tilt Cylinder RH</t>
  </si>
  <si>
    <t>51627917</t>
  </si>
  <si>
    <t>21171549</t>
  </si>
  <si>
    <t>5713851X</t>
  </si>
  <si>
    <t>CYLINDER HYD;ASSY;CA</t>
  </si>
  <si>
    <t>324899</t>
  </si>
  <si>
    <t>08R373 C/O Ripper Lift Cylinder LH</t>
  </si>
  <si>
    <t>51627983</t>
  </si>
  <si>
    <t>21171551</t>
  </si>
  <si>
    <t>5713853X</t>
  </si>
  <si>
    <t>324900</t>
  </si>
  <si>
    <t>08R373 C/O Ripper Lift Cylinder RH</t>
  </si>
  <si>
    <t>51627984</t>
  </si>
  <si>
    <t>21171553</t>
  </si>
  <si>
    <t>5713990X</t>
  </si>
  <si>
    <t>324901</t>
  </si>
  <si>
    <t>08R373 C/O Ripper Tilt Cylinder LH</t>
  </si>
  <si>
    <t>51627986</t>
  </si>
  <si>
    <t>MYHD .CYLI.RITL</t>
  </si>
  <si>
    <t>5356 - RIPPER TILT CYLINDER</t>
  </si>
  <si>
    <t>08R373 C/O Ripper Tilt Cylinder RH</t>
  </si>
  <si>
    <t>51627987</t>
  </si>
  <si>
    <t>MYHD .CYLI.RITR</t>
  </si>
  <si>
    <t>D10T</t>
  </si>
  <si>
    <t>RJG01233</t>
  </si>
  <si>
    <t>40443335</t>
  </si>
  <si>
    <t>2712219X</t>
  </si>
  <si>
    <t>ENGINE;SX;CAT;271-22</t>
  </si>
  <si>
    <t>252774</t>
  </si>
  <si>
    <t>08D3 Engine</t>
  </si>
  <si>
    <t>51194005</t>
  </si>
  <si>
    <t>08D3 C/O Engine</t>
  </si>
  <si>
    <t>20116715</t>
  </si>
  <si>
    <t>10R2075</t>
  </si>
  <si>
    <t>252765</t>
  </si>
  <si>
    <t>51194001</t>
  </si>
  <si>
    <t>08D3 C/O Turbocharger LH</t>
  </si>
  <si>
    <t>51194002</t>
  </si>
  <si>
    <t>08D3 C/O Turbocharger RH</t>
  </si>
  <si>
    <t>252763</t>
  </si>
  <si>
    <t>51193458</t>
  </si>
  <si>
    <t>08D3 C/O Fuel Injectors</t>
  </si>
  <si>
    <t>5053813</t>
  </si>
  <si>
    <t>08D3 C/O Engine Radiator</t>
  </si>
  <si>
    <t>50100613</t>
  </si>
  <si>
    <t>20383707</t>
  </si>
  <si>
    <t>PUMP;RM;CAT;10R-6400</t>
  </si>
  <si>
    <t>252768</t>
  </si>
  <si>
    <t>51194003</t>
  </si>
  <si>
    <t>08D3 C/O Water Pump Main</t>
  </si>
  <si>
    <t>40724816</t>
  </si>
  <si>
    <t>2135171X</t>
  </si>
  <si>
    <t>5053808</t>
  </si>
  <si>
    <t>08D3 C/O Transmission</t>
  </si>
  <si>
    <t>50100916</t>
  </si>
  <si>
    <t>3006 - TRANSMISSION &amp; DIFFERENTIAL UNIT</t>
  </si>
  <si>
    <t>20736928</t>
  </si>
  <si>
    <t>20R7445</t>
  </si>
  <si>
    <t>PUMP;CAT;20R7445</t>
  </si>
  <si>
    <t>5053810</t>
  </si>
  <si>
    <t>08D3 C/O Power Train Oil Pump</t>
  </si>
  <si>
    <t>50102126</t>
  </si>
  <si>
    <t>40724875</t>
  </si>
  <si>
    <t>2267614X</t>
  </si>
  <si>
    <t>CONVERTOR;TORQUE;SX;</t>
  </si>
  <si>
    <t>5053809</t>
  </si>
  <si>
    <t>08D3 C/O Torque Converter</t>
  </si>
  <si>
    <t>50266178</t>
  </si>
  <si>
    <t>5053805</t>
  </si>
  <si>
    <t>08D3 C/O Final Drive LH</t>
  </si>
  <si>
    <t>50266179</t>
  </si>
  <si>
    <t>08D3 C/O Final Drive RH</t>
  </si>
  <si>
    <t>50266201</t>
  </si>
  <si>
    <t>40724823</t>
  </si>
  <si>
    <t>2371017X</t>
  </si>
  <si>
    <t>CLUTCH;SX;CAT;237101</t>
  </si>
  <si>
    <t>5053806</t>
  </si>
  <si>
    <t>08D3 C/O Steering Clutch &amp; Brake LH</t>
  </si>
  <si>
    <t>50101726</t>
  </si>
  <si>
    <t>08D3 C/O Steering Clutch &amp; Brake RH</t>
  </si>
  <si>
    <t>50100918</t>
  </si>
  <si>
    <t>RJG02299</t>
  </si>
  <si>
    <t>CLUTCH;ASSY;CAT;5710</t>
  </si>
  <si>
    <t>08D5 C/O Steering Clutch &amp; Brake LH</t>
  </si>
  <si>
    <t>50287077</t>
  </si>
  <si>
    <t>20354933</t>
  </si>
  <si>
    <t>3551295F</t>
  </si>
  <si>
    <t>FRAME;CAT;355-1295F/</t>
  </si>
  <si>
    <t>253453</t>
  </si>
  <si>
    <t>08D3 Track Frame LH</t>
  </si>
  <si>
    <t>51199403</t>
  </si>
  <si>
    <t>08D3 C/O Track Frame LH</t>
  </si>
  <si>
    <t>20354932</t>
  </si>
  <si>
    <t>3551294F</t>
  </si>
  <si>
    <t>FRAME;TRACK;SX;CAT;3</t>
  </si>
  <si>
    <t>253454</t>
  </si>
  <si>
    <t>08D3 Track Frame RH</t>
  </si>
  <si>
    <t>51199408</t>
  </si>
  <si>
    <t>08D3 C/O Track Frame RH</t>
  </si>
  <si>
    <t>5053803</t>
  </si>
  <si>
    <t>08D3 C/O Pivot Shaft</t>
  </si>
  <si>
    <t>50100940</t>
  </si>
  <si>
    <t>20663853</t>
  </si>
  <si>
    <t>5897674</t>
  </si>
  <si>
    <t>PUMP GEAR;CAT;430-83</t>
  </si>
  <si>
    <t>5053816</t>
  </si>
  <si>
    <t>08D3 C/O Implement Pump</t>
  </si>
  <si>
    <t>50102130</t>
  </si>
  <si>
    <t>5053819</t>
  </si>
  <si>
    <t>08D3 C/O Blade Tilt Cylinder RH</t>
  </si>
  <si>
    <t>50102128</t>
  </si>
  <si>
    <t>5053818</t>
  </si>
  <si>
    <t>08D5 C/O Blade Tilt Cylinder LH</t>
  </si>
  <si>
    <t>50287058</t>
  </si>
  <si>
    <t>5053817</t>
  </si>
  <si>
    <t>08D3 C/O Blade Lift Cylinder RH</t>
  </si>
  <si>
    <t>50102127</t>
  </si>
  <si>
    <t>5113 - BLADE LIFT CYLINDER</t>
  </si>
  <si>
    <t>08D5 C/O Blade Lift Cylinder LH</t>
  </si>
  <si>
    <t>50287056</t>
  </si>
  <si>
    <t>5053820</t>
  </si>
  <si>
    <t>08D3 C/O Ripper Lift Cylinder LH</t>
  </si>
  <si>
    <t>50102129</t>
  </si>
  <si>
    <t>5053821</t>
  </si>
  <si>
    <t>08D3 C/O Ripper Lift Cylinder RH</t>
  </si>
  <si>
    <t>50101465</t>
  </si>
  <si>
    <t>5053822</t>
  </si>
  <si>
    <t>08D3 C/O Ripper Tilt Cylinder LH</t>
  </si>
  <si>
    <t>50101800</t>
  </si>
  <si>
    <t>5053823</t>
  </si>
  <si>
    <t>08D3 C/O Ripper Tilt Cylinder RH</t>
  </si>
  <si>
    <t>50100608</t>
  </si>
  <si>
    <t>D10T2</t>
  </si>
  <si>
    <t>RAB00944</t>
  </si>
  <si>
    <t>20843535</t>
  </si>
  <si>
    <t>3596502X</t>
  </si>
  <si>
    <t>ENGINE;SX;CAT;359650</t>
  </si>
  <si>
    <t>254811</t>
  </si>
  <si>
    <t>08B219 Engine</t>
  </si>
  <si>
    <t>51408790</t>
  </si>
  <si>
    <t>08B219 C/O Engine</t>
  </si>
  <si>
    <t>20844031</t>
  </si>
  <si>
    <t>20R3767</t>
  </si>
  <si>
    <t>TURBOCHARGER;RE;CAT;</t>
  </si>
  <si>
    <t>254889</t>
  </si>
  <si>
    <t>51408786</t>
  </si>
  <si>
    <t>08B219 C/O Turbocharger LH</t>
  </si>
  <si>
    <t>20844030</t>
  </si>
  <si>
    <t>20R3766</t>
  </si>
  <si>
    <t>254891</t>
  </si>
  <si>
    <t>51408787</t>
  </si>
  <si>
    <t>08B219 C/O Turbocharger RH</t>
  </si>
  <si>
    <t>254860</t>
  </si>
  <si>
    <t>51408783</t>
  </si>
  <si>
    <t>08B219 C/O Fuel Injectors</t>
  </si>
  <si>
    <t>20948442</t>
  </si>
  <si>
    <t>3878408F</t>
  </si>
  <si>
    <t>RADIATOR;WESTRAC;387</t>
  </si>
  <si>
    <t>254857</t>
  </si>
  <si>
    <t>08B219 C/O Engine Radiator</t>
  </si>
  <si>
    <t>51408230</t>
  </si>
  <si>
    <t>254893</t>
  </si>
  <si>
    <t>51408788</t>
  </si>
  <si>
    <t>08B219 C/O Water Pump Main</t>
  </si>
  <si>
    <t>20851254</t>
  </si>
  <si>
    <t>20R8955</t>
  </si>
  <si>
    <t>MOTOR;CAT;20R8955</t>
  </si>
  <si>
    <t>254815</t>
  </si>
  <si>
    <t>08B219 C/O Engine Cooling Fan Motor</t>
  </si>
  <si>
    <t>51408677</t>
  </si>
  <si>
    <t>20851255</t>
  </si>
  <si>
    <t>20R8952</t>
  </si>
  <si>
    <t>PUMP;CAT;20R8952</t>
  </si>
  <si>
    <t>254817</t>
  </si>
  <si>
    <t>08B219 C/O Engine Cooling Fan Pump</t>
  </si>
  <si>
    <t>51408226</t>
  </si>
  <si>
    <t>254875</t>
  </si>
  <si>
    <t>51408785</t>
  </si>
  <si>
    <t>08B219 C/O Starter Motor</t>
  </si>
  <si>
    <t>20843536</t>
  </si>
  <si>
    <t>3726094X</t>
  </si>
  <si>
    <t>TRANSMISSION;CAT;372</t>
  </si>
  <si>
    <t>254887</t>
  </si>
  <si>
    <t>08B219 C/O Transmission</t>
  </si>
  <si>
    <t>51408778</t>
  </si>
  <si>
    <t>RAB00965</t>
  </si>
  <si>
    <t>254870</t>
  </si>
  <si>
    <t>08B221 C/O Power Train Oil Pump</t>
  </si>
  <si>
    <t>51408708</t>
  </si>
  <si>
    <t>20843537</t>
  </si>
  <si>
    <t>3596482X</t>
  </si>
  <si>
    <t>CONVERTER TRQ;CAT;35</t>
  </si>
  <si>
    <t>254878</t>
  </si>
  <si>
    <t>08B219 C/O Torque Converter</t>
  </si>
  <si>
    <t>51408742</t>
  </si>
  <si>
    <t>254859</t>
  </si>
  <si>
    <t>08B219 C/O Final Drive LH</t>
  </si>
  <si>
    <t>51408238</t>
  </si>
  <si>
    <t>08B219 C/O Final Drive RH</t>
  </si>
  <si>
    <t>51408682</t>
  </si>
  <si>
    <t>254877</t>
  </si>
  <si>
    <t>08B219 C/O Steering Clutch &amp; Brake LH</t>
  </si>
  <si>
    <t>51408734</t>
  </si>
  <si>
    <t>08B219 C/O Steering Clutch &amp; Brake RH</t>
  </si>
  <si>
    <t>51408738</t>
  </si>
  <si>
    <t>RAB01117</t>
  </si>
  <si>
    <t>08H321 C/O Steering Clutch &amp; Brake LH</t>
  </si>
  <si>
    <t>51437960</t>
  </si>
  <si>
    <t>FRAME;TRACK;CAT;3643</t>
  </si>
  <si>
    <t>254883</t>
  </si>
  <si>
    <t>08B219 C/O Track Frame LH</t>
  </si>
  <si>
    <t>51543651</t>
  </si>
  <si>
    <t>254884</t>
  </si>
  <si>
    <t>08B219 C/O Track Frame RH</t>
  </si>
  <si>
    <t>51543711</t>
  </si>
  <si>
    <t>254868</t>
  </si>
  <si>
    <t>08B219 C/O Pivot Shaft</t>
  </si>
  <si>
    <t>51408702</t>
  </si>
  <si>
    <t>254865</t>
  </si>
  <si>
    <t>08B219 C/O Implement Pump 1</t>
  </si>
  <si>
    <t>51408690</t>
  </si>
  <si>
    <t>MYHD .PUMP.MHPT</t>
  </si>
  <si>
    <t>254864</t>
  </si>
  <si>
    <t>08B221 C/O Implement Pump 2</t>
  </si>
  <si>
    <t>51408696</t>
  </si>
  <si>
    <t>254808</t>
  </si>
  <si>
    <t>08B221 C/O Blade Tilt Cylinder LH</t>
  </si>
  <si>
    <t>51408665</t>
  </si>
  <si>
    <t>254809</t>
  </si>
  <si>
    <t>08B221 C/O Blade Tilt Cylinder RH</t>
  </si>
  <si>
    <t>51407388</t>
  </si>
  <si>
    <t>RAB00331</t>
  </si>
  <si>
    <t>20843539</t>
  </si>
  <si>
    <t>3724283X</t>
  </si>
  <si>
    <t>CYLINDER;CAT;3724283</t>
  </si>
  <si>
    <t>267133</t>
  </si>
  <si>
    <t>08H704 C/O Blade Lift Cylinder LH</t>
  </si>
  <si>
    <t>51176539</t>
  </si>
  <si>
    <t>08H704 C/O Blade Lift Cylinder RH</t>
  </si>
  <si>
    <t>51177180</t>
  </si>
  <si>
    <t>21022408</t>
  </si>
  <si>
    <t>5880174X</t>
  </si>
  <si>
    <t>CYLINDER HYD;CAT;588</t>
  </si>
  <si>
    <t>08B219 C/O Blade Lift Cylinder LH</t>
  </si>
  <si>
    <t>51407383</t>
  </si>
  <si>
    <t>08B219 C/O Blade Lift Cylinder RH</t>
  </si>
  <si>
    <t>51408660</t>
  </si>
  <si>
    <t>RAB00979</t>
  </si>
  <si>
    <t>6267409X</t>
  </si>
  <si>
    <t>08H308 C/O Blade Lift Cylinder LH</t>
  </si>
  <si>
    <t>51415704</t>
  </si>
  <si>
    <t>08H308 C/O Blade Lift Cylinder RH</t>
  </si>
  <si>
    <t>51415705</t>
  </si>
  <si>
    <t>21012690</t>
  </si>
  <si>
    <t>5218395X</t>
  </si>
  <si>
    <t>CYLINDER;CAT;5218395</t>
  </si>
  <si>
    <t>289459</t>
  </si>
  <si>
    <t>08B219 C/O Ripper Lift Cylinder RH</t>
  </si>
  <si>
    <t>51408714</t>
  </si>
  <si>
    <t>20843540</t>
  </si>
  <si>
    <t>5218394X</t>
  </si>
  <si>
    <t>CYLINDER;CAT;3742276</t>
  </si>
  <si>
    <t>254871</t>
  </si>
  <si>
    <t>08B219 C/O Ripper Lift Cylinder LH</t>
  </si>
  <si>
    <t>51408710</t>
  </si>
  <si>
    <t>RAB00968</t>
  </si>
  <si>
    <t>6442025X</t>
  </si>
  <si>
    <t>CYLINDER;ASSY;CAT;64</t>
  </si>
  <si>
    <t>08D318 C/O Ripper Lift Cylinder RH</t>
  </si>
  <si>
    <t>51409301</t>
  </si>
  <si>
    <t>254873</t>
  </si>
  <si>
    <t>08B221 C/O Ripper Tilt Cylinder LH</t>
  </si>
  <si>
    <t>51408720</t>
  </si>
  <si>
    <t>08B221 C/O Ripper Tilt Cylinder RH</t>
  </si>
  <si>
    <t>51408724</t>
  </si>
  <si>
    <t>D11</t>
  </si>
  <si>
    <t>KSN00629</t>
  </si>
  <si>
    <t>20992459</t>
  </si>
  <si>
    <t>4850353X</t>
  </si>
  <si>
    <t>ENGINE;CAT C32;CAT;4</t>
  </si>
  <si>
    <t>290472</t>
  </si>
  <si>
    <t>08D367 Engine</t>
  </si>
  <si>
    <t>51566758</t>
  </si>
  <si>
    <t>08D367 C/O Engine</t>
  </si>
  <si>
    <t>KSN00427</t>
  </si>
  <si>
    <t>21098000</t>
  </si>
  <si>
    <t>30R0655</t>
  </si>
  <si>
    <t>TURBOCHARGER;ASSY;CA</t>
  </si>
  <si>
    <t>290478</t>
  </si>
  <si>
    <t>08B340 Engine</t>
  </si>
  <si>
    <t>51493533</t>
  </si>
  <si>
    <t>08B340 C/O Turbocharger LH</t>
  </si>
  <si>
    <t>ENGD .TURB.TCLH</t>
  </si>
  <si>
    <t>21098011</t>
  </si>
  <si>
    <t>30R0656</t>
  </si>
  <si>
    <t>290479</t>
  </si>
  <si>
    <t>51493534</t>
  </si>
  <si>
    <t>08B340 C/O Turbocharger RH</t>
  </si>
  <si>
    <t>ENGD .TURB.TCRH</t>
  </si>
  <si>
    <t>21124105</t>
  </si>
  <si>
    <t>6497376</t>
  </si>
  <si>
    <t>290474</t>
  </si>
  <si>
    <t>51493529</t>
  </si>
  <si>
    <t>08B340 C/O Fuel Injectors</t>
  </si>
  <si>
    <t>290480</t>
  </si>
  <si>
    <t>51493535</t>
  </si>
  <si>
    <t>08B340 C/O Water Pump Main</t>
  </si>
  <si>
    <t>KSN00645</t>
  </si>
  <si>
    <t>275226</t>
  </si>
  <si>
    <t>08H358 C/O Engine Cooling Fan Motor</t>
  </si>
  <si>
    <t>51566832</t>
  </si>
  <si>
    <t>275227</t>
  </si>
  <si>
    <t>08H358 C/O Engine Cooling Fan Pump</t>
  </si>
  <si>
    <t>51566833</t>
  </si>
  <si>
    <t>290476</t>
  </si>
  <si>
    <t>51493531</t>
  </si>
  <si>
    <t>08B340 C/O Starter Motor LH</t>
  </si>
  <si>
    <t>LVEL .STSY.SMLH</t>
  </si>
  <si>
    <t>290477</t>
  </si>
  <si>
    <t>51493532</t>
  </si>
  <si>
    <t>08B340 C/O Starter Motor RH</t>
  </si>
  <si>
    <t>LVEL .STSY.SMRH</t>
  </si>
  <si>
    <t>20992454</t>
  </si>
  <si>
    <t>5812105X</t>
  </si>
  <si>
    <t>GEAR;BEVEL;SX;CAT;58</t>
  </si>
  <si>
    <t>275153</t>
  </si>
  <si>
    <t>08B340 C/O Transfer &amp; Bevel Gears</t>
  </si>
  <si>
    <t>51469195</t>
  </si>
  <si>
    <t>TRAN .TRAN.BEGE</t>
  </si>
  <si>
    <t>3011 - BEVEL &amp; TRANSFER GEARS</t>
  </si>
  <si>
    <t>20992453</t>
  </si>
  <si>
    <t>5726451X</t>
  </si>
  <si>
    <t>275150</t>
  </si>
  <si>
    <t>08B340 C/O Transmission</t>
  </si>
  <si>
    <t>51469610</t>
  </si>
  <si>
    <t>21092481</t>
  </si>
  <si>
    <t>11R1756</t>
  </si>
  <si>
    <t>PUMP ASSEMBLY;ASSEMB</t>
  </si>
  <si>
    <t>275154</t>
  </si>
  <si>
    <t>08D367 C/O Power Train Oil Pump</t>
  </si>
  <si>
    <t>51566632</t>
  </si>
  <si>
    <t>20992452</t>
  </si>
  <si>
    <t>4563651X</t>
  </si>
  <si>
    <t>275149</t>
  </si>
  <si>
    <t>08B340 C/O Torque Converter</t>
  </si>
  <si>
    <t>51469609</t>
  </si>
  <si>
    <t>20454530</t>
  </si>
  <si>
    <t>0R8956</t>
  </si>
  <si>
    <t>D11T FINAL DRIVE;CAT</t>
  </si>
  <si>
    <t>275211</t>
  </si>
  <si>
    <t>08B340 C/O Final Drive LH</t>
  </si>
  <si>
    <t>51469192</t>
  </si>
  <si>
    <t>08B340 C/O Final Drive RH</t>
  </si>
  <si>
    <t>51469270</t>
  </si>
  <si>
    <t>20992451</t>
  </si>
  <si>
    <t>5085837X</t>
  </si>
  <si>
    <t>CLUTCH;STEERING;SX;C</t>
  </si>
  <si>
    <t>275148</t>
  </si>
  <si>
    <t>08B340 C/O Steering Clutch &amp; Brake LH</t>
  </si>
  <si>
    <t>51469608</t>
  </si>
  <si>
    <t>08B340 C/O Steering Clutch &amp; Brake RH</t>
  </si>
  <si>
    <t>51469191</t>
  </si>
  <si>
    <t>20352726</t>
  </si>
  <si>
    <t>3370989F</t>
  </si>
  <si>
    <t>FRAME;CAT;3370989F/4</t>
  </si>
  <si>
    <t>275228</t>
  </si>
  <si>
    <t>08B340 C/O Track Frame LH</t>
  </si>
  <si>
    <t>51469197</t>
  </si>
  <si>
    <t>20352725</t>
  </si>
  <si>
    <t>3370988F</t>
  </si>
  <si>
    <t>FRAME;CAT;3370988F/4</t>
  </si>
  <si>
    <t>275229</t>
  </si>
  <si>
    <t>08B340 C/O Track Frame RH</t>
  </si>
  <si>
    <t>51469600</t>
  </si>
  <si>
    <t>KSN00383</t>
  </si>
  <si>
    <t>20234972</t>
  </si>
  <si>
    <t>10R9168</t>
  </si>
  <si>
    <t>SHAFT;RM;CAT;10R-916</t>
  </si>
  <si>
    <t>275230</t>
  </si>
  <si>
    <t>08R325 C/O Pivot Shaft</t>
  </si>
  <si>
    <t>51446108</t>
  </si>
  <si>
    <t>275224</t>
  </si>
  <si>
    <t>08H358 C/O Pilot Hydraulic Pump</t>
  </si>
  <si>
    <t>51566882</t>
  </si>
  <si>
    <t>MYHD .PUMP.PIHP</t>
  </si>
  <si>
    <t>20992456</t>
  </si>
  <si>
    <t>5616909X</t>
  </si>
  <si>
    <t>275214</t>
  </si>
  <si>
    <t>08B340 C/O Blade Tilt Cylinder LH</t>
  </si>
  <si>
    <t>51469271</t>
  </si>
  <si>
    <t>08B340 C/O Blade Tilt Cylinder RH</t>
  </si>
  <si>
    <t>51469267</t>
  </si>
  <si>
    <t>21125510</t>
  </si>
  <si>
    <t>5739165X</t>
  </si>
  <si>
    <t>CYLINDER HYD;LIFT;CA</t>
  </si>
  <si>
    <t>275212</t>
  </si>
  <si>
    <t>08D367 C/O Blade Lift Cylinder LH</t>
  </si>
  <si>
    <t>51566725</t>
  </si>
  <si>
    <t>08D367 C/O Blade Lift Cylinder RH</t>
  </si>
  <si>
    <t>51566726</t>
  </si>
  <si>
    <t>20992457</t>
  </si>
  <si>
    <t>5617470X</t>
  </si>
  <si>
    <t>CYLINDER;RIPPER;SX;C</t>
  </si>
  <si>
    <t>275215</t>
  </si>
  <si>
    <t>08B340 C/O Ripper Lift Cylinder LH</t>
  </si>
  <si>
    <t>51469607</t>
  </si>
  <si>
    <t>08B340 C/O Ripper Lift Cylinder RH</t>
  </si>
  <si>
    <t>51469277</t>
  </si>
  <si>
    <t>20992458</t>
  </si>
  <si>
    <t>4651711X</t>
  </si>
  <si>
    <t>275217</t>
  </si>
  <si>
    <t>08B340 C/O Ripper Tilt Cylinder LH</t>
  </si>
  <si>
    <t>51469603</t>
  </si>
  <si>
    <t>08B340 C/O Ripper Tilt Cylinder RH</t>
  </si>
  <si>
    <t>51469196</t>
  </si>
  <si>
    <t>D11R</t>
  </si>
  <si>
    <t>7PZ01528</t>
  </si>
  <si>
    <t>5053770</t>
  </si>
  <si>
    <t>08D1 Engine</t>
  </si>
  <si>
    <t>50111109</t>
  </si>
  <si>
    <t>08D1 C/O Engine</t>
  </si>
  <si>
    <t>40633003</t>
  </si>
  <si>
    <t>10R2844</t>
  </si>
  <si>
    <t>TURBOCHARGER; GRP;CA</t>
  </si>
  <si>
    <t>5053772</t>
  </si>
  <si>
    <t>50111110</t>
  </si>
  <si>
    <t>08D1 C/O Turbocharger LH</t>
  </si>
  <si>
    <t>50389743</t>
  </si>
  <si>
    <t>08D1 C/O Turbocharger RH</t>
  </si>
  <si>
    <t>5053771</t>
  </si>
  <si>
    <t>50111111</t>
  </si>
  <si>
    <t>08D1 C/O Fuel Injectors</t>
  </si>
  <si>
    <t>5053775</t>
  </si>
  <si>
    <t>08D1 C/O Engine Radiator</t>
  </si>
  <si>
    <t>50102124</t>
  </si>
  <si>
    <t>40120732</t>
  </si>
  <si>
    <t>10R1668</t>
  </si>
  <si>
    <t>146863</t>
  </si>
  <si>
    <t>50389744</t>
  </si>
  <si>
    <t>08D1 C/O Water Pump Main</t>
  </si>
  <si>
    <t>20116814</t>
  </si>
  <si>
    <t>3523191X</t>
  </si>
  <si>
    <t>GEAR;BEVEL;SX;CAT;35</t>
  </si>
  <si>
    <t>104666</t>
  </si>
  <si>
    <t>08D1 C/O Transfer &amp; Bevel Gears</t>
  </si>
  <si>
    <t>50151047</t>
  </si>
  <si>
    <t>7PZ01341</t>
  </si>
  <si>
    <t>5053766</t>
  </si>
  <si>
    <t>08H1488 C/O Transmission</t>
  </si>
  <si>
    <t>50384034</t>
  </si>
  <si>
    <t>40724815</t>
  </si>
  <si>
    <t>1943805X</t>
  </si>
  <si>
    <t>08D1 C/O Transmission</t>
  </si>
  <si>
    <t>50384254</t>
  </si>
  <si>
    <t>7PZ00922</t>
  </si>
  <si>
    <t>21103302</t>
  </si>
  <si>
    <t>30R0357</t>
  </si>
  <si>
    <t>5053768</t>
  </si>
  <si>
    <t>08H1064 C/O Power Train Oil Pump</t>
  </si>
  <si>
    <t>50095533</t>
  </si>
  <si>
    <t>40507875</t>
  </si>
  <si>
    <t>1210030X</t>
  </si>
  <si>
    <t>5053767</t>
  </si>
  <si>
    <t>08D1 C/O Torque Converter</t>
  </si>
  <si>
    <t>50100829</t>
  </si>
  <si>
    <t>5053763</t>
  </si>
  <si>
    <t>08D1 C/O Final Drive LH</t>
  </si>
  <si>
    <t>50102105</t>
  </si>
  <si>
    <t>08D1 C/O Final Drive RH</t>
  </si>
  <si>
    <t>50101736</t>
  </si>
  <si>
    <t>CLUTCH,STEERING;SX;C</t>
  </si>
  <si>
    <t>5053764</t>
  </si>
  <si>
    <t>08H1488 C/O Steering Clutch &amp; Brake LH</t>
  </si>
  <si>
    <t>50049269</t>
  </si>
  <si>
    <t>08H1488 C/O Steering Clutch &amp; Brake RH</t>
  </si>
  <si>
    <t>40724809</t>
  </si>
  <si>
    <t>1189628X</t>
  </si>
  <si>
    <t>STEER CLUTCH &amp; BRAKE</t>
  </si>
  <si>
    <t>08D1 C/O Steering Clutch &amp; Brake LH</t>
  </si>
  <si>
    <t>50100790</t>
  </si>
  <si>
    <t>08D1 C/O Steering Clutch &amp; Brake RH</t>
  </si>
  <si>
    <t>50101686</t>
  </si>
  <si>
    <t>7PZ00789</t>
  </si>
  <si>
    <t>20122389</t>
  </si>
  <si>
    <t>1792517F</t>
  </si>
  <si>
    <t>FRAME ASSY;SX;CAT;17</t>
  </si>
  <si>
    <t>5053796</t>
  </si>
  <si>
    <t>08H1061 C/O Track Frame LH</t>
  </si>
  <si>
    <t>50077069</t>
  </si>
  <si>
    <t>20122400</t>
  </si>
  <si>
    <t>1792516F</t>
  </si>
  <si>
    <t>5053797</t>
  </si>
  <si>
    <t>08H1061 C/O Track Frame RH</t>
  </si>
  <si>
    <t>50384370</t>
  </si>
  <si>
    <t>153193</t>
  </si>
  <si>
    <t>08D1 C/O Track Frame LH</t>
  </si>
  <si>
    <t>50101711</t>
  </si>
  <si>
    <t>153195</t>
  </si>
  <si>
    <t>08D1 C/O Track Frame RH</t>
  </si>
  <si>
    <t>50101739</t>
  </si>
  <si>
    <t>7PZ00737</t>
  </si>
  <si>
    <t>5053760</t>
  </si>
  <si>
    <t>08H397 C/O Pivot Shaft</t>
  </si>
  <si>
    <t>50055636</t>
  </si>
  <si>
    <t>5053779</t>
  </si>
  <si>
    <t>08D1 C/O Main Hydraulic Pump</t>
  </si>
  <si>
    <t>50100831</t>
  </si>
  <si>
    <t>5053782</t>
  </si>
  <si>
    <t>08D1 C/O Blade Tilt Cylinder LH</t>
  </si>
  <si>
    <t>50101381</t>
  </si>
  <si>
    <t>5053783</t>
  </si>
  <si>
    <t>08D1 C/O Blade Tilt Cylinder RH</t>
  </si>
  <si>
    <t>50101737</t>
  </si>
  <si>
    <t>5053781</t>
  </si>
  <si>
    <t>08D1 C/O Blade Lift Cylinder LH</t>
  </si>
  <si>
    <t>50101687</t>
  </si>
  <si>
    <t>08D1 C/O Blade Lift Cylinder RH</t>
  </si>
  <si>
    <t>50101708</t>
  </si>
  <si>
    <t>5053785</t>
  </si>
  <si>
    <t>08D1 C/O Ripper Lift Cylinder RH</t>
  </si>
  <si>
    <t>50101382</t>
  </si>
  <si>
    <t>7PZ01529</t>
  </si>
  <si>
    <t>5053784</t>
  </si>
  <si>
    <t>08D2 C/O Ripper Lift Cylinder LH</t>
  </si>
  <si>
    <t>50101385</t>
  </si>
  <si>
    <t>5053786</t>
  </si>
  <si>
    <t>08D1 C/O Ripper Tilt Cylinder LH</t>
  </si>
  <si>
    <t>50101878</t>
  </si>
  <si>
    <t>5053787</t>
  </si>
  <si>
    <t>08D1 C/O Ripper Tilt Cylinder RH</t>
  </si>
  <si>
    <t>50101709</t>
  </si>
  <si>
    <t>D11T</t>
  </si>
  <si>
    <t>AMA00198</t>
  </si>
  <si>
    <t>20520798</t>
  </si>
  <si>
    <t>3413157X</t>
  </si>
  <si>
    <t>ENGINE;SX;CAT;341-31</t>
  </si>
  <si>
    <t>325789</t>
  </si>
  <si>
    <t>08H119 Engine</t>
  </si>
  <si>
    <t>51193336</t>
  </si>
  <si>
    <t>08H119 C/O Engine</t>
  </si>
  <si>
    <t>AMA00609</t>
  </si>
  <si>
    <t>08H214 Engine</t>
  </si>
  <si>
    <t>51193196</t>
  </si>
  <si>
    <t>08H214 C/O Engine Trial</t>
  </si>
  <si>
    <t>GEB00724</t>
  </si>
  <si>
    <t>20122418</t>
  </si>
  <si>
    <t>2465627X</t>
  </si>
  <si>
    <t>ENGINE;CAT;2465627X</t>
  </si>
  <si>
    <t>252607</t>
  </si>
  <si>
    <t>08H108 Engine</t>
  </si>
  <si>
    <t>51193669</t>
  </si>
  <si>
    <t>08H108 C/O Engine</t>
  </si>
  <si>
    <t>GEB00803</t>
  </si>
  <si>
    <t>20805062</t>
  </si>
  <si>
    <t>11R0075</t>
  </si>
  <si>
    <t>ENGINE;RM;CAT;11R007</t>
  </si>
  <si>
    <t>08H115 Engine</t>
  </si>
  <si>
    <t>51193729</t>
  </si>
  <si>
    <t>08H115 C/O Engine</t>
  </si>
  <si>
    <t>JEL00229</t>
  </si>
  <si>
    <t>252705</t>
  </si>
  <si>
    <t>08R231 Engine</t>
  </si>
  <si>
    <t>51193849</t>
  </si>
  <si>
    <t>08R231 C/O Engine</t>
  </si>
  <si>
    <t>AMA00199</t>
  </si>
  <si>
    <t>20463759</t>
  </si>
  <si>
    <t>20R2934</t>
  </si>
  <si>
    <t>252591</t>
  </si>
  <si>
    <t>08D06 Engine</t>
  </si>
  <si>
    <t>51193032</t>
  </si>
  <si>
    <t>08D06 C/O Turbocharger LH</t>
  </si>
  <si>
    <t>20463758</t>
  </si>
  <si>
    <t>20R2933</t>
  </si>
  <si>
    <t>252592</t>
  </si>
  <si>
    <t>51193033</t>
  </si>
  <si>
    <t>08D06 C/O Turbocharger RH</t>
  </si>
  <si>
    <t>GEB00981</t>
  </si>
  <si>
    <t>20128248</t>
  </si>
  <si>
    <t>10R8968</t>
  </si>
  <si>
    <t>252614</t>
  </si>
  <si>
    <t>08D4 Engine</t>
  </si>
  <si>
    <t>51193625</t>
  </si>
  <si>
    <t>08D4 C/O Turbocharger LH</t>
  </si>
  <si>
    <t>20128264</t>
  </si>
  <si>
    <t>10R8948</t>
  </si>
  <si>
    <t>252615</t>
  </si>
  <si>
    <t>51193626</t>
  </si>
  <si>
    <t>08D4 C/O Turbocharger RH</t>
  </si>
  <si>
    <t>JEL00231</t>
  </si>
  <si>
    <t>TURBOCHARGER;RM;CAT;20R-2933</t>
  </si>
  <si>
    <t>A/252702/X1</t>
  </si>
  <si>
    <t>1769727: 08D242 Engine</t>
  </si>
  <si>
    <t>51193796</t>
  </si>
  <si>
    <t>08D242 C/O Turbocharger RH</t>
  </si>
  <si>
    <t>TURBOCHARGER;RM;CAT;20R-2934</t>
  </si>
  <si>
    <t>A/252701/X1</t>
  </si>
  <si>
    <t>51193795</t>
  </si>
  <si>
    <t>08D242 C/O Turbocharger LH</t>
  </si>
  <si>
    <t>252589</t>
  </si>
  <si>
    <t>51193028</t>
  </si>
  <si>
    <t>08D06 C/O Fuel Injectors</t>
  </si>
  <si>
    <t>252610</t>
  </si>
  <si>
    <t>51193621</t>
  </si>
  <si>
    <t>08D4 C/O Fuel Injectors</t>
  </si>
  <si>
    <t>A/252698/X1</t>
  </si>
  <si>
    <t>51193791</t>
  </si>
  <si>
    <t>08D242 C/O Fuel Injectors</t>
  </si>
  <si>
    <t>21114603</t>
  </si>
  <si>
    <t>4530329F</t>
  </si>
  <si>
    <t>RADIATOR;ASSY;CAT;45</t>
  </si>
  <si>
    <t>325910</t>
  </si>
  <si>
    <t>08D06 C/O Engine Radiator</t>
  </si>
  <si>
    <t>50398813</t>
  </si>
  <si>
    <t>AMA00686</t>
  </si>
  <si>
    <t>08H206 C/O Engine Radiator (Mesabi)</t>
  </si>
  <si>
    <t>50881506</t>
  </si>
  <si>
    <t>08H206 C/O Engine Radiator</t>
  </si>
  <si>
    <t>21102651</t>
  </si>
  <si>
    <t>3200457F</t>
  </si>
  <si>
    <t>5006226</t>
  </si>
  <si>
    <t>08D4 C/O Engine Radiator</t>
  </si>
  <si>
    <t>50352730</t>
  </si>
  <si>
    <t>252593</t>
  </si>
  <si>
    <t>51193034</t>
  </si>
  <si>
    <t>08D06 C/O Water Pump Main</t>
  </si>
  <si>
    <t>252616</t>
  </si>
  <si>
    <t>51193627</t>
  </si>
  <si>
    <t>08D4 C/O Water Pump Main</t>
  </si>
  <si>
    <t>PUMP,WATER;RM;CAT;20R1859</t>
  </si>
  <si>
    <t>A/252703/X1</t>
  </si>
  <si>
    <t>51193797</t>
  </si>
  <si>
    <t>08D242 C/O Water Pump Main</t>
  </si>
  <si>
    <t>148060</t>
  </si>
  <si>
    <t>08D06 C/O Transfer &amp; Bevel Gears</t>
  </si>
  <si>
    <t>50398853</t>
  </si>
  <si>
    <t>GEAR,BEVEL;SX;CAT;35</t>
  </si>
  <si>
    <t>5006241</t>
  </si>
  <si>
    <t>08D4 C/O Transfer &amp; Bevel Gears</t>
  </si>
  <si>
    <t>50352765</t>
  </si>
  <si>
    <t>GEAR,BEVEL;SX;CAT;3523191X</t>
  </si>
  <si>
    <t>A/183644/Y1</t>
  </si>
  <si>
    <t>1372764: 08R231 C/O Transfer &amp; Bevel Gears</t>
  </si>
  <si>
    <t>50694912</t>
  </si>
  <si>
    <t>08R231 C/O Transfer &amp; Bevel Gears</t>
  </si>
  <si>
    <t>148061</t>
  </si>
  <si>
    <t>08D06 C/O Transmission</t>
  </si>
  <si>
    <t>50398854</t>
  </si>
  <si>
    <t>AMA00306</t>
  </si>
  <si>
    <t>08H127 C/O Transmission</t>
  </si>
  <si>
    <t>50428019</t>
  </si>
  <si>
    <t>5006238</t>
  </si>
  <si>
    <t>08D4 C/O Transmission</t>
  </si>
  <si>
    <t>50352766</t>
  </si>
  <si>
    <t>148047</t>
  </si>
  <si>
    <t>08D06 C/O Power Train Oil Pump</t>
  </si>
  <si>
    <t>50398829</t>
  </si>
  <si>
    <t>5006239</t>
  </si>
  <si>
    <t>08D4 C/O Power Train Oil Pump</t>
  </si>
  <si>
    <t>50352747</t>
  </si>
  <si>
    <t>20521156</t>
  </si>
  <si>
    <t>3439846X</t>
  </si>
  <si>
    <t>148053</t>
  </si>
  <si>
    <t>08D06 C/O Torque Converter</t>
  </si>
  <si>
    <t>50398844</t>
  </si>
  <si>
    <t>5006232</t>
  </si>
  <si>
    <t>08D4 C/O Torque Converter</t>
  </si>
  <si>
    <t>50352756</t>
  </si>
  <si>
    <t>183640</t>
  </si>
  <si>
    <t>08R231 C/O Torque Converter</t>
  </si>
  <si>
    <t>50694902</t>
  </si>
  <si>
    <t>148032</t>
  </si>
  <si>
    <t>08D06 C/O Final Drive LH</t>
  </si>
  <si>
    <t>50398821</t>
  </si>
  <si>
    <t>08D06 C/O Final Drive RH</t>
  </si>
  <si>
    <t>50398822</t>
  </si>
  <si>
    <t>5006220</t>
  </si>
  <si>
    <t>08D4 C/O Final Drive RH</t>
  </si>
  <si>
    <t>50352740</t>
  </si>
  <si>
    <t>08D4 C/O Final Drive LH</t>
  </si>
  <si>
    <t>50352739</t>
  </si>
  <si>
    <t>148052</t>
  </si>
  <si>
    <t>08D06 C/O Steering Clutch &amp; Brake RH</t>
  </si>
  <si>
    <t>50398843</t>
  </si>
  <si>
    <t>08D06 C/O Steering Clutch &amp; Brake LH</t>
  </si>
  <si>
    <t>50398842</t>
  </si>
  <si>
    <t>08H127 C/O Steering Clutch &amp; Brake RH</t>
  </si>
  <si>
    <t>50428035</t>
  </si>
  <si>
    <t>5006231</t>
  </si>
  <si>
    <t>08D4 C/O Steering Clutch &amp; Brake LH</t>
  </si>
  <si>
    <t>50352754</t>
  </si>
  <si>
    <t>08D4 C/O Steering Clutch &amp; Brake RH</t>
  </si>
  <si>
    <t>50352755</t>
  </si>
  <si>
    <t>148057</t>
  </si>
  <si>
    <t>08D06 C/O Track Frame LH</t>
  </si>
  <si>
    <t>51545853</t>
  </si>
  <si>
    <t>148058</t>
  </si>
  <si>
    <t>08D06 C/O Track Frame RH</t>
  </si>
  <si>
    <t>51546106</t>
  </si>
  <si>
    <t>GEB00554</t>
  </si>
  <si>
    <t>5006236</t>
  </si>
  <si>
    <t>08H85 C/O Track Frame LH</t>
  </si>
  <si>
    <t>51546154</t>
  </si>
  <si>
    <t>5006237</t>
  </si>
  <si>
    <t>08H85 C/O Track Frame RH</t>
  </si>
  <si>
    <t>51546208</t>
  </si>
  <si>
    <t>GEB00555</t>
  </si>
  <si>
    <t>08R19 C/O Track Frame LH</t>
  </si>
  <si>
    <t>51546193</t>
  </si>
  <si>
    <t>08D4 C/O Track Frame RH</t>
  </si>
  <si>
    <t>51546205</t>
  </si>
  <si>
    <t>FRAME;CAT;3370988F/485</t>
  </si>
  <si>
    <t>A/183665/Y1</t>
  </si>
  <si>
    <t>2049880: 08R231 C/O Track Frame RH</t>
  </si>
  <si>
    <t>51546256</t>
  </si>
  <si>
    <t>08R231 C/O Track Frame RH</t>
  </si>
  <si>
    <t>FRAME;CAT;3370989F/485</t>
  </si>
  <si>
    <t>A/183664/Y1</t>
  </si>
  <si>
    <t>2049858: 08R231 C/O Track Frame LH</t>
  </si>
  <si>
    <t>51546190</t>
  </si>
  <si>
    <t>08R231 C/O Track Frame LH</t>
  </si>
  <si>
    <t>AMA00684</t>
  </si>
  <si>
    <t>148045</t>
  </si>
  <si>
    <t>08H207 C/O Pivot Shaft</t>
  </si>
  <si>
    <t>50881802</t>
  </si>
  <si>
    <t>5006225</t>
  </si>
  <si>
    <t>08D4 C/O Pivot Shaft</t>
  </si>
  <si>
    <t>50352745</t>
  </si>
  <si>
    <t>148042</t>
  </si>
  <si>
    <t>08D06 C/O Main Hydraulic Pump</t>
  </si>
  <si>
    <t>50398823</t>
  </si>
  <si>
    <t>5006224</t>
  </si>
  <si>
    <t>08D4 C/O Main Hydraulic Pump</t>
  </si>
  <si>
    <t>50352741</t>
  </si>
  <si>
    <t>183611</t>
  </si>
  <si>
    <t>08R231 C/O Main Hydraulic Pump</t>
  </si>
  <si>
    <t>50694836</t>
  </si>
  <si>
    <t>149422</t>
  </si>
  <si>
    <t>08D06 C/O Blade Tilt Cylinder LH</t>
  </si>
  <si>
    <t>50398799</t>
  </si>
  <si>
    <t>149423</t>
  </si>
  <si>
    <t>08D06 C/O Blade Tilt Cylinder RH</t>
  </si>
  <si>
    <t>50398801</t>
  </si>
  <si>
    <t>5006212</t>
  </si>
  <si>
    <t>08D4 C/O Blade Tilt Cylinder LH</t>
  </si>
  <si>
    <t>50352723</t>
  </si>
  <si>
    <t>5006213</t>
  </si>
  <si>
    <t>08D4 C/O Blade Tilt Cylinder RH</t>
  </si>
  <si>
    <t>50352724</t>
  </si>
  <si>
    <t>A/183579/Y1</t>
  </si>
  <si>
    <t>1372629: 08R231 C/O Blade Tilt Cylinder LH</t>
  </si>
  <si>
    <t>50694809</t>
  </si>
  <si>
    <t>08R231 C/O Blade Tilt Cylinder LH</t>
  </si>
  <si>
    <t>A/183580/Y1</t>
  </si>
  <si>
    <t>1372670: 08R231 C/O Blade Tilt Cylinder RH</t>
  </si>
  <si>
    <t>50694810</t>
  </si>
  <si>
    <t>08R231 C/O Blade Tilt Cylinder RH</t>
  </si>
  <si>
    <t>AMA00758</t>
  </si>
  <si>
    <t>20924562</t>
  </si>
  <si>
    <t>2618004X</t>
  </si>
  <si>
    <t>CYLINDER HYD;CAT;261</t>
  </si>
  <si>
    <t>184288</t>
  </si>
  <si>
    <t>08R161 C/O Blade Lift Cylinder LH</t>
  </si>
  <si>
    <t>51102976</t>
  </si>
  <si>
    <t>08R161 C/O Blade Lift Cylinder RH</t>
  </si>
  <si>
    <t>51102977</t>
  </si>
  <si>
    <t>5006210</t>
  </si>
  <si>
    <t>08H115 C/O Blade Lift Cylinder LH</t>
  </si>
  <si>
    <t>50323644</t>
  </si>
  <si>
    <t>5006211</t>
  </si>
  <si>
    <t>08H115 C/O Blade Lift Cylinder RH</t>
  </si>
  <si>
    <t>50323645</t>
  </si>
  <si>
    <t>149424</t>
  </si>
  <si>
    <t>08D06 C/O Ripper Lift Cylinder LH</t>
  </si>
  <si>
    <t>50398830</t>
  </si>
  <si>
    <t>AMA00243</t>
  </si>
  <si>
    <t>184491</t>
  </si>
  <si>
    <t>08D08 C/O Ripper Lift Cylinder RH</t>
  </si>
  <si>
    <t>50398644</t>
  </si>
  <si>
    <t>5006227</t>
  </si>
  <si>
    <t>08H115 C/O Ripper Lift Cylinder LH</t>
  </si>
  <si>
    <t>50323648</t>
  </si>
  <si>
    <t>GEB00998</t>
  </si>
  <si>
    <t>5006228</t>
  </si>
  <si>
    <t>08H114 C/O Ripper Lift Cylinder RH</t>
  </si>
  <si>
    <t>50352797</t>
  </si>
  <si>
    <t>149425</t>
  </si>
  <si>
    <t>08D06 C/O Ripper Tilt Cylinder LH</t>
  </si>
  <si>
    <t>50398832</t>
  </si>
  <si>
    <t>AMA00220</t>
  </si>
  <si>
    <t>149427</t>
  </si>
  <si>
    <t>08D07 C/O Ripper Tilt Cylinder RH</t>
  </si>
  <si>
    <t>50398883</t>
  </si>
  <si>
    <t>GEB00484</t>
  </si>
  <si>
    <t>5006229</t>
  </si>
  <si>
    <t>08R18 C/O Ripper Tilt Cylinder LH</t>
  </si>
  <si>
    <t>50244967</t>
  </si>
  <si>
    <t>5006230</t>
  </si>
  <si>
    <t>08R18 C/O Ripper Tilt Cylinder RH</t>
  </si>
  <si>
    <t>50244968</t>
  </si>
  <si>
    <t>MD6250</t>
  </si>
  <si>
    <t>DN700172</t>
  </si>
  <si>
    <t>286026</t>
  </si>
  <si>
    <t>21B311 Engine</t>
  </si>
  <si>
    <t>51475976</t>
  </si>
  <si>
    <t>21B311 C/O Engine</t>
  </si>
  <si>
    <t>286029</t>
  </si>
  <si>
    <t>21B311 C/O Engine Radiator</t>
  </si>
  <si>
    <t>51475905</t>
  </si>
  <si>
    <t>286041</t>
  </si>
  <si>
    <t>21B311 C/O Hydraulic Oil Cooler</t>
  </si>
  <si>
    <t>51475931</t>
  </si>
  <si>
    <t>MYHD .OICO.OICO</t>
  </si>
  <si>
    <t>20999553</t>
  </si>
  <si>
    <t>20R9617</t>
  </si>
  <si>
    <t>MOTOR;RM;CAT;20R-961</t>
  </si>
  <si>
    <t>286020</t>
  </si>
  <si>
    <t>21B311 C/O Compressor Cooling Fan Motor</t>
  </si>
  <si>
    <t>51475953</t>
  </si>
  <si>
    <t>MYHD .MOTO.CCFM</t>
  </si>
  <si>
    <t>286027</t>
  </si>
  <si>
    <t>21B311 C/O Engine Cooling Fan Motor</t>
  </si>
  <si>
    <t>51475941</t>
  </si>
  <si>
    <t>20999551</t>
  </si>
  <si>
    <t>20R9458</t>
  </si>
  <si>
    <t>PUMP;RM;CAT;20R-9458</t>
  </si>
  <si>
    <t>286021</t>
  </si>
  <si>
    <t>21B311 C/O Compressor Cooling Fan Pump</t>
  </si>
  <si>
    <t>51475932</t>
  </si>
  <si>
    <t>MYHD .PUMP.HP05</t>
  </si>
  <si>
    <t>20999585</t>
  </si>
  <si>
    <t>5060354</t>
  </si>
  <si>
    <t>PUMP;CAT;506-0354</t>
  </si>
  <si>
    <t>286028</t>
  </si>
  <si>
    <t>21B311 C/O Engine Cooling Fan Pump</t>
  </si>
  <si>
    <t>51475954</t>
  </si>
  <si>
    <t>286009</t>
  </si>
  <si>
    <t>21B311 Service Air Con</t>
  </si>
  <si>
    <t>51475933</t>
  </si>
  <si>
    <t>21B311 Ovhl Air Con</t>
  </si>
  <si>
    <t>21081925</t>
  </si>
  <si>
    <t>4507146X</t>
  </si>
  <si>
    <t>CYLINDER;MAST RAISE;</t>
  </si>
  <si>
    <t>286048</t>
  </si>
  <si>
    <t>21B311 C/O Main Pump Drive Transmission</t>
  </si>
  <si>
    <t>51475936</t>
  </si>
  <si>
    <t>20908113</t>
  </si>
  <si>
    <t>5946741</t>
  </si>
  <si>
    <t>PUMP;CAT;594-6741</t>
  </si>
  <si>
    <t>286019</t>
  </si>
  <si>
    <t>21B311 C/O Charge Pump</t>
  </si>
  <si>
    <t>51475955</t>
  </si>
  <si>
    <t>DN700171</t>
  </si>
  <si>
    <t>286031</t>
  </si>
  <si>
    <t>21B302 C/O Final Drive CS</t>
  </si>
  <si>
    <t>51475539</t>
  </si>
  <si>
    <t>286032</t>
  </si>
  <si>
    <t>21B302 C/O Final Drive NCS</t>
  </si>
  <si>
    <t>51475534</t>
  </si>
  <si>
    <t>286065</t>
  </si>
  <si>
    <t>21B302 C/O Travel Motor CS</t>
  </si>
  <si>
    <t>51475849</t>
  </si>
  <si>
    <t>MYHD .MOTO.TRMC</t>
  </si>
  <si>
    <t>21B302 C/O Travel Motor NCS</t>
  </si>
  <si>
    <t>51475848</t>
  </si>
  <si>
    <t>MYHD .MOTO.TRMN</t>
  </si>
  <si>
    <t>20999550</t>
  </si>
  <si>
    <t>20R9457</t>
  </si>
  <si>
    <t>PUMP;RM;CAT;20R-9457</t>
  </si>
  <si>
    <t>333201</t>
  </si>
  <si>
    <t>21B311 C/O Auxiliary Hydraulic Pump</t>
  </si>
  <si>
    <t>51663274</t>
  </si>
  <si>
    <t>MYHD .PUMP.AUCP</t>
  </si>
  <si>
    <t>DN700204</t>
  </si>
  <si>
    <t>286057</t>
  </si>
  <si>
    <t>21R439 C/O Rotation Motor</t>
  </si>
  <si>
    <t>51563172</t>
  </si>
  <si>
    <t>5494 - ROTATOR MOTOR</t>
  </si>
  <si>
    <t>286010</t>
  </si>
  <si>
    <t>21B302 C/O Air Compressor</t>
  </si>
  <si>
    <t>51475866</t>
  </si>
  <si>
    <t>AIRS .AICO.AICO</t>
  </si>
  <si>
    <t>79N1 - AIR END COMPRESSOR</t>
  </si>
  <si>
    <t>20999542</t>
  </si>
  <si>
    <t>11R1466</t>
  </si>
  <si>
    <t>CYLINDER;RM;CAT;11R-</t>
  </si>
  <si>
    <t>286043</t>
  </si>
  <si>
    <t>21B311 C/O Jack Cyl CS DE</t>
  </si>
  <si>
    <t>51475939</t>
  </si>
  <si>
    <t>79NM - JACK LEVELLING CYLINDER</t>
  </si>
  <si>
    <t>286044</t>
  </si>
  <si>
    <t>21B311 C/O Jack Cyl CS NDE</t>
  </si>
  <si>
    <t>51475940</t>
  </si>
  <si>
    <t>21B311 C/O Jack Cyl NCS DE</t>
  </si>
  <si>
    <t>51475948</t>
  </si>
  <si>
    <t>21B311 C/O Jack Cyl NCS NDE</t>
  </si>
  <si>
    <t>51475949</t>
  </si>
  <si>
    <t>21R439 C/O Jack Cyl CS DE</t>
  </si>
  <si>
    <t>51563153</t>
  </si>
  <si>
    <t>21R439 C/O Jack Leg Cylinder DE CS</t>
  </si>
  <si>
    <t>20908020</t>
  </si>
  <si>
    <t>5156795</t>
  </si>
  <si>
    <t>CYLINDER;HYDRAULIC;C</t>
  </si>
  <si>
    <t>286025</t>
  </si>
  <si>
    <t>21B311 C/O Dust Curtain Cylinder Inner</t>
  </si>
  <si>
    <t>51475919</t>
  </si>
  <si>
    <t>MYHD .CYLI.DUCI</t>
  </si>
  <si>
    <t>79NT - MAST LOCKING CYLINDER</t>
  </si>
  <si>
    <t>21B311 C/O Dust Curtain Cylinder Outer</t>
  </si>
  <si>
    <t>51475920</t>
  </si>
  <si>
    <t>MYHD .CYLI.DCUO</t>
  </si>
  <si>
    <t>286050</t>
  </si>
  <si>
    <t>21B311 C/O Mast Lock Cylinder CS</t>
  </si>
  <si>
    <t>51475926</t>
  </si>
  <si>
    <t>MYHD .CYLI.MALC</t>
  </si>
  <si>
    <t>21B311 C/O Mast Lock Cylinder NCS</t>
  </si>
  <si>
    <t>51475925</t>
  </si>
  <si>
    <t>MYHD .CYLI.MALN</t>
  </si>
  <si>
    <t>DN700169</t>
  </si>
  <si>
    <t>21B378 C/O Main Pump Drive Transmission</t>
  </si>
  <si>
    <t>51471209</t>
  </si>
  <si>
    <t>21B378 C/O Main P/Drive Transmission</t>
  </si>
  <si>
    <t>79NU - MAST RAISING CYLINDER</t>
  </si>
  <si>
    <t>20999627</t>
  </si>
  <si>
    <t>5187837</t>
  </si>
  <si>
    <t>CYLINDER,HYDRAULIC;C</t>
  </si>
  <si>
    <t>286051</t>
  </si>
  <si>
    <t>21B311 C/O Mast Raise Cylinder CS</t>
  </si>
  <si>
    <t>51475927</t>
  </si>
  <si>
    <t>MYHD .CYLI.MARC</t>
  </si>
  <si>
    <t>RII - RIGHT INNER</t>
  </si>
  <si>
    <t>21B311 C/O Mast Raise Cylinder NCS</t>
  </si>
  <si>
    <t>51475928</t>
  </si>
  <si>
    <t>MYHD .CYLI.MARN</t>
  </si>
  <si>
    <t>21125248</t>
  </si>
  <si>
    <t>6069297X</t>
  </si>
  <si>
    <t>CYLINDER;FEED;WESTRA</t>
  </si>
  <si>
    <t>286039</t>
  </si>
  <si>
    <t>21R439 C/O Hoist/Pulldown Cylinder</t>
  </si>
  <si>
    <t>51563149</t>
  </si>
  <si>
    <t>MYHD .CYLI.HOPU</t>
  </si>
  <si>
    <t>79NZ - PULL DOWN CYLINDER</t>
  </si>
  <si>
    <t>20055281</t>
  </si>
  <si>
    <t>5275343X</t>
  </si>
  <si>
    <t>DRIVE ASSY;CAT 52753</t>
  </si>
  <si>
    <t>286056</t>
  </si>
  <si>
    <t>21B378 C/O Rotary Head Gearbox</t>
  </si>
  <si>
    <t>51471211</t>
  </si>
  <si>
    <t>21B378 C/O Rotary Head Gear Box</t>
  </si>
  <si>
    <t>TRAN .RHGB</t>
  </si>
  <si>
    <t>79P3 - ROTARY HEAD GEARBOX</t>
  </si>
  <si>
    <t>21B311 C/O Rotary Head Gearbox</t>
  </si>
  <si>
    <t>51475938</t>
  </si>
  <si>
    <t>286040</t>
  </si>
  <si>
    <t>21B311 C/O Hoist Cables</t>
  </si>
  <si>
    <t>51475907</t>
  </si>
  <si>
    <t>89AC - HOIST ROPES</t>
  </si>
  <si>
    <t>286055</t>
  </si>
  <si>
    <t>21B311 C/O Pulldown Cables</t>
  </si>
  <si>
    <t>51475908</t>
  </si>
  <si>
    <t>89AF - *PULLDOWN ROPES</t>
  </si>
  <si>
    <t>DN700206</t>
  </si>
  <si>
    <t>A/286055/V1</t>
  </si>
  <si>
    <t>2062349: 21R440 C/O Pulldown Cables</t>
  </si>
  <si>
    <t>51567653</t>
  </si>
  <si>
    <t>21R440 C/O Mast Pulldown Cables</t>
  </si>
  <si>
    <t>MAST .CABL.CAB2</t>
  </si>
  <si>
    <t>A/286040/V1</t>
  </si>
  <si>
    <t>2062328: 21R440 C/O Hoist Cables</t>
  </si>
  <si>
    <t>51567632</t>
  </si>
  <si>
    <t>21R440 C/O Mast Hoist Cables</t>
  </si>
  <si>
    <t>MAST .CABL.CAB1</t>
  </si>
  <si>
    <t>89AG - HOIST ROPES</t>
  </si>
  <si>
    <t>20908039</t>
  </si>
  <si>
    <t>5249002</t>
  </si>
  <si>
    <t>286012</t>
  </si>
  <si>
    <t>21R439 C/O Cable Tension Cyl Lower CS</t>
  </si>
  <si>
    <t>51563055</t>
  </si>
  <si>
    <t>89BZ - *CABLE TENSIONING CYLINDER</t>
  </si>
  <si>
    <t>RLH - RIGHT LOWER</t>
  </si>
  <si>
    <t>21R439 C/O Cable Tension Cyl Lower NCS</t>
  </si>
  <si>
    <t>51563056</t>
  </si>
  <si>
    <t>LLH - LEFT LOWER</t>
  </si>
  <si>
    <t>21R439 C/O Cable Tension Cyl Upper CS</t>
  </si>
  <si>
    <t>51563122</t>
  </si>
  <si>
    <t>RUZ - RIGHT UPPER</t>
  </si>
  <si>
    <t>21R439 C/O Cable Tension Cyl Upper NCS</t>
  </si>
  <si>
    <t>51563123</t>
  </si>
  <si>
    <t>LUZ - LEFT UPPER</t>
  </si>
  <si>
    <t>MD6310</t>
  </si>
  <si>
    <t>DLK00131</t>
  </si>
  <si>
    <t>21066242</t>
  </si>
  <si>
    <t>5875935X</t>
  </si>
  <si>
    <t>ENGINE;SX;DIESEL;CAT</t>
  </si>
  <si>
    <t>267292</t>
  </si>
  <si>
    <t>21B290 Engine</t>
  </si>
  <si>
    <t>51411631</t>
  </si>
  <si>
    <t>21B290 C/O Engine</t>
  </si>
  <si>
    <t>20908283</t>
  </si>
  <si>
    <t>20R3688</t>
  </si>
  <si>
    <t>267296</t>
  </si>
  <si>
    <t>51411636</t>
  </si>
  <si>
    <t>21B290 C/O Turbocharger CS</t>
  </si>
  <si>
    <t>20908285</t>
  </si>
  <si>
    <t>20R3695</t>
  </si>
  <si>
    <t>267295</t>
  </si>
  <si>
    <t>51411635</t>
  </si>
  <si>
    <t>21B290 C/O Turbocharger NCS</t>
  </si>
  <si>
    <t>DLK00153</t>
  </si>
  <si>
    <t>21R371 Engine</t>
  </si>
  <si>
    <t>51459479</t>
  </si>
  <si>
    <t>21R371 C/O Engine Turbocharger NCS</t>
  </si>
  <si>
    <t>51459480</t>
  </si>
  <si>
    <t>21R371 C/O Engine Turbocharger CS</t>
  </si>
  <si>
    <t>267294</t>
  </si>
  <si>
    <t>51411634</t>
  </si>
  <si>
    <t>21B290 C/O Fuel Injectors</t>
  </si>
  <si>
    <t>51459478</t>
  </si>
  <si>
    <t>21R371 C/O Engine Fuel Injectors</t>
  </si>
  <si>
    <t>DLK00164</t>
  </si>
  <si>
    <t>21126308</t>
  </si>
  <si>
    <t>5270680F</t>
  </si>
  <si>
    <t>RADIATOR;ENG;CAT;527</t>
  </si>
  <si>
    <t>267331</t>
  </si>
  <si>
    <t>21R300 C/O Engine Radiator</t>
  </si>
  <si>
    <t>51528629</t>
  </si>
  <si>
    <t>267298</t>
  </si>
  <si>
    <t>51411637</t>
  </si>
  <si>
    <t>21B290 C/O Water Pump Main</t>
  </si>
  <si>
    <t>51459481</t>
  </si>
  <si>
    <t>21R371 C/O Engine Water Pump Main</t>
  </si>
  <si>
    <t>21126305</t>
  </si>
  <si>
    <t>5271326F</t>
  </si>
  <si>
    <t>RADIATOR;OIL COOLER;</t>
  </si>
  <si>
    <t>267411</t>
  </si>
  <si>
    <t>21R300 C/O Hydraulic Oil Cooler</t>
  </si>
  <si>
    <t>51528637</t>
  </si>
  <si>
    <t>20908110</t>
  </si>
  <si>
    <t>5263939</t>
  </si>
  <si>
    <t>PUMP;PISTON;CAT;526-</t>
  </si>
  <si>
    <t>267347</t>
  </si>
  <si>
    <t>21R300 C/O Compressor Cooling Fan Pump</t>
  </si>
  <si>
    <t>51528623</t>
  </si>
  <si>
    <t>267417</t>
  </si>
  <si>
    <t>21R300 C/O Engine Cooling Fan Pump</t>
  </si>
  <si>
    <t>51528628</t>
  </si>
  <si>
    <t>267299</t>
  </si>
  <si>
    <t>51411639</t>
  </si>
  <si>
    <t>21B290 C/O Starter Motor CS</t>
  </si>
  <si>
    <t>LVEL .STSY.SM02</t>
  </si>
  <si>
    <t>51411638</t>
  </si>
  <si>
    <t>21B290 C/O Starter Motor NCS</t>
  </si>
  <si>
    <t>LVEL .STSY.SM01</t>
  </si>
  <si>
    <t>324561</t>
  </si>
  <si>
    <t>21B290 Service Air Con</t>
  </si>
  <si>
    <t>51625765</t>
  </si>
  <si>
    <t>21B290 Ovhl Air Con Major</t>
  </si>
  <si>
    <t>21081921</t>
  </si>
  <si>
    <t>5037615X</t>
  </si>
  <si>
    <t>GEARBOX;PUMP DRIVE;C</t>
  </si>
  <si>
    <t>267443</t>
  </si>
  <si>
    <t>21B290 C/O Main Pump Drive Transmission</t>
  </si>
  <si>
    <t>51411058</t>
  </si>
  <si>
    <t>21R300 C/O Main Pump Drive Transmission</t>
  </si>
  <si>
    <t>51528647</t>
  </si>
  <si>
    <t>21R300 C/O Main P/Drive Transmission</t>
  </si>
  <si>
    <t>267414</t>
  </si>
  <si>
    <t>21B290 C/O Charge Pump</t>
  </si>
  <si>
    <t>51411610</t>
  </si>
  <si>
    <t>20907956</t>
  </si>
  <si>
    <t>11R0059</t>
  </si>
  <si>
    <t>DRIVE;FINAL;RM;CAT;1</t>
  </si>
  <si>
    <t>267333</t>
  </si>
  <si>
    <t>21R300 C/O Final Drive CS</t>
  </si>
  <si>
    <t>51528630</t>
  </si>
  <si>
    <t>267332</t>
  </si>
  <si>
    <t>21R300 C/O Final Drive NCS</t>
  </si>
  <si>
    <t>51528631</t>
  </si>
  <si>
    <t>20569665</t>
  </si>
  <si>
    <t>5756593</t>
  </si>
  <si>
    <t>IDLER;FINNING;575659</t>
  </si>
  <si>
    <t>267434</t>
  </si>
  <si>
    <t>21B290 C/O Idler CS</t>
  </si>
  <si>
    <t>51410795</t>
  </si>
  <si>
    <t>STRU .TRFC.IDLE</t>
  </si>
  <si>
    <t>21B290 C/O Idler NCS</t>
  </si>
  <si>
    <t>51411601</t>
  </si>
  <si>
    <t>STRU .TRFN.IDLE</t>
  </si>
  <si>
    <t>20908234</t>
  </si>
  <si>
    <t>5282933</t>
  </si>
  <si>
    <t>ROLLER;TRACK;CAT;528</t>
  </si>
  <si>
    <t>267435</t>
  </si>
  <si>
    <t>21B290 C/O Load Rollers CS</t>
  </si>
  <si>
    <t>51411604</t>
  </si>
  <si>
    <t>STRU .TRFC.LORO</t>
  </si>
  <si>
    <t>ALL - ALL</t>
  </si>
  <si>
    <t>21B290 C/O Load Rollers NCS</t>
  </si>
  <si>
    <t>51411600</t>
  </si>
  <si>
    <t>STRU .TRFN.LORO</t>
  </si>
  <si>
    <t>DLK00155</t>
  </si>
  <si>
    <t>267408</t>
  </si>
  <si>
    <t>21R398 C/O Travel Motor CS</t>
  </si>
  <si>
    <t>51467485</t>
  </si>
  <si>
    <t>MYHD .MOTO.HM04</t>
  </si>
  <si>
    <t>21R398 C/O Travel Motor NCS</t>
  </si>
  <si>
    <t>51467486</t>
  </si>
  <si>
    <t>MYHD .MOTO.HM03</t>
  </si>
  <si>
    <t>333198</t>
  </si>
  <si>
    <t>21B290 C/O Auxiliary Hydraulic Pump</t>
  </si>
  <si>
    <t>51663187</t>
  </si>
  <si>
    <t>MYHD .PUMP.HP06</t>
  </si>
  <si>
    <t>267412</t>
  </si>
  <si>
    <t>21R300 C/O Main Pump NCS</t>
  </si>
  <si>
    <t>51528648</t>
  </si>
  <si>
    <t>21R300 C/O Main Hydraulic Pump NCS</t>
  </si>
  <si>
    <t>267413</t>
  </si>
  <si>
    <t>21R300 C/O Main Pump CS</t>
  </si>
  <si>
    <t>51528646</t>
  </si>
  <si>
    <t>21R300 C/O Main Hydraulic Pump CS</t>
  </si>
  <si>
    <t>20908012</t>
  </si>
  <si>
    <t>5795129</t>
  </si>
  <si>
    <t>SHEAVE;CAT;579-5129</t>
  </si>
  <si>
    <t>267339</t>
  </si>
  <si>
    <t>21B290 C/O Base Sheaves</t>
  </si>
  <si>
    <t>51411645</t>
  </si>
  <si>
    <t>516A - TOP SHEAVE</t>
  </si>
  <si>
    <t>20426104</t>
  </si>
  <si>
    <t>4506156</t>
  </si>
  <si>
    <t>SHEAVE;CAT;4506156</t>
  </si>
  <si>
    <t>267340</t>
  </si>
  <si>
    <t>21B290 C/O Travelling Sheaves</t>
  </si>
  <si>
    <t>51411644</t>
  </si>
  <si>
    <t>516B - TRAVEL SHEAVE</t>
  </si>
  <si>
    <t>21R300 C/O Travelling Sheaves</t>
  </si>
  <si>
    <t>51528669</t>
  </si>
  <si>
    <t>21R300 C/O Mast Travelling Sheaves</t>
  </si>
  <si>
    <t>MAST .SHVE.SHV2</t>
  </si>
  <si>
    <t>20908091</t>
  </si>
  <si>
    <t>11R0142</t>
  </si>
  <si>
    <t>MOTOR;PISTON;RM;CAT;</t>
  </si>
  <si>
    <t>267407</t>
  </si>
  <si>
    <t>21B290 C/O Rotation Motor CS</t>
  </si>
  <si>
    <t>51411616</t>
  </si>
  <si>
    <t>MYHD .MOTO.ROTC</t>
  </si>
  <si>
    <t>21022902</t>
  </si>
  <si>
    <t>11R0141</t>
  </si>
  <si>
    <t>MOTOR;GP-PIS;CAT;11R</t>
  </si>
  <si>
    <t>21B290 C/O Rotation Motor NCS</t>
  </si>
  <si>
    <t>51411620</t>
  </si>
  <si>
    <t>MYHD .MOTO.ROTN</t>
  </si>
  <si>
    <t>21081469</t>
  </si>
  <si>
    <t>5418635X</t>
  </si>
  <si>
    <t>COMPRESSOR;HP;500PSI</t>
  </si>
  <si>
    <t>267279</t>
  </si>
  <si>
    <t>21B290 C/O Air Compressor</t>
  </si>
  <si>
    <t>51411667</t>
  </si>
  <si>
    <t>267344</t>
  </si>
  <si>
    <t>21B290 C/O Jack Cyl CS NDE</t>
  </si>
  <si>
    <t>51411642</t>
  </si>
  <si>
    <t>21B290 C/O Jack Cyl NCS NDE</t>
  </si>
  <si>
    <t>51411641</t>
  </si>
  <si>
    <t>20999543</t>
  </si>
  <si>
    <t>11R1468</t>
  </si>
  <si>
    <t>CYLINDER HYD;CAT;11R</t>
  </si>
  <si>
    <t>267345</t>
  </si>
  <si>
    <t>21B290 C/O Jack Cyl CS DE</t>
  </si>
  <si>
    <t>51411643</t>
  </si>
  <si>
    <t>21B290 C/O Jack Cyl NCS DE</t>
  </si>
  <si>
    <t>51411624</t>
  </si>
  <si>
    <t>21R300 C/O Jack Cyl CS NDE</t>
  </si>
  <si>
    <t>51528641</t>
  </si>
  <si>
    <t>21R300 C/O Jack Leg Cylinder NDE CS</t>
  </si>
  <si>
    <t>267343</t>
  </si>
  <si>
    <t>21B290 C/O Mast Lock Cylinder CS</t>
  </si>
  <si>
    <t>51411410</t>
  </si>
  <si>
    <t>21B290 C/O Mast Lock Cylinder NCS</t>
  </si>
  <si>
    <t>51411449</t>
  </si>
  <si>
    <t>267342</t>
  </si>
  <si>
    <t>21B290 C/O Mast Raise Cylinder CS</t>
  </si>
  <si>
    <t>51411412</t>
  </si>
  <si>
    <t>21B290 C/O Mast Raise Cylinder NCS</t>
  </si>
  <si>
    <t>51411414</t>
  </si>
  <si>
    <t>21081924</t>
  </si>
  <si>
    <t>6209749X</t>
  </si>
  <si>
    <t>CYLINDER;PULL DOWN;C</t>
  </si>
  <si>
    <t>267346</t>
  </si>
  <si>
    <t>21B290 C/O Hoist/Pulldown Cylinder</t>
  </si>
  <si>
    <t>51411623</t>
  </si>
  <si>
    <t>21081922</t>
  </si>
  <si>
    <t>5275344X</t>
  </si>
  <si>
    <t>HEAD;ROTARY;CAT 5275</t>
  </si>
  <si>
    <t>267445</t>
  </si>
  <si>
    <t>21B290 C/O Rotary Head Gearbox</t>
  </si>
  <si>
    <t>51410792</t>
  </si>
  <si>
    <t>21R300 C/O Rotary Head Gearbox</t>
  </si>
  <si>
    <t>51528657</t>
  </si>
  <si>
    <t>21R300 C/O Rotary Head Gear Box</t>
  </si>
  <si>
    <t>DLK00147</t>
  </si>
  <si>
    <t>20907982</t>
  </si>
  <si>
    <t>5653199</t>
  </si>
  <si>
    <t>CABLE;CAT;565-3199</t>
  </si>
  <si>
    <t>267336</t>
  </si>
  <si>
    <t>21B291 C/O Pulldown Cables</t>
  </si>
  <si>
    <t>51411722</t>
  </si>
  <si>
    <t>21R300 C/O Pulldown Cables</t>
  </si>
  <si>
    <t>51528656</t>
  </si>
  <si>
    <t>21R300 C/O Mast Pulldown Cables</t>
  </si>
  <si>
    <t>20907980</t>
  </si>
  <si>
    <t>5653200</t>
  </si>
  <si>
    <t>HOIST;CAT;565-3200</t>
  </si>
  <si>
    <t>267335</t>
  </si>
  <si>
    <t>21B291 C/O Hoist Cables</t>
  </si>
  <si>
    <t>51411694</t>
  </si>
  <si>
    <t>21R300 C/O Hoist Cables</t>
  </si>
  <si>
    <t>51528635</t>
  </si>
  <si>
    <t>21R300 C/O Mast Hoist Cables</t>
  </si>
  <si>
    <t>267278</t>
  </si>
  <si>
    <t>21R300 C/O Cable Tension Cyl Lower CS</t>
  </si>
  <si>
    <t>51528206</t>
  </si>
  <si>
    <t>21R300 C/O Cable Tension Cyl Lower NCS</t>
  </si>
  <si>
    <t>51528205</t>
  </si>
  <si>
    <t>21R300 C/O Cable Tension Cyl Upper CS</t>
  </si>
  <si>
    <t>51528212</t>
  </si>
  <si>
    <t>21R300 C/O Cable Tension Cyl Upper NCS</t>
  </si>
  <si>
    <t>51528213</t>
  </si>
  <si>
    <t>MD6420B</t>
  </si>
  <si>
    <t>DT200110</t>
  </si>
  <si>
    <t>40627779</t>
  </si>
  <si>
    <t>1029178X</t>
  </si>
  <si>
    <t>COOLER ASSY;SX;CAT;1</t>
  </si>
  <si>
    <t>164137</t>
  </si>
  <si>
    <t>21R235 C/O Hydraulic Oil Cooler</t>
  </si>
  <si>
    <t>50630414</t>
  </si>
  <si>
    <t>1378 - ENGINE OIL COOLER</t>
  </si>
  <si>
    <t>DT200101</t>
  </si>
  <si>
    <t>306249</t>
  </si>
  <si>
    <t>21H219 C/O Compressor Cooler Module</t>
  </si>
  <si>
    <t>51543412</t>
  </si>
  <si>
    <t>21H219 C/O Compressor Cooler Fan Motor</t>
  </si>
  <si>
    <t>MYHD .MOTO.HM07</t>
  </si>
  <si>
    <t>DT200108</t>
  </si>
  <si>
    <t>306256</t>
  </si>
  <si>
    <t>21D08 C/O Engine Radiator Cooler Module</t>
  </si>
  <si>
    <t>51543933</t>
  </si>
  <si>
    <t>21D08 C/O Engine Cooler Fan Motor</t>
  </si>
  <si>
    <t>MYHD .MOTO.HM06</t>
  </si>
  <si>
    <t>DT200118</t>
  </si>
  <si>
    <t>164159</t>
  </si>
  <si>
    <t>21H368 C/O Main Pump Drive Transmission</t>
  </si>
  <si>
    <t>51051846</t>
  </si>
  <si>
    <t>DT200113</t>
  </si>
  <si>
    <t>210630</t>
  </si>
  <si>
    <t>21R295 C/O Final Drive CS</t>
  </si>
  <si>
    <t>50835593</t>
  </si>
  <si>
    <t>21R295 C/O Final Drive NCS</t>
  </si>
  <si>
    <t>50835594</t>
  </si>
  <si>
    <t>20569654</t>
  </si>
  <si>
    <t>216-1528</t>
  </si>
  <si>
    <t>CYLINDER;CAT;216-152</t>
  </si>
  <si>
    <t>195252</t>
  </si>
  <si>
    <t>21R295 C/O Track Adjuster CS</t>
  </si>
  <si>
    <t>50722385</t>
  </si>
  <si>
    <t>STRU .TRFC.TRAD</t>
  </si>
  <si>
    <t>21R295 C/O Track Adjuster NCS</t>
  </si>
  <si>
    <t>50722386</t>
  </si>
  <si>
    <t>STRU .TRFN.TRAD</t>
  </si>
  <si>
    <t>195250</t>
  </si>
  <si>
    <t>21R295 C/O Idler CS</t>
  </si>
  <si>
    <t>50721988</t>
  </si>
  <si>
    <t>21R295 C/O Idler NCS</t>
  </si>
  <si>
    <t>50721989</t>
  </si>
  <si>
    <t>184259</t>
  </si>
  <si>
    <t>21D08 C/O Track Assembly CS</t>
  </si>
  <si>
    <t>50660580</t>
  </si>
  <si>
    <t>21D08 C/O Track CS</t>
  </si>
  <si>
    <t>STRU .TRFC.TRAC</t>
  </si>
  <si>
    <t>21D08 C/O Track Assembly NCS</t>
  </si>
  <si>
    <t>50660581</t>
  </si>
  <si>
    <t>21D08 C/O Track NCS</t>
  </si>
  <si>
    <t>STRU .TRFN.TRAC</t>
  </si>
  <si>
    <t>20577896</t>
  </si>
  <si>
    <t>442-9740</t>
  </si>
  <si>
    <t>MOTOR;CAT;442-9740</t>
  </si>
  <si>
    <t>195255</t>
  </si>
  <si>
    <t>21H368 C/O Travel Motor CS</t>
  </si>
  <si>
    <t>51051911</t>
  </si>
  <si>
    <t>21H368 C/O Travel Motor NCS</t>
  </si>
  <si>
    <t>51051912</t>
  </si>
  <si>
    <t>MYHD .MOTO.HM05</t>
  </si>
  <si>
    <t>164138</t>
  </si>
  <si>
    <t>21D08 C/O Feed/Tram Pump</t>
  </si>
  <si>
    <t>50518017</t>
  </si>
  <si>
    <t>21D08 C/O Travel/Feed Pump NCS</t>
  </si>
  <si>
    <t>164139</t>
  </si>
  <si>
    <t>21D08 C/O Travel/Rotation Pump</t>
  </si>
  <si>
    <t>50518023</t>
  </si>
  <si>
    <t>21D08 C/O Travel/Rotation Pump CS</t>
  </si>
  <si>
    <t>164077</t>
  </si>
  <si>
    <t>21H219 C/O Travelling Sheaves</t>
  </si>
  <si>
    <t>50518097</t>
  </si>
  <si>
    <t>21H219 C/O Mast Travelling Sheaves</t>
  </si>
  <si>
    <t>21D08 C/O Mast Cables and Sheaves</t>
  </si>
  <si>
    <t>50522665</t>
  </si>
  <si>
    <t>21D08 C/O Travelling Sheaves</t>
  </si>
  <si>
    <t>178346</t>
  </si>
  <si>
    <t>21D08 C/O Air Compressor &amp; Coupling</t>
  </si>
  <si>
    <t>50628494</t>
  </si>
  <si>
    <t>21D08 C/O Air Compressor</t>
  </si>
  <si>
    <t>164111</t>
  </si>
  <si>
    <t>21H219 C/O Jack Cyl CS NDE</t>
  </si>
  <si>
    <t>50583886</t>
  </si>
  <si>
    <t>164109</t>
  </si>
  <si>
    <t>21D08 C/O Jack Cyl CS DE</t>
  </si>
  <si>
    <t>50583888</t>
  </si>
  <si>
    <t>21D08 C/O Jack Cyl NCS DE</t>
  </si>
  <si>
    <t>50583889</t>
  </si>
  <si>
    <t>21D08 C/O Jack Leg Cylinder DE CS</t>
  </si>
  <si>
    <t>21R235 C/O Jack Cyl NCS NDE</t>
  </si>
  <si>
    <t>50630485</t>
  </si>
  <si>
    <t>164107</t>
  </si>
  <si>
    <t>21D08 C/O Mast Raise Cylinder CS</t>
  </si>
  <si>
    <t>50517975</t>
  </si>
  <si>
    <t>21D08 C/O Mast Raise Cylinder NCS</t>
  </si>
  <si>
    <t>50517976</t>
  </si>
  <si>
    <t>20426141</t>
  </si>
  <si>
    <t>1060256X</t>
  </si>
  <si>
    <t>CYLINDER;SX;CAT;1060</t>
  </si>
  <si>
    <t>164112</t>
  </si>
  <si>
    <t>21D08 C/O Hoist/Pulldown Cylinder</t>
  </si>
  <si>
    <t>50518018</t>
  </si>
  <si>
    <t>CYLINDER;SX,CAT;1060256X</t>
  </si>
  <si>
    <t>A/164112/W1</t>
  </si>
  <si>
    <t>1333302: 21R235 C/O Hoist/Pulldown Cylinder</t>
  </si>
  <si>
    <t>50630411</t>
  </si>
  <si>
    <t>21R235 C/O Hoist/Pulldown Cylinder</t>
  </si>
  <si>
    <t>20426107</t>
  </si>
  <si>
    <t>4540993</t>
  </si>
  <si>
    <t>CABLE;CAT;1480762</t>
  </si>
  <si>
    <t>164068</t>
  </si>
  <si>
    <t>50522663</t>
  </si>
  <si>
    <t>21D08 C/O Pulldown Cables</t>
  </si>
  <si>
    <t>21D08 C/O Mast Cables &amp; Sheaves</t>
  </si>
  <si>
    <t>21D08 C/O Mast Pulldown Cables</t>
  </si>
  <si>
    <t>20426105</t>
  </si>
  <si>
    <t>4506524</t>
  </si>
  <si>
    <t>CABLE;HOIST;CAT;1480</t>
  </si>
  <si>
    <t>164067</t>
  </si>
  <si>
    <t>21H219 C/O Hoist Cables</t>
  </si>
  <si>
    <t>50518054</t>
  </si>
  <si>
    <t>50522662</t>
  </si>
  <si>
    <t>21D08 C/O Mast Hoist Cables</t>
  </si>
  <si>
    <t>21187052</t>
  </si>
  <si>
    <t>3377950XFSR-SHORT</t>
  </si>
  <si>
    <t>STRUT;CAT;3377950XFSR-SHORT</t>
  </si>
  <si>
    <t>A/224166/G1</t>
  </si>
  <si>
    <t>2021456: 06B352 Corner Group RHF</t>
  </si>
  <si>
    <t>06B352 C/O Corner Group RHF</t>
  </si>
  <si>
    <t>20447634</t>
  </si>
  <si>
    <t>20R2507</t>
  </si>
  <si>
    <t>ENGINE;CAT C32;CAT;30R0502</t>
  </si>
  <si>
    <t>CLUTCH,STEERING;SX;CAT;508-5837X</t>
  </si>
  <si>
    <t>A/148052/L1</t>
  </si>
  <si>
    <t>1174801: 08D06 C/O Steering Clutch &amp; Brake LH</t>
  </si>
  <si>
    <t>ROLLER,TRACK;CAT;528-2933</t>
  </si>
  <si>
    <t>A/267433/W1</t>
  </si>
  <si>
    <t>2037387: 21R300 C/O Carrier Rollers CS</t>
  </si>
  <si>
    <t>51528219</t>
  </si>
  <si>
    <t>21R300 C/O Carrier Rollers CS</t>
  </si>
  <si>
    <t>STRU .TRFC.CARO</t>
  </si>
  <si>
    <t>2037388: 21R300 C/O Carrier Rollers NCS</t>
  </si>
  <si>
    <t>51528620</t>
  </si>
  <si>
    <t>21R300 C/O Carrier Rollers NCS</t>
  </si>
  <si>
    <t>STRU .TRFN.CARO</t>
  </si>
  <si>
    <t>06R39 C/O Main Pump Drive Transmission</t>
  </si>
  <si>
    <t>11H1083 C/O Main Pump Drive Transmission</t>
  </si>
  <si>
    <t>11H1082 C/O Main Pump Drive Transmission</t>
  </si>
  <si>
    <t>06H111 C/O Main Pump Drive Transmission</t>
  </si>
  <si>
    <t>06H262 C/O Main Pump Drive Transmission</t>
  </si>
  <si>
    <t>793</t>
  </si>
  <si>
    <t>TWN00333</t>
  </si>
  <si>
    <t>793-TWN C/O Main P/Drive Transmission</t>
  </si>
  <si>
    <t>793-TWN C/O Main Pump Drive Transmission</t>
  </si>
  <si>
    <t>E9Z00543</t>
  </si>
  <si>
    <t>A/269029/S1</t>
  </si>
  <si>
    <t>2046424: 12H563 C/O Blade Lift Cylinder LH</t>
  </si>
  <si>
    <t>51540374</t>
  </si>
  <si>
    <t>12H563 C/O Blade Lift Cylinder LH</t>
  </si>
  <si>
    <t>2046425: 12H563 C/O Blade Lift Cylinder RH</t>
  </si>
  <si>
    <t>51540375</t>
  </si>
  <si>
    <t>12H563 C/O Blade Lift Cylinder RH</t>
  </si>
  <si>
    <t>E9Z00570</t>
  </si>
  <si>
    <t>A/269036/R1</t>
  </si>
  <si>
    <t>2085796: 12H565 C/O Circle Drive Motor Front</t>
  </si>
  <si>
    <t>51596239</t>
  </si>
  <si>
    <t>12H565 C/O Circle Drive Motor LH</t>
  </si>
  <si>
    <t>MYHD .MOTO.CDMF</t>
  </si>
  <si>
    <t>2085797: 12H565 C/O Circle Drive Motor Rear</t>
  </si>
  <si>
    <t>51596240</t>
  </si>
  <si>
    <t>12H565 C/O Circle Drive Motor RH</t>
  </si>
  <si>
    <t>MYHD .MOTO.CDMR</t>
  </si>
  <si>
    <t>21R439 C/O Cable Tensioning Cylinder Lower CS</t>
  </si>
  <si>
    <t>MYHD .CYLI.CTDC</t>
  </si>
  <si>
    <t>21R439 C/O Cable Tensioning Cylinder Lower NCS</t>
  </si>
  <si>
    <t>MYHD .CYLI.CTDN</t>
  </si>
  <si>
    <t>21R439 C/O Cable Tensioning Cylinder Upper CS</t>
  </si>
  <si>
    <t>MYHD .CYLI.CTUC</t>
  </si>
  <si>
    <t>21R439 C/O Cable Tensioning Cylinder Upper NCS</t>
  </si>
  <si>
    <t>MYHD .CYLI.CTUN</t>
  </si>
  <si>
    <t>21R300 C/O Cable Tensioning Cylinder Lower CS</t>
  </si>
  <si>
    <t>21R300 C/O Cable Tensioning Cylinder Lower NCS</t>
  </si>
  <si>
    <t>21R300 C/O Cable Tensioning Cylinder Upper CS</t>
  </si>
  <si>
    <t>21R300 C/O Cable Tensioning Cylinder Upper NCS</t>
  </si>
  <si>
    <t>06B352 C/O Engine Radiator</t>
  </si>
  <si>
    <t>06H545 C/O Engine Radiator</t>
  </si>
  <si>
    <t>21B311 C/O Jack Leg Cylinder CS DE</t>
  </si>
  <si>
    <t>MYHD .CYLI.JACD</t>
  </si>
  <si>
    <t>21B311 C/O Jack Leg Cylinder CS NDE</t>
  </si>
  <si>
    <t>MYHD .CYLI.JACN</t>
  </si>
  <si>
    <t>21B311 C/O Jack Leg Cylinder NCS DE</t>
  </si>
  <si>
    <t>MYHD .CYLI.JADN</t>
  </si>
  <si>
    <t>21B311 C/O Jack Leg Cylinder NCS NDE</t>
  </si>
  <si>
    <t>MYHD .CYLI.JANN</t>
  </si>
  <si>
    <t>21B290 C/O Jack Leg Cylinder CS NDE</t>
  </si>
  <si>
    <t>21B290 C/O Jack Leg Cylinder NCS NDE</t>
  </si>
  <si>
    <t>21B290 C/O Jack Leg Cylinder CS DE</t>
  </si>
  <si>
    <t>21B290 C/O Jack Leg Cylinder NCS DE</t>
  </si>
  <si>
    <t>21H219 C/O Jack Leg Cylinder CS NDE</t>
  </si>
  <si>
    <t>21D08 C/O Jack Leg Cylinder CS DE</t>
  </si>
  <si>
    <t>21D08 C/O Jack Leg Cylinder NCS DE</t>
  </si>
  <si>
    <t>21R235 C/O Jack Leg Cylinder NCS NDE</t>
  </si>
  <si>
    <t>06B352 C/O Suspension LHF</t>
  </si>
  <si>
    <t>06B352 C/O Suspension RHF</t>
  </si>
  <si>
    <t>SSP01262</t>
  </si>
  <si>
    <t>06H542 C/O Suspension LHR</t>
  </si>
  <si>
    <t>06H542 C/O Suspension RHR</t>
  </si>
  <si>
    <t>06H542 C/O Suspension LHF</t>
  </si>
  <si>
    <t>06H542 C/O Suspension RHF</t>
  </si>
  <si>
    <t>06H463 C/O Suspension LHR</t>
  </si>
  <si>
    <t>06H463 C/O Suspension RHR</t>
  </si>
  <si>
    <t>06H463 C/O Suspension LHF</t>
  </si>
  <si>
    <t>06H463 C/O Suspension RHF</t>
  </si>
  <si>
    <t>06H508 C/O Final Drive LH Centre</t>
  </si>
  <si>
    <t>FDRV .AXAC.FDLH</t>
  </si>
  <si>
    <t>06H508 C/O Final Drive RH Centre</t>
  </si>
  <si>
    <t>FDRV .AXAC.FDRH</t>
  </si>
  <si>
    <t>06H508 C/O Final Drive RHR</t>
  </si>
  <si>
    <t>06H508 C/O Final Drive LHR</t>
  </si>
  <si>
    <t>07B447 C/O Final Drive LHF</t>
  </si>
  <si>
    <t>07B447 C/O Final Drive RHF</t>
  </si>
  <si>
    <t>07B447 C/O Final Drive LHR</t>
  </si>
  <si>
    <t>07B447 C/O Final Drive RHR</t>
  </si>
  <si>
    <t>07B447 C/O Brake LHF</t>
  </si>
  <si>
    <t>07B447 C/O Brake RHF</t>
  </si>
  <si>
    <t>07B447 C/O Brake LHR</t>
  </si>
  <si>
    <t>BRAK .SEBR.SBLR</t>
  </si>
  <si>
    <t>07B447 C/O Brake RHR</t>
  </si>
  <si>
    <t>BRAK .SEBR.SBRR</t>
  </si>
  <si>
    <t>AMA00331</t>
  </si>
  <si>
    <t>21163928</t>
  </si>
  <si>
    <t>120960F</t>
  </si>
  <si>
    <t>RADIATOR;CORE ASSY;CAT;120960F</t>
  </si>
  <si>
    <t>A/340085/W2</t>
  </si>
  <si>
    <t>1204424: 08R212 C/O Engine Radiator</t>
  </si>
  <si>
    <t>50436454</t>
  </si>
  <si>
    <t>08R212 C/O Engine Radiator</t>
  </si>
  <si>
    <t>A/5053806/X1</t>
  </si>
  <si>
    <t>1104870: 08D5 C/O Steering Clutch &amp; Brake RH</t>
  </si>
  <si>
    <t>50287078</t>
  </si>
  <si>
    <t>08D5 C/O Steering Clutch &amp; Brake RH</t>
  </si>
  <si>
    <t>RAB01434</t>
  </si>
  <si>
    <t>A/254877/W1</t>
  </si>
  <si>
    <t>2032497: 08R333 C/O Steering Clutch &amp; Brake RH</t>
  </si>
  <si>
    <t>51522175</t>
  </si>
  <si>
    <t>08R333 C/O Steering Clutch &amp; Brake RH</t>
  </si>
  <si>
    <t>06H673 C/O Final Drive LH</t>
  </si>
  <si>
    <t>06H673 C/O Final Drive RH</t>
  </si>
  <si>
    <t>06D58 C/O Final Drive LH</t>
  </si>
  <si>
    <t>06D58 C/O Final Drive RH</t>
  </si>
  <si>
    <t>06H673 C/O Hub. Brake &amp; Spindle LH</t>
  </si>
  <si>
    <t>06H673 C/O Hub. Brake &amp; Spindle RH</t>
  </si>
  <si>
    <t>12H422 C/O Blade Lift Cylinder LH</t>
  </si>
  <si>
    <t>12H422 C/O Blade Lift Cylinder RH</t>
  </si>
  <si>
    <t>12H422 C/O Steering Cylinder LH</t>
  </si>
  <si>
    <t>12H422 C/O Steering Cylinder RH</t>
  </si>
  <si>
    <t>12H422 C/O Wheel Lean Cylinder LH</t>
  </si>
  <si>
    <t>12H422 C/O Wheel Lean Cylinder RH</t>
  </si>
  <si>
    <t>12H446 C/O Blade Lift Cylinder LH</t>
  </si>
  <si>
    <t>12H446 C/O Blade Lift Cylinder RH</t>
  </si>
  <si>
    <t>12H446 C/O Steering Cylinder LH</t>
  </si>
  <si>
    <t>12H446 C/O Steering Cylinder RH</t>
  </si>
  <si>
    <t>12H446 C/O Wheel Lean Cylinder LH</t>
  </si>
  <si>
    <t>12H446 C/O Wheel Lean Cylinder RH</t>
  </si>
  <si>
    <t>12H446 C/O Centreshift Cylinder</t>
  </si>
  <si>
    <t>12H446 C/O Ripper Lift Cylinder LH</t>
  </si>
  <si>
    <t>12H446 C/O Ripper Lift Cylinder RH</t>
  </si>
  <si>
    <t>12R05 C/O Blade Lift Cylinder LH</t>
  </si>
  <si>
    <t>12R05 C/O Blade Lift Cylinder RH</t>
  </si>
  <si>
    <t>12H201 C/O Centreshift Cylinder</t>
  </si>
  <si>
    <t>12R05 C/O Ripper Lift Cylinder LH</t>
  </si>
  <si>
    <t>12R05 C/O Steering Cylinder LH</t>
  </si>
  <si>
    <t>12R05 C/O Steering Cylinder RH</t>
  </si>
  <si>
    <t>06D27 C/O Main Pump Drive Transmission</t>
  </si>
  <si>
    <t>06D327 C/O Main Pump Drive Transmission</t>
  </si>
  <si>
    <t>06R915 C/O Main Pump Drive Transmission</t>
  </si>
  <si>
    <t>06B234 C/O Main Pump Drive Transmission</t>
  </si>
  <si>
    <t>06B232 C/O Main Pump Drive Transmission</t>
  </si>
  <si>
    <t>06D27 C/O Main Pump Drive Trans</t>
  </si>
  <si>
    <t>06H657 C/O Final Drive Group RH</t>
  </si>
  <si>
    <t>06D27 C/O Final Drive LH</t>
  </si>
  <si>
    <t>06D27 C/O Final Drive RH</t>
  </si>
  <si>
    <t>06H657 C/O Final Drive LH</t>
  </si>
  <si>
    <t>06H657 C/O Final Drive RH</t>
  </si>
  <si>
    <t>06H637 C/O Final Drive RH</t>
  </si>
  <si>
    <t>06R915 C/O Final Drive LH</t>
  </si>
  <si>
    <t>12R569 C/O Differential &amp; Bevel Gear</t>
  </si>
  <si>
    <t>12B564 C/O Differential &amp; Bevel Gear</t>
  </si>
  <si>
    <t>06H508 C/O Differential Centre</t>
  </si>
  <si>
    <t>FDRV .AXAC.DIFF</t>
  </si>
  <si>
    <t>06H508 C/O Differential Rear</t>
  </si>
  <si>
    <t>12H130 C/O Engine Radiator</t>
  </si>
  <si>
    <t>12H423 C/O Engine Radiator</t>
  </si>
  <si>
    <t>06D27 C/O Hoist Cylinder LH</t>
  </si>
  <si>
    <t>06D27 C/O Hoist Cylinder RH</t>
  </si>
  <si>
    <t>JRP00352</t>
  </si>
  <si>
    <t>06R32 C/O Hoist Cylinder LH</t>
  </si>
  <si>
    <t>06R32 C/O Hoist Cylinder RH</t>
  </si>
  <si>
    <t>DMC00171</t>
  </si>
  <si>
    <t>06H860 C/O Hoist Cylinder LH</t>
  </si>
  <si>
    <t>06H860 C/O Hoist Cylinder RH</t>
  </si>
  <si>
    <t>06D58 C/O Hoist Cylinder LH</t>
  </si>
  <si>
    <t>06D58 C/O Hoist Cylinder RH</t>
  </si>
  <si>
    <t>06H462 C/O Hoist Cylinder LH</t>
  </si>
  <si>
    <t>06H462 C/O Hoist Cylinder RH</t>
  </si>
  <si>
    <t>06H673 C/O Hoist Cylinder LH</t>
  </si>
  <si>
    <t>06H673 C/O Hoist Cylinder RH</t>
  </si>
  <si>
    <t>06H184 C/O Hoist Cylinder LH</t>
  </si>
  <si>
    <t>YHD .CYLI.HOIL</t>
  </si>
  <si>
    <t>06H184 C/O Hoist Cylinder RH</t>
  </si>
  <si>
    <t>YHD .CYLI.HOIR</t>
  </si>
  <si>
    <t>06H59 C/O Hoist Cylinder LH</t>
  </si>
  <si>
    <t>06H59 C/O Hoist Cylinder RH</t>
  </si>
  <si>
    <t>06R915 C/O Hoist Cylinder LH</t>
  </si>
  <si>
    <t>06R915 C/O Hoist Cylinder RH</t>
  </si>
  <si>
    <t>AGC01468</t>
  </si>
  <si>
    <t>06H255 C/O Hoist Cylinder LH</t>
  </si>
  <si>
    <t>06H255 C/O Hoist Cylinder RH</t>
  </si>
  <si>
    <t>06B233 C/O Hoist Cylinder LH</t>
  </si>
  <si>
    <t>06B233 C/O Hoist Cylinder RH</t>
  </si>
  <si>
    <t>06B232 C/O Hoist Cylinder LH</t>
  </si>
  <si>
    <t>06B232 C/O Hoist Cylinder RH</t>
  </si>
  <si>
    <t>06H255 C/O Brake LHR</t>
  </si>
  <si>
    <t>06H255 C/O Brake RHR</t>
  </si>
  <si>
    <t>07H126 C/O Brake LHF</t>
  </si>
  <si>
    <t>07H126 C/O Brake RHF</t>
  </si>
  <si>
    <t>07H126 C/O Brake LHR</t>
  </si>
  <si>
    <t>07H126 C/O Brake RHR</t>
  </si>
  <si>
    <t>AZX00631</t>
  </si>
  <si>
    <t>07R20 C/O Brake LHF</t>
  </si>
  <si>
    <t>07R20 C/O Brake RHF</t>
  </si>
  <si>
    <t>07R20 C/O Brake LHR</t>
  </si>
  <si>
    <t>07R20 C/O Brake RHR</t>
  </si>
  <si>
    <t>APX00698</t>
  </si>
  <si>
    <t>06R0069 C/O Brake LHF</t>
  </si>
  <si>
    <t>06R0069 C/O Brake RHF</t>
  </si>
  <si>
    <t>06R0069 C/O Brake LHR</t>
  </si>
  <si>
    <t>06R0069 C/O Brake RHR</t>
  </si>
  <si>
    <t>08H92 C/O Brake LHF</t>
  </si>
  <si>
    <t>08H92 C/O Brake RHF</t>
  </si>
  <si>
    <t>08H92 C/O Brake LHR</t>
  </si>
  <si>
    <t>08H92 C/O Brake RHR</t>
  </si>
  <si>
    <t>06R32 C/O Brake LHF</t>
  </si>
  <si>
    <t>06R32 C/O Brake RHF</t>
  </si>
  <si>
    <t>06R32 C/O Brake LHR</t>
  </si>
  <si>
    <t>06R32 C/O Brake RHR</t>
  </si>
  <si>
    <t>06H860 C/O Brake LHF</t>
  </si>
  <si>
    <t>06H860 C/O Brake RHF</t>
  </si>
  <si>
    <t>06H860 C/O Brake LHR</t>
  </si>
  <si>
    <t>06H860 C/O Brake RHR</t>
  </si>
  <si>
    <t>06D58 C/O Brake LHF</t>
  </si>
  <si>
    <t>06D58 C/O Brake RHF</t>
  </si>
  <si>
    <t>06D58 C/O Brake LHR</t>
  </si>
  <si>
    <t>06D58 C/O Brake RHR</t>
  </si>
  <si>
    <t>H9K00195</t>
  </si>
  <si>
    <t>08H143 C/O Brake LHF</t>
  </si>
  <si>
    <t>08H143 C/O Brake RHF</t>
  </si>
  <si>
    <t>08H143 C/O Brake LHR</t>
  </si>
  <si>
    <t>08H143 C/O Brake RHR</t>
  </si>
  <si>
    <t>RBT00223</t>
  </si>
  <si>
    <t>06H737 C/O Brake LHF</t>
  </si>
  <si>
    <t>06H737 C/O Brake RHF</t>
  </si>
  <si>
    <t>06H737 C/O Brake LHR</t>
  </si>
  <si>
    <t>06H737 C/O Brake RHR</t>
  </si>
  <si>
    <t>TWN00319</t>
  </si>
  <si>
    <t>06H463 C/O Brake LHF</t>
  </si>
  <si>
    <t>06H463 C/O Brake RHF</t>
  </si>
  <si>
    <t>06H463 C/O Brake LHR</t>
  </si>
  <si>
    <t>06H463 C/O Brake RHR</t>
  </si>
  <si>
    <t>SSP00621</t>
  </si>
  <si>
    <t>06H542 C/O Brake LHF</t>
  </si>
  <si>
    <t>06H542 C/O Brake RHF</t>
  </si>
  <si>
    <t>06H542 C/O Brake LHR</t>
  </si>
  <si>
    <t>06H542 C/O Brake RHR</t>
  </si>
  <si>
    <t>12R05 C/O Brake Tandem LHF</t>
  </si>
  <si>
    <t>12R05 C/O Brake Tandem RHF</t>
  </si>
  <si>
    <t>12R05 C/O Brake Tandem LHR</t>
  </si>
  <si>
    <t>12R05 C/O Brake Tandem RHR</t>
  </si>
  <si>
    <t>12W566 C/O Brake LHF</t>
  </si>
  <si>
    <t>12W566 C/O Brake RHF</t>
  </si>
  <si>
    <t>12W566 C/O Brake LHR</t>
  </si>
  <si>
    <t>12W566 C/O Brake RHR</t>
  </si>
  <si>
    <t>07B307 C/O Brake LHF</t>
  </si>
  <si>
    <t>07B307 C/O Brake RHF</t>
  </si>
  <si>
    <t>07B307 C/O Brake LHR</t>
  </si>
  <si>
    <t>07B307 C/O Brake RHR</t>
  </si>
  <si>
    <t>12B501 C/O Brake Tandem LHF</t>
  </si>
  <si>
    <t>12B501 C/O Brake Tandem LHR</t>
  </si>
  <si>
    <t>12B501 C/O Brake Tandem RHF</t>
  </si>
  <si>
    <t>12B501 C/O Brake Tandem RHR</t>
  </si>
  <si>
    <t>12H227 C/O Brake Tandem LHF</t>
  </si>
  <si>
    <t>12H227 C/O Brake Tandem LHR</t>
  </si>
  <si>
    <t>12H227 C/O Brake Tandem RHF</t>
  </si>
  <si>
    <t>12H227 C/O Brake Tandem RHR</t>
  </si>
  <si>
    <t>12W566 C/O Brake Tandem LHF</t>
  </si>
  <si>
    <t>12W566 C/O Brake Tandem RHF</t>
  </si>
  <si>
    <t>12W566 C/O Brake Tandem LHR</t>
  </si>
  <si>
    <t>12W566 C/O Brake Tandem RHR</t>
  </si>
  <si>
    <t>08H92 C/O Main Pump Dr Trans with Torque Converter</t>
  </si>
  <si>
    <t>08D226 C/O Main Pump Dr Trans with Torque Converter</t>
  </si>
  <si>
    <t>07H117 C/O Main Pump Dr Trans with Torque Converter</t>
  </si>
  <si>
    <t>07H167 C/O Main Pump Dr Trans with Torque Converter</t>
  </si>
  <si>
    <t>A/222098/S1</t>
  </si>
  <si>
    <t>07H363 C/O Main Pump Drive Trans with TC</t>
  </si>
  <si>
    <t>50903085</t>
  </si>
  <si>
    <t>A/188400/R1</t>
  </si>
  <si>
    <t>07H313 C/O Main Pump Drive Trans with TC</t>
  </si>
  <si>
    <t>50702852</t>
  </si>
  <si>
    <t>07H313 C/O Main Pump Dr Trans with Torque Converter</t>
  </si>
  <si>
    <t>08H208 C/O Main Pump Dr Trans with Torque Converter</t>
  </si>
  <si>
    <t>08B223 C/O Main Pump Dr Trans with Torque Converter</t>
  </si>
  <si>
    <t>07H425 C/O Main Pump Dr Trans with Torque Converter</t>
  </si>
  <si>
    <t>07H363 C/O Main Pump Dr Trans with Torque Converter</t>
  </si>
  <si>
    <t>07H126 C/O Final Drive LHF</t>
  </si>
  <si>
    <t>4051 - FINAL DRIVE &amp; WHEEL</t>
  </si>
  <si>
    <t>07H126 C/O Final Drive RHF</t>
  </si>
  <si>
    <t>07H126 C/O Final Drive LHR</t>
  </si>
  <si>
    <t>07H126 C/O Final Drive RHR</t>
  </si>
  <si>
    <t>07B447 C/O Torque Converter</t>
  </si>
  <si>
    <t>06H462 C/O Final Drive LH</t>
  </si>
  <si>
    <t>06H462 C/O Engine</t>
  </si>
  <si>
    <t>06H462 C/O Differential</t>
  </si>
  <si>
    <t>06H462 C/O Torque Converter</t>
  </si>
  <si>
    <t>06H462 C/O Hub &amp; Spindle LH</t>
  </si>
  <si>
    <t>06H462 C/O Hub &amp; Spindle RH</t>
  </si>
  <si>
    <t>06H462 C/O Steering Cylinder LH</t>
  </si>
  <si>
    <t>06H462 C/O Steering Cylinder RH</t>
  </si>
  <si>
    <t>06H462 C/O Engine Radiator</t>
  </si>
  <si>
    <t>06H462 C/O Transmission</t>
  </si>
  <si>
    <t>06H255 C/O Final Drive LH</t>
  </si>
  <si>
    <t>06H255 C/O Final Drive RH</t>
  </si>
  <si>
    <t>STRG</t>
  </si>
  <si>
    <t>TRAN</t>
  </si>
  <si>
    <t>LVEL .STSY.STMD</t>
  </si>
  <si>
    <t>STRG .CYLD.SC01</t>
  </si>
  <si>
    <t>STRG .CYLD.SC02</t>
  </si>
  <si>
    <t>12H446 C/O Differential &amp; Bevel Gear</t>
  </si>
  <si>
    <t>12H227 C/O Differential &amp; Bevel Gear</t>
  </si>
  <si>
    <t>12H446 C/O Final Drive LH</t>
  </si>
  <si>
    <t>12H446 C/O Final Drive RH</t>
  </si>
  <si>
    <t>07H126 C/O Differential Front</t>
  </si>
  <si>
    <t>07H126 C/O Differential Rear</t>
  </si>
  <si>
    <t>PUMP;MAIN;RH340;CAT;20R2009</t>
  </si>
  <si>
    <t>A/255584/G1</t>
  </si>
  <si>
    <t>1918857: 15B290 C/O Main Hydraulic Pump No 2</t>
  </si>
  <si>
    <t>MYHD .PUMP.MP34</t>
  </si>
  <si>
    <t>1918858: 15B290 C/O Main Hydraulic Pump No 4</t>
  </si>
  <si>
    <t>MYHD .PUMP.MP78</t>
  </si>
  <si>
    <t>1918863: 15B290 C/O Main Hydraulic Pump No 1</t>
  </si>
  <si>
    <t>MYHD .PUMP.MP12</t>
  </si>
  <si>
    <t>1918864: 15B290 C/O Main Hydraulic Pump No 3</t>
  </si>
  <si>
    <t>MYHD .PUMP.MP56</t>
  </si>
  <si>
    <t>2112131: 15B405 C/O Main Hydraulic Pump No 1</t>
  </si>
  <si>
    <t>2112132: 15B405 C/O Main Hydraulic Pump No 2</t>
  </si>
  <si>
    <t>2112133: 15B405 C/O Main Hydraulic Pump No 3</t>
  </si>
  <si>
    <t>2112134: 15B405 C/O Main Hydraulic Pump No 4</t>
  </si>
  <si>
    <t>06H59 C/O Water Pump Main</t>
  </si>
  <si>
    <t>PUMP,WATER;CAT;10R1669</t>
  </si>
  <si>
    <t>A/255658/G1</t>
  </si>
  <si>
    <t>1918820: 15B290 Engine RH</t>
  </si>
  <si>
    <t>51368655</t>
  </si>
  <si>
    <t>15B290 C/O Engine RH Water Pump</t>
  </si>
  <si>
    <t>ENG2 .WAPU.WAPM</t>
  </si>
  <si>
    <t>1918859: 15B290 Engine LH</t>
  </si>
  <si>
    <t>51368731</t>
  </si>
  <si>
    <t>15B290 C/O Engine LH Water Pump</t>
  </si>
  <si>
    <t>ENG1 .WAPU.WAPM</t>
  </si>
  <si>
    <t>2112179: 15B405 Engine LH</t>
  </si>
  <si>
    <t>51635205</t>
  </si>
  <si>
    <t>15B405 C/O Engine LH Water Pump</t>
  </si>
  <si>
    <t>2112180: 15B405 Engine RH</t>
  </si>
  <si>
    <t>51635219</t>
  </si>
  <si>
    <t>15B405 C/O Engine RH Water Pump</t>
  </si>
  <si>
    <t>A/275223/L1</t>
  </si>
  <si>
    <t>2061633: 08D367 C/O Main Hydraulic Pump</t>
  </si>
  <si>
    <t>51566628</t>
  </si>
  <si>
    <t>08D367 C/O Main Hydraulic Pump</t>
  </si>
  <si>
    <t>12W566 C/O Blade Lift Cylinder LH</t>
  </si>
  <si>
    <t>12W566 C/O Blade Lift Cylinder RH</t>
  </si>
  <si>
    <t>12B501 C/O Blade Lift Cylinder LH</t>
  </si>
  <si>
    <t>12B501 C/O Blade Lift Cylinder RH</t>
  </si>
  <si>
    <t>6D600122</t>
  </si>
  <si>
    <t>DRIVE,PUMP;SX;CAT;5091024X</t>
  </si>
  <si>
    <t>A/255605/G1</t>
  </si>
  <si>
    <t>1977688: 15B362 C/O Main Pump Drive Trans LH</t>
  </si>
  <si>
    <t>51447350</t>
  </si>
  <si>
    <t>15B362 C/O Main Pump Drive Trans LH</t>
  </si>
  <si>
    <t>TRAN .MPDT.MPDL</t>
  </si>
  <si>
    <t>1977689: 15B362 C/O Main Pump Drive Trans RH</t>
  </si>
  <si>
    <t>51447351</t>
  </si>
  <si>
    <t>15B362 C/O Main Pump Drive Trans RH</t>
  </si>
  <si>
    <t>TRAN .MPDT.MPDR</t>
  </si>
  <si>
    <t>2112135: 15B405 C/O Main Pump Drive Trans LH</t>
  </si>
  <si>
    <t>2112136: 15B405 C/O Main Pump Drive Trans RH</t>
  </si>
  <si>
    <t>40098795</t>
  </si>
  <si>
    <t>2M9780</t>
  </si>
  <si>
    <t>O-RING;CAT;2M9780</t>
  </si>
  <si>
    <t>A/183846/Q1</t>
  </si>
  <si>
    <t>2163528: 12D1 C/O Brake Tandem LHF</t>
  </si>
  <si>
    <t>51715960</t>
  </si>
  <si>
    <t>12D1 C/O Brake Tandem LHF</t>
  </si>
  <si>
    <t>2163529: 12D1 C/O Brake Tandem RHF</t>
  </si>
  <si>
    <t>51715961</t>
  </si>
  <si>
    <t>12D1 C/O Brake Tandem RHF</t>
  </si>
  <si>
    <t>2163540: 12D1 C/O Brake Tandem LHR</t>
  </si>
  <si>
    <t>51715962</t>
  </si>
  <si>
    <t>12D1 C/O Brake Tandem LHR</t>
  </si>
  <si>
    <t>2163541: 12D1 C/O Brake Tandem RHR</t>
  </si>
  <si>
    <t>51715963</t>
  </si>
  <si>
    <t>12D1 C/O Brake Tandem RHR</t>
  </si>
  <si>
    <t>A/309333/X1</t>
  </si>
  <si>
    <t>2055747: 21D08 C/O Rotary Head Gearbox &amp; Motors</t>
  </si>
  <si>
    <t>51556027</t>
  </si>
  <si>
    <t>21D08 C/O Rotary Head Gearbox</t>
  </si>
  <si>
    <t>11H1018 C/O Apron Cylinder LH</t>
  </si>
  <si>
    <t>MYHD .CYLI.APRL</t>
  </si>
  <si>
    <t>11H1018 C/O Apron Cylinder RH</t>
  </si>
  <si>
    <t>MYHD .CYLI.APRR</t>
  </si>
  <si>
    <t>7PZ77001</t>
  </si>
  <si>
    <t>08H1064 Engine</t>
  </si>
  <si>
    <t>08H1064 C/O Engine</t>
  </si>
  <si>
    <t>08H1064 C/O Turbocharger LH</t>
  </si>
  <si>
    <t>08H1064 C/O Turbocharger RH</t>
  </si>
  <si>
    <t>08H1064 C/O Fuel Injectors</t>
  </si>
  <si>
    <t>08H1064 C/O Engine Radiator</t>
  </si>
  <si>
    <t>08H1064 C/O Water Pump Main</t>
  </si>
  <si>
    <t>08H1064 C/O Transfer &amp; Bevel Gears</t>
  </si>
  <si>
    <t>08H1064 C/O Transmission</t>
  </si>
  <si>
    <t>08H1064 C/O Torque Converter</t>
  </si>
  <si>
    <t>08H1064 C/O Final Drive LH</t>
  </si>
  <si>
    <t>08H1064 C/O Final Drive RH</t>
  </si>
  <si>
    <t>08H1064 C/O Steering Clutch &amp; Brake LH</t>
  </si>
  <si>
    <t>08H1064 C/O Steering Clutch &amp; Brake RH</t>
  </si>
  <si>
    <t>08H1064 C/O Track Frame LH</t>
  </si>
  <si>
    <t>08H1064 C/O Track Frame RH</t>
  </si>
  <si>
    <t>08H1064 C/O Pivot Shaft</t>
  </si>
  <si>
    <t>08H1064 C/O Main Hydraulic Pump</t>
  </si>
  <si>
    <t>08H1064 C/O Blade Tilt Cylinder LH</t>
  </si>
  <si>
    <t>08H1064 C/O Blade Tilt Cylinder RH</t>
  </si>
  <si>
    <t>08H1064 C/O Blade Lift Cylinder LH</t>
  </si>
  <si>
    <t>08H1064 C/O Blade Lift Cylinder RH</t>
  </si>
  <si>
    <t>08H1064 C/O Ripper Lift Cylinder RH</t>
  </si>
  <si>
    <t>08H1064 C/O Ripper Lift Cylinder LH</t>
  </si>
  <si>
    <t>08H1064 C/O Ripper Tilt Cylinder LH</t>
  </si>
  <si>
    <t>08H1064 C/O Ripper Tilt Cylinder RH</t>
  </si>
  <si>
    <t>1372629: 08R231 C/O Steering Clutch &amp; Brake LH</t>
  </si>
  <si>
    <t>08R231 C/O Steering Clutch &amp; Brake LH</t>
  </si>
  <si>
    <t>1372629: 08R231 C/O Steering Clutch &amp; Brake RH</t>
  </si>
  <si>
    <t>08R231 C/O Steering Clutch &amp; Brake RH</t>
  </si>
  <si>
    <t>12W566 C/O Circle Drive Gearbox</t>
  </si>
  <si>
    <t>12W566C/O Circle Drive Gearbox</t>
  </si>
  <si>
    <t>1372629: 08R231 C/O Ripper Lift Cylinder LH</t>
  </si>
  <si>
    <t>08R231 C/O Ripper Lift Cylinder LH</t>
  </si>
  <si>
    <t>1372629: 08R231 C/O Ripper Lift Cylinder RH</t>
  </si>
  <si>
    <t>08R231 C/O Ripper Lift Cylinder RH</t>
  </si>
  <si>
    <t>08R231 C/O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</si>
</sst>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</cellXfs>
  <cellStyles count="1">
    <cellStyle name="Normal" xfId="0" builtinId="0"/>
  </cellStyles>
  <dxfs count="35"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theme="3" tint="0.7499923703726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721A2-F681-47B5-872F-17F2C141A878}" name="New_Xref" displayName="New_Xref" ref="A1:V1793" totalsRowShown="0" headerRowDxfId="2">
  <autoFilter ref="A1:V1793" xr:uid="{75C721A2-F681-47B5-872F-17F2C141A878}"/>
  <tableColumns count="22">
    <tableColumn id="1" xr3:uid="{C94BADE5-4826-451E-BA0B-E8483A960741}" name="Model"/>
    <tableColumn id="2" xr3:uid="{666A9126-FB74-4936-9BB9-982A61A254A7}" name="Serial Number"/>
    <tableColumn id="3" xr3:uid="{73EFABE0-54CA-4021-AE90-384BE0FE6DDC}" name="Material"/>
    <tableColumn id="4" xr3:uid="{3DD48FE1-F548-4E50-9829-6803DD61997C}" name="Vendor Material Number"/>
    <tableColumn id="5" xr3:uid="{99EB2B5E-317B-4F90-ADE7-4E6599774123}" name="Material Description"/>
    <tableColumn id="6" xr3:uid="{D5406182-2CA2-4601-BAF2-E0474F908B81}" name=" Unit"/>
    <tableColumn id="7" xr3:uid="{BDD82B94-6348-4DF0-A0FE-FD28957D37B4}" name="Qty"/>
    <tableColumn id="8" xr3:uid="{CFEAEEC7-61FE-43F5-8E69-CA135CE8572D}" name="Task List Group Key"/>
    <tableColumn id="9" xr3:uid="{56A6165C-A941-413D-9258-767E410F1521}" name="Maintenance Plan Description"/>
    <tableColumn id="10" xr3:uid="{387C41F2-A8AD-46F5-A57D-4613A8BF9327}" name="Maintenance Item"/>
    <tableColumn id="11" xr3:uid="{24541352-4C3F-4C8B-9E66-B7A6FE6D29EF}" name="Maintenance Item Description"/>
    <tableColumn id="16" xr3:uid="{1D4C616F-7605-425B-B221-57AA428CB49B}" name="Func Loc" dataDxfId="1"/>
    <tableColumn id="12" xr3:uid="{3F59A25D-1BA6-462E-B038-BF28DA7F6675}" name="T1">
      <calculatedColumnFormula>LEFT(K2,FIND(" ",K2,1)-1)</calculatedColumnFormula>
    </tableColumn>
    <tableColumn id="13" xr3:uid="{D9B9BA8F-EC9C-454F-8519-456E48366B92}" name="T2">
      <calculatedColumnFormula>MID(K2,LEN(M2)+2,FIND(" ",K2,LEN(M2)+2)-LEN(M2)-2)</calculatedColumnFormula>
    </tableColumn>
    <tableColumn id="14" xr3:uid="{26CDE198-76F0-465B-9D16-9DB965D1BAC7}" name="Desc w/o ID &amp; Task">
      <calculatedColumnFormula>MID(K2,FIND(N2,K2,1)+LEN(N2)+1, 150)</calculatedColumnFormula>
    </tableColumn>
    <tableColumn id="15" xr3:uid="{381D5B09-0F43-4AB0-AED7-5EA3BC21CD30}" name="Serial Prefix">
      <calculatedColumnFormula>LEFT(B2,4)</calculatedColumnFormula>
    </tableColumn>
    <tableColumn id="17" xr3:uid="{D7EF8147-3DA7-4E45-A30A-DD5E9E10D297}" name="Spx Xref Key">
      <calculatedColumnFormula>P2&amp;O2</calculatedColumnFormula>
    </tableColumn>
    <tableColumn id="22" xr3:uid="{968546B8-48E6-40CB-A4D6-644611898AD1}" name="FuncLoc Key" dataDxfId="0">
      <calculatedColumnFormula>New_Xref[[#This Row],[Serial Prefix]]&amp;IF(New_Xref[[#This Row],[Func Loc]]&lt;&gt;"",New_Xref[[#This Row],[Func Loc]],"NO MATCH")</calculatedColumnFormula>
    </tableColumn>
    <tableColumn id="18" xr3:uid="{9A725E87-1931-4A92-BC44-771BF2D3900F}" name="PN Key">
      <calculatedColumnFormula>P2&amp;D2&amp;O2</calculatedColumnFormula>
    </tableColumn>
    <tableColumn id="19" xr3:uid="{A73B1C2B-AAF0-44F8-909B-8285F0DD09E8}" name="Final CC"/>
    <tableColumn id="20" xr3:uid="{D4B3C893-A47F-4CC6-B068-C4C8F5956CFC}" name="Final MC"/>
    <tableColumn id="21" xr3:uid="{2E5CC4CF-0F2C-4FD2-A8BC-BA68BDBA84CE}" name="AMT Key">
      <calculatedColumnFormula>LEFT(T2,FIND(" -",T2,1)-1)&amp;LEFT(U2,FIND(" -",U2,1)-1)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3535-76B2-40DA-8D04-BAF8D4E01ABB}">
  <dimension ref="A1:V1793"/>
  <sheetViews>
    <sheetView tabSelected="1" topLeftCell="E1" workbookViewId="0">
      <selection activeCell="I8" sqref="I8"/>
    </sheetView>
  </sheetViews>
  <sheetFormatPr defaultRowHeight="15"/>
  <cols>
    <col min="1" max="1" width="9" bestFit="1" customWidth="1"/>
    <col min="2" max="2" width="16.28515625" bestFit="1" customWidth="1"/>
    <col min="3" max="3" width="10.5703125" bestFit="1" customWidth="1"/>
    <col min="4" max="4" width="25.5703125" bestFit="1" customWidth="1"/>
    <col min="5" max="5" width="37.42578125" bestFit="1" customWidth="1"/>
    <col min="6" max="6" width="7.42578125" bestFit="1" customWidth="1"/>
    <col min="7" max="7" width="6.42578125" bestFit="1" customWidth="1"/>
    <col min="8" max="8" width="21" bestFit="1" customWidth="1"/>
    <col min="9" max="9" width="50" bestFit="1" customWidth="1"/>
    <col min="10" max="10" width="19.7109375" bestFit="1" customWidth="1"/>
    <col min="11" max="11" width="50" bestFit="1" customWidth="1"/>
    <col min="12" max="12" width="18.7109375" bestFit="1" customWidth="1"/>
    <col min="13" max="13" width="11" bestFit="1" customWidth="1"/>
    <col min="14" max="14" width="6" bestFit="1" customWidth="1"/>
    <col min="15" max="15" width="39.28515625" bestFit="1" customWidth="1"/>
    <col min="16" max="16" width="14.140625" bestFit="1" customWidth="1"/>
    <col min="17" max="17" width="44.140625" bestFit="1" customWidth="1"/>
    <col min="18" max="18" width="23.7109375" bestFit="1" customWidth="1"/>
    <col min="19" max="19" width="52.5703125" bestFit="1" customWidth="1"/>
    <col min="20" max="20" width="55.42578125" bestFit="1" customWidth="1"/>
    <col min="21" max="21" width="26.5703125" bestFit="1" customWidth="1"/>
    <col min="22" max="22" width="10.7109375" bestFit="1" customWidth="1"/>
  </cols>
  <sheetData>
    <row r="1" spans="1:2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1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s="1" t="str">
        <f t="shared" ref="M2:M65" si="0">LEFT(K2,FIND(" ",K2,1)-1)</f>
        <v>12W566</v>
      </c>
      <c r="N2" s="1" t="str">
        <f t="shared" ref="N2:N65" si="1">MID(K2,LEN(M2)+2,FIND(" ",K2,LEN(M2)+2)-LEN(M2)-2)</f>
        <v>C/O</v>
      </c>
      <c r="O2" s="1" t="str">
        <f t="shared" ref="O2:O65" si="2">MID(K2,FIND(N2,K2,1)+LEN(N2)+1, 150)</f>
        <v>Engine</v>
      </c>
      <c r="P2" s="1" t="str">
        <f t="shared" ref="P2:P65" si="3">LEFT(B2,4)</f>
        <v>F520</v>
      </c>
      <c r="Q2" s="2" t="str">
        <f t="shared" ref="Q2:Q65" si="4">P2&amp;O2</f>
        <v>F520Engine</v>
      </c>
      <c r="R2" s="2" t="str">
        <f>New_Xref[[#This Row],[Serial Prefix]]&amp;IF(New_Xref[[#This Row],[Func Loc]]&lt;&gt;"",New_Xref[[#This Row],[Func Loc]],"NO MATCH")</f>
        <v>F520ENGD</v>
      </c>
      <c r="S2" s="3" t="str">
        <f t="shared" ref="S2:S65" si="5">P2&amp;D2&amp;O2</f>
        <v>F52011R1242Engine</v>
      </c>
      <c r="T2" s="3" t="s">
        <v>33</v>
      </c>
      <c r="U2" s="3" t="s">
        <v>34</v>
      </c>
      <c r="V2" t="str">
        <f t="shared" ref="V2:V65" si="6">LEFT(T2,FIND(" -",T2,1)-1)&amp;LEFT(U2,FIND(" -",U2,1)-1)</f>
        <v>100000</v>
      </c>
    </row>
    <row r="3" spans="1:22">
      <c r="A3" t="s">
        <v>22</v>
      </c>
      <c r="B3" t="s">
        <v>35</v>
      </c>
      <c r="C3" t="s">
        <v>24</v>
      </c>
      <c r="D3" t="s">
        <v>25</v>
      </c>
      <c r="E3" t="s">
        <v>26</v>
      </c>
      <c r="F3" t="s">
        <v>27</v>
      </c>
      <c r="G3">
        <v>1</v>
      </c>
      <c r="H3" t="s">
        <v>36</v>
      </c>
      <c r="I3" t="s">
        <v>37</v>
      </c>
      <c r="J3" t="s">
        <v>38</v>
      </c>
      <c r="K3" t="s">
        <v>39</v>
      </c>
      <c r="L3" t="s">
        <v>32</v>
      </c>
      <c r="M3" s="1" t="str">
        <f t="shared" si="0"/>
        <v>12R569</v>
      </c>
      <c r="N3" s="1" t="str">
        <f t="shared" si="1"/>
        <v>C/O</v>
      </c>
      <c r="O3" s="1" t="str">
        <f t="shared" si="2"/>
        <v>Engine</v>
      </c>
      <c r="P3" s="1" t="str">
        <f t="shared" si="3"/>
        <v>NN50</v>
      </c>
      <c r="Q3" s="2" t="str">
        <f t="shared" si="4"/>
        <v>NN50Engine</v>
      </c>
      <c r="R3" s="2" t="str">
        <f>New_Xref[[#This Row],[Serial Prefix]]&amp;IF(New_Xref[[#This Row],[Func Loc]]&lt;&gt;"",New_Xref[[#This Row],[Func Loc]],"NO MATCH")</f>
        <v>NN50ENGD</v>
      </c>
      <c r="S3" s="3" t="str">
        <f t="shared" si="5"/>
        <v>NN5011R1242Engine</v>
      </c>
      <c r="T3" s="3" t="s">
        <v>33</v>
      </c>
      <c r="U3" s="3" t="s">
        <v>34</v>
      </c>
      <c r="V3" t="str">
        <f t="shared" si="6"/>
        <v>100000</v>
      </c>
    </row>
    <row r="4" spans="1:22">
      <c r="A4" t="s">
        <v>22</v>
      </c>
      <c r="B4" t="s">
        <v>35</v>
      </c>
      <c r="C4" t="s">
        <v>40</v>
      </c>
      <c r="D4" t="s">
        <v>41</v>
      </c>
      <c r="E4" t="s">
        <v>42</v>
      </c>
      <c r="F4" t="s">
        <v>27</v>
      </c>
      <c r="G4">
        <v>1</v>
      </c>
      <c r="H4" t="s">
        <v>43</v>
      </c>
      <c r="I4" t="s">
        <v>37</v>
      </c>
      <c r="J4" t="s">
        <v>44</v>
      </c>
      <c r="K4" t="s">
        <v>45</v>
      </c>
      <c r="L4" t="s">
        <v>46</v>
      </c>
      <c r="M4" s="1" t="str">
        <f t="shared" si="0"/>
        <v>12R569</v>
      </c>
      <c r="N4" s="1" t="str">
        <f t="shared" si="1"/>
        <v>C/O</v>
      </c>
      <c r="O4" s="1" t="str">
        <f t="shared" si="2"/>
        <v>Turbocharger</v>
      </c>
      <c r="P4" s="1" t="str">
        <f t="shared" si="3"/>
        <v>NN50</v>
      </c>
      <c r="Q4" s="2" t="str">
        <f t="shared" si="4"/>
        <v>NN50Turbocharger</v>
      </c>
      <c r="R4" s="2" t="str">
        <f>New_Xref[[#This Row],[Serial Prefix]]&amp;IF(New_Xref[[#This Row],[Func Loc]]&lt;&gt;"",New_Xref[[#This Row],[Func Loc]],"NO MATCH")</f>
        <v>NN50ENGD .TURB.TURB</v>
      </c>
      <c r="S4" s="3" t="str">
        <f t="shared" si="5"/>
        <v>NN5020R3693Turbocharger</v>
      </c>
      <c r="T4" s="3" t="s">
        <v>47</v>
      </c>
      <c r="U4" s="3" t="s">
        <v>34</v>
      </c>
      <c r="V4" t="str">
        <f t="shared" si="6"/>
        <v>105200</v>
      </c>
    </row>
    <row r="5" spans="1:22">
      <c r="A5" t="s">
        <v>22</v>
      </c>
      <c r="B5" t="s">
        <v>35</v>
      </c>
      <c r="C5" t="s">
        <v>48</v>
      </c>
      <c r="D5" t="s">
        <v>49</v>
      </c>
      <c r="E5" t="s">
        <v>50</v>
      </c>
      <c r="F5" t="s">
        <v>27</v>
      </c>
      <c r="G5">
        <v>1</v>
      </c>
      <c r="H5" t="s">
        <v>51</v>
      </c>
      <c r="I5" t="s">
        <v>52</v>
      </c>
      <c r="J5" t="s">
        <v>53</v>
      </c>
      <c r="K5" t="s">
        <v>52</v>
      </c>
      <c r="L5" t="s">
        <v>54</v>
      </c>
      <c r="M5" s="1" t="str">
        <f t="shared" si="0"/>
        <v>12R569</v>
      </c>
      <c r="N5" s="1" t="str">
        <f t="shared" si="1"/>
        <v>C/O</v>
      </c>
      <c r="O5" s="1" t="str">
        <f t="shared" si="2"/>
        <v>After Cooler</v>
      </c>
      <c r="P5" s="1" t="str">
        <f t="shared" si="3"/>
        <v>NN50</v>
      </c>
      <c r="Q5" s="2" t="str">
        <f t="shared" si="4"/>
        <v>NN50After Cooler</v>
      </c>
      <c r="R5" s="2" t="str">
        <f>New_Xref[[#This Row],[Serial Prefix]]&amp;IF(New_Xref[[#This Row],[Func Loc]]&lt;&gt;"",New_Xref[[#This Row],[Func Loc]],"NO MATCH")</f>
        <v>NN50ENGD .INEX.AFCO</v>
      </c>
      <c r="S5" s="3" t="str">
        <f t="shared" si="5"/>
        <v>NN506271736After Cooler</v>
      </c>
      <c r="T5" s="3" t="s">
        <v>55</v>
      </c>
      <c r="U5" s="3" t="s">
        <v>34</v>
      </c>
      <c r="V5" t="str">
        <f t="shared" si="6"/>
        <v>106300</v>
      </c>
    </row>
    <row r="6" spans="1:22">
      <c r="A6" t="s">
        <v>22</v>
      </c>
      <c r="B6" t="s">
        <v>35</v>
      </c>
      <c r="C6" t="s">
        <v>56</v>
      </c>
      <c r="D6" t="s">
        <v>57</v>
      </c>
      <c r="E6" t="s">
        <v>58</v>
      </c>
      <c r="F6" t="s">
        <v>27</v>
      </c>
      <c r="G6">
        <v>6</v>
      </c>
      <c r="H6" t="s">
        <v>59</v>
      </c>
      <c r="I6" t="s">
        <v>37</v>
      </c>
      <c r="J6" t="s">
        <v>60</v>
      </c>
      <c r="K6" t="s">
        <v>61</v>
      </c>
      <c r="L6" t="s">
        <v>62</v>
      </c>
      <c r="M6" s="1" t="str">
        <f t="shared" si="0"/>
        <v>12R569</v>
      </c>
      <c r="N6" s="1" t="str">
        <f t="shared" si="1"/>
        <v>C/O</v>
      </c>
      <c r="O6" s="1" t="str">
        <f t="shared" si="2"/>
        <v>Fuel Injectors</v>
      </c>
      <c r="P6" s="1" t="str">
        <f t="shared" si="3"/>
        <v>NN50</v>
      </c>
      <c r="Q6" s="2" t="str">
        <f t="shared" si="4"/>
        <v>NN50Fuel Injectors</v>
      </c>
      <c r="R6" s="2" t="str">
        <f>New_Xref[[#This Row],[Serial Prefix]]&amp;IF(New_Xref[[#This Row],[Func Loc]]&lt;&gt;"",New_Xref[[#This Row],[Func Loc]],"NO MATCH")</f>
        <v>NN50ENGD .FUEL.INJE</v>
      </c>
      <c r="S6" s="3" t="str">
        <f t="shared" si="5"/>
        <v>NN5010R3262Fuel Injectors</v>
      </c>
      <c r="T6" s="3" t="s">
        <v>63</v>
      </c>
      <c r="U6" s="3" t="s">
        <v>34</v>
      </c>
      <c r="V6" t="str">
        <f t="shared" si="6"/>
        <v>125100</v>
      </c>
    </row>
    <row r="7" spans="1:22">
      <c r="A7" t="s">
        <v>22</v>
      </c>
      <c r="B7" t="s">
        <v>23</v>
      </c>
      <c r="H7" t="s">
        <v>64</v>
      </c>
      <c r="I7" t="s">
        <v>65</v>
      </c>
      <c r="J7" t="s">
        <v>66</v>
      </c>
      <c r="K7" t="s">
        <v>65</v>
      </c>
      <c r="L7" t="s">
        <v>67</v>
      </c>
      <c r="M7" s="1" t="str">
        <f t="shared" si="0"/>
        <v>12W566</v>
      </c>
      <c r="N7" s="1" t="str">
        <f t="shared" si="1"/>
        <v>C/O</v>
      </c>
      <c r="O7" s="1" t="str">
        <f t="shared" si="2"/>
        <v>Engine Radiator</v>
      </c>
      <c r="P7" s="1" t="str">
        <f t="shared" si="3"/>
        <v>F520</v>
      </c>
      <c r="Q7" s="2" t="str">
        <f t="shared" si="4"/>
        <v>F520Engine Radiator</v>
      </c>
      <c r="R7" s="2" t="str">
        <f>New_Xref[[#This Row],[Serial Prefix]]&amp;IF(New_Xref[[#This Row],[Func Loc]]&lt;&gt;"",New_Xref[[#This Row],[Func Loc]],"NO MATCH")</f>
        <v>F520ENGD .ENCS.RADI</v>
      </c>
      <c r="S7" s="3" t="str">
        <f t="shared" si="5"/>
        <v>F520Engine Radiator</v>
      </c>
      <c r="T7" s="3" t="s">
        <v>68</v>
      </c>
      <c r="U7" s="3" t="s">
        <v>34</v>
      </c>
      <c r="V7" t="str">
        <f t="shared" si="6"/>
        <v>135300</v>
      </c>
    </row>
    <row r="8" spans="1:22">
      <c r="A8" t="s">
        <v>22</v>
      </c>
      <c r="B8" t="s">
        <v>23</v>
      </c>
      <c r="H8" t="s">
        <v>69</v>
      </c>
      <c r="I8" t="s">
        <v>70</v>
      </c>
      <c r="J8" t="s">
        <v>71</v>
      </c>
      <c r="K8" t="s">
        <v>70</v>
      </c>
      <c r="L8" t="s">
        <v>72</v>
      </c>
      <c r="M8" s="1" t="str">
        <f t="shared" si="0"/>
        <v>12W566</v>
      </c>
      <c r="N8" s="1" t="str">
        <f t="shared" si="1"/>
        <v>C/O</v>
      </c>
      <c r="O8" s="1" t="str">
        <f t="shared" si="2"/>
        <v>Transmission</v>
      </c>
      <c r="P8" s="1" t="str">
        <f t="shared" si="3"/>
        <v>F520</v>
      </c>
      <c r="Q8" s="2" t="str">
        <f t="shared" si="4"/>
        <v>F520Transmission</v>
      </c>
      <c r="R8" s="2" t="str">
        <f>New_Xref[[#This Row],[Serial Prefix]]&amp;IF(New_Xref[[#This Row],[Func Loc]]&lt;&gt;"",New_Xref[[#This Row],[Func Loc]],"NO MATCH")</f>
        <v>F520TRAN .TRAN</v>
      </c>
      <c r="S8" s="3" t="str">
        <f t="shared" si="5"/>
        <v>F520Transmission</v>
      </c>
      <c r="T8" s="3" t="s">
        <v>73</v>
      </c>
      <c r="U8" s="3" t="s">
        <v>34</v>
      </c>
      <c r="V8" t="str">
        <f t="shared" si="6"/>
        <v>303000</v>
      </c>
    </row>
    <row r="9" spans="1:22">
      <c r="A9" t="s">
        <v>22</v>
      </c>
      <c r="B9" t="s">
        <v>74</v>
      </c>
      <c r="C9" t="s">
        <v>40</v>
      </c>
      <c r="D9" t="s">
        <v>41</v>
      </c>
      <c r="E9" t="s">
        <v>42</v>
      </c>
      <c r="F9" t="s">
        <v>27</v>
      </c>
      <c r="G9">
        <v>1</v>
      </c>
      <c r="H9" t="s">
        <v>43</v>
      </c>
      <c r="I9" t="s">
        <v>75</v>
      </c>
      <c r="J9" t="s">
        <v>76</v>
      </c>
      <c r="K9" t="s">
        <v>75</v>
      </c>
      <c r="L9" t="s">
        <v>72</v>
      </c>
      <c r="M9" s="1" t="str">
        <f t="shared" si="0"/>
        <v>12H554</v>
      </c>
      <c r="N9" s="1" t="str">
        <f t="shared" si="1"/>
        <v>C/O</v>
      </c>
      <c r="O9" s="1" t="str">
        <f t="shared" si="2"/>
        <v>Transmission</v>
      </c>
      <c r="P9" s="1" t="str">
        <f t="shared" si="3"/>
        <v>NN50</v>
      </c>
      <c r="Q9" s="2" t="str">
        <f t="shared" si="4"/>
        <v>NN50Transmission</v>
      </c>
      <c r="R9" s="2" t="str">
        <f>New_Xref[[#This Row],[Serial Prefix]]&amp;IF(New_Xref[[#This Row],[Func Loc]]&lt;&gt;"",New_Xref[[#This Row],[Func Loc]],"NO MATCH")</f>
        <v>NN50TRAN .TRAN</v>
      </c>
      <c r="S9" s="3" t="str">
        <f t="shared" si="5"/>
        <v>NN5020R3693Transmission</v>
      </c>
      <c r="T9" s="3" t="s">
        <v>73</v>
      </c>
      <c r="U9" s="3" t="s">
        <v>34</v>
      </c>
      <c r="V9" t="str">
        <f t="shared" si="6"/>
        <v>303000</v>
      </c>
    </row>
    <row r="10" spans="1:22">
      <c r="A10" t="s">
        <v>22</v>
      </c>
      <c r="B10" t="s">
        <v>35</v>
      </c>
      <c r="C10" t="s">
        <v>77</v>
      </c>
      <c r="D10" t="s">
        <v>78</v>
      </c>
      <c r="E10" t="s">
        <v>79</v>
      </c>
      <c r="F10" t="s">
        <v>27</v>
      </c>
      <c r="G10">
        <v>1</v>
      </c>
      <c r="H10" t="s">
        <v>80</v>
      </c>
      <c r="I10" t="s">
        <v>81</v>
      </c>
      <c r="J10" t="s">
        <v>82</v>
      </c>
      <c r="K10" t="s">
        <v>81</v>
      </c>
      <c r="L10" t="s">
        <v>83</v>
      </c>
      <c r="M10" s="1" t="str">
        <f t="shared" si="0"/>
        <v>12R569</v>
      </c>
      <c r="N10" s="1" t="str">
        <f t="shared" si="1"/>
        <v>C/O</v>
      </c>
      <c r="O10" s="1" t="str">
        <f t="shared" si="2"/>
        <v>Differential &amp; Final Drives</v>
      </c>
      <c r="P10" s="1" t="str">
        <f t="shared" si="3"/>
        <v>NN50</v>
      </c>
      <c r="Q10" s="2" t="str">
        <f t="shared" si="4"/>
        <v>NN50Differential &amp; Final Drives</v>
      </c>
      <c r="R10" s="2" t="str">
        <f>New_Xref[[#This Row],[Serial Prefix]]&amp;IF(New_Xref[[#This Row],[Func Loc]]&lt;&gt;"",New_Xref[[#This Row],[Func Loc]],"NO MATCH")</f>
        <v>NN50NO MATCH</v>
      </c>
      <c r="S10" s="3" t="str">
        <f t="shared" si="5"/>
        <v>NN503799145XDifferential &amp; Final Drives</v>
      </c>
      <c r="T10" s="3" t="s">
        <v>84</v>
      </c>
      <c r="U10" s="3" t="s">
        <v>34</v>
      </c>
      <c r="V10" t="str">
        <f t="shared" si="6"/>
        <v>327800</v>
      </c>
    </row>
    <row r="11" spans="1:22">
      <c r="A11" t="s">
        <v>22</v>
      </c>
      <c r="B11" t="s">
        <v>74</v>
      </c>
      <c r="H11" t="s">
        <v>85</v>
      </c>
      <c r="I11" t="s">
        <v>86</v>
      </c>
      <c r="J11" t="s">
        <v>87</v>
      </c>
      <c r="K11" t="s">
        <v>86</v>
      </c>
      <c r="L11" t="s">
        <v>83</v>
      </c>
      <c r="M11" s="1" t="str">
        <f t="shared" si="0"/>
        <v>12H554</v>
      </c>
      <c r="N11" s="1" t="str">
        <f t="shared" si="1"/>
        <v>C/O</v>
      </c>
      <c r="O11" s="1" t="str">
        <f t="shared" si="2"/>
        <v>Brake LHF</v>
      </c>
      <c r="P11" s="1" t="str">
        <f t="shared" si="3"/>
        <v>NN50</v>
      </c>
      <c r="Q11" s="2" t="str">
        <f t="shared" si="4"/>
        <v>NN50Brake LHF</v>
      </c>
      <c r="R11" s="2" t="str">
        <f>New_Xref[[#This Row],[Serial Prefix]]&amp;IF(New_Xref[[#This Row],[Func Loc]]&lt;&gt;"",New_Xref[[#This Row],[Func Loc]],"NO MATCH")</f>
        <v>NN50NO MATCH</v>
      </c>
      <c r="S11" s="3" t="str">
        <f t="shared" si="5"/>
        <v>NN50Brake LHF</v>
      </c>
      <c r="T11" s="3" t="s">
        <v>88</v>
      </c>
      <c r="U11" s="3" t="s">
        <v>89</v>
      </c>
      <c r="V11" t="str">
        <f t="shared" si="6"/>
        <v>4006LF</v>
      </c>
    </row>
    <row r="12" spans="1:22">
      <c r="A12" t="s">
        <v>22</v>
      </c>
      <c r="B12" t="s">
        <v>74</v>
      </c>
      <c r="H12" t="s">
        <v>85</v>
      </c>
      <c r="I12" t="s">
        <v>90</v>
      </c>
      <c r="J12" t="s">
        <v>91</v>
      </c>
      <c r="K12" t="s">
        <v>90</v>
      </c>
      <c r="L12" t="s">
        <v>83</v>
      </c>
      <c r="M12" s="1" t="str">
        <f t="shared" si="0"/>
        <v>12H554</v>
      </c>
      <c r="N12" s="1" t="str">
        <f t="shared" si="1"/>
        <v>C/O</v>
      </c>
      <c r="O12" s="1" t="str">
        <f t="shared" si="2"/>
        <v>Brake RHF</v>
      </c>
      <c r="P12" s="1" t="str">
        <f t="shared" si="3"/>
        <v>NN50</v>
      </c>
      <c r="Q12" s="2" t="str">
        <f t="shared" si="4"/>
        <v>NN50Brake RHF</v>
      </c>
      <c r="R12" s="2" t="str">
        <f>New_Xref[[#This Row],[Serial Prefix]]&amp;IF(New_Xref[[#This Row],[Func Loc]]&lt;&gt;"",New_Xref[[#This Row],[Func Loc]],"NO MATCH")</f>
        <v>NN50NO MATCH</v>
      </c>
      <c r="S12" s="3" t="str">
        <f t="shared" si="5"/>
        <v>NN50Brake RHF</v>
      </c>
      <c r="T12" s="3" t="s">
        <v>88</v>
      </c>
      <c r="U12" s="3" t="s">
        <v>92</v>
      </c>
      <c r="V12" t="str">
        <f t="shared" si="6"/>
        <v>4006RF</v>
      </c>
    </row>
    <row r="13" spans="1:22">
      <c r="A13" t="s">
        <v>22</v>
      </c>
      <c r="B13" t="s">
        <v>74</v>
      </c>
      <c r="H13" t="s">
        <v>93</v>
      </c>
      <c r="I13" t="s">
        <v>94</v>
      </c>
      <c r="J13" t="s">
        <v>95</v>
      </c>
      <c r="K13" t="s">
        <v>94</v>
      </c>
      <c r="L13" t="s">
        <v>83</v>
      </c>
      <c r="M13" s="1" t="str">
        <f t="shared" si="0"/>
        <v>12H554</v>
      </c>
      <c r="N13" s="1" t="str">
        <f t="shared" si="1"/>
        <v>C/O</v>
      </c>
      <c r="O13" s="1" t="str">
        <f t="shared" si="2"/>
        <v>Brake LHR</v>
      </c>
      <c r="P13" s="1" t="str">
        <f t="shared" si="3"/>
        <v>NN50</v>
      </c>
      <c r="Q13" s="2" t="str">
        <f t="shared" si="4"/>
        <v>NN50Brake LHR</v>
      </c>
      <c r="R13" s="2" t="str">
        <f>New_Xref[[#This Row],[Serial Prefix]]&amp;IF(New_Xref[[#This Row],[Func Loc]]&lt;&gt;"",New_Xref[[#This Row],[Func Loc]],"NO MATCH")</f>
        <v>NN50NO MATCH</v>
      </c>
      <c r="S13" s="3" t="str">
        <f t="shared" si="5"/>
        <v>NN50Brake LHR</v>
      </c>
      <c r="T13" s="3" t="s">
        <v>88</v>
      </c>
      <c r="U13" s="3" t="s">
        <v>96</v>
      </c>
      <c r="V13" t="str">
        <f t="shared" si="6"/>
        <v>4006LR</v>
      </c>
    </row>
    <row r="14" spans="1:22">
      <c r="A14" t="s">
        <v>22</v>
      </c>
      <c r="B14" t="s">
        <v>74</v>
      </c>
      <c r="H14" t="s">
        <v>93</v>
      </c>
      <c r="I14" t="s">
        <v>97</v>
      </c>
      <c r="J14" t="s">
        <v>98</v>
      </c>
      <c r="K14" t="s">
        <v>97</v>
      </c>
      <c r="L14" t="s">
        <v>83</v>
      </c>
      <c r="M14" s="1" t="str">
        <f t="shared" si="0"/>
        <v>12H554</v>
      </c>
      <c r="N14" s="1" t="str">
        <f t="shared" si="1"/>
        <v>C/O</v>
      </c>
      <c r="O14" s="1" t="str">
        <f t="shared" si="2"/>
        <v>Brake RHR</v>
      </c>
      <c r="P14" s="1" t="str">
        <f t="shared" si="3"/>
        <v>NN50</v>
      </c>
      <c r="Q14" s="2" t="str">
        <f t="shared" si="4"/>
        <v>NN50Brake RHR</v>
      </c>
      <c r="R14" s="2" t="str">
        <f>New_Xref[[#This Row],[Serial Prefix]]&amp;IF(New_Xref[[#This Row],[Func Loc]]&lt;&gt;"",New_Xref[[#This Row],[Func Loc]],"NO MATCH")</f>
        <v>NN50NO MATCH</v>
      </c>
      <c r="S14" s="3" t="str">
        <f t="shared" si="5"/>
        <v>NN50Brake RHR</v>
      </c>
      <c r="T14" s="3" t="s">
        <v>88</v>
      </c>
      <c r="U14" s="3" t="s">
        <v>99</v>
      </c>
      <c r="V14" t="str">
        <f t="shared" si="6"/>
        <v>4006RR</v>
      </c>
    </row>
    <row r="15" spans="1:22">
      <c r="A15" t="s">
        <v>22</v>
      </c>
      <c r="B15" t="s">
        <v>23</v>
      </c>
      <c r="C15" t="s">
        <v>100</v>
      </c>
      <c r="D15" t="s">
        <v>101</v>
      </c>
      <c r="E15" t="s">
        <v>102</v>
      </c>
      <c r="F15" t="s">
        <v>27</v>
      </c>
      <c r="G15">
        <v>1</v>
      </c>
      <c r="H15" t="s">
        <v>103</v>
      </c>
      <c r="I15" t="s">
        <v>104</v>
      </c>
      <c r="J15" t="s">
        <v>105</v>
      </c>
      <c r="K15" t="s">
        <v>104</v>
      </c>
      <c r="L15" t="s">
        <v>106</v>
      </c>
      <c r="M15" s="1" t="str">
        <f t="shared" si="0"/>
        <v>12W566</v>
      </c>
      <c r="N15" s="1" t="str">
        <f t="shared" si="1"/>
        <v>C/O</v>
      </c>
      <c r="O15" s="1" t="str">
        <f t="shared" si="2"/>
        <v>Steering Cylinder LH</v>
      </c>
      <c r="P15" s="1" t="str">
        <f t="shared" si="3"/>
        <v>F520</v>
      </c>
      <c r="Q15" s="2" t="str">
        <f t="shared" si="4"/>
        <v>F520Steering Cylinder LH</v>
      </c>
      <c r="R15" s="2" t="str">
        <f>New_Xref[[#This Row],[Serial Prefix]]&amp;IF(New_Xref[[#This Row],[Func Loc]]&lt;&gt;"",New_Xref[[#This Row],[Func Loc]],"NO MATCH")</f>
        <v>F520STRG .CYLI.SCLH</v>
      </c>
      <c r="S15" s="3" t="str">
        <f t="shared" si="5"/>
        <v>F5206058770Steering Cylinder LH</v>
      </c>
      <c r="T15" s="3" t="s">
        <v>107</v>
      </c>
      <c r="U15" s="3" t="s">
        <v>108</v>
      </c>
      <c r="V15" t="str">
        <f t="shared" si="6"/>
        <v>4303LT</v>
      </c>
    </row>
    <row r="16" spans="1:22">
      <c r="A16" t="s">
        <v>22</v>
      </c>
      <c r="B16" t="s">
        <v>23</v>
      </c>
      <c r="C16" t="s">
        <v>109</v>
      </c>
      <c r="D16" t="s">
        <v>110</v>
      </c>
      <c r="E16" t="s">
        <v>102</v>
      </c>
      <c r="F16" t="s">
        <v>27</v>
      </c>
      <c r="G16">
        <v>1</v>
      </c>
      <c r="H16" t="s">
        <v>111</v>
      </c>
      <c r="I16" t="s">
        <v>112</v>
      </c>
      <c r="J16" t="s">
        <v>113</v>
      </c>
      <c r="K16" t="s">
        <v>112</v>
      </c>
      <c r="L16" t="s">
        <v>114</v>
      </c>
      <c r="M16" s="1" t="str">
        <f t="shared" si="0"/>
        <v>12W566</v>
      </c>
      <c r="N16" s="1" t="str">
        <f t="shared" si="1"/>
        <v>C/O</v>
      </c>
      <c r="O16" s="1" t="str">
        <f t="shared" si="2"/>
        <v>Steering Cylinder RH</v>
      </c>
      <c r="P16" s="1" t="str">
        <f t="shared" si="3"/>
        <v>F520</v>
      </c>
      <c r="Q16" s="2" t="str">
        <f t="shared" si="4"/>
        <v>F520Steering Cylinder RH</v>
      </c>
      <c r="R16" s="2" t="str">
        <f>New_Xref[[#This Row],[Serial Prefix]]&amp;IF(New_Xref[[#This Row],[Func Loc]]&lt;&gt;"",New_Xref[[#This Row],[Func Loc]],"NO MATCH")</f>
        <v>F520STRG .CYLI.SCRH</v>
      </c>
      <c r="S16" s="3" t="str">
        <f t="shared" si="5"/>
        <v>F5206058769Steering Cylinder RH</v>
      </c>
      <c r="T16" s="3" t="s">
        <v>107</v>
      </c>
      <c r="U16" s="3" t="s">
        <v>115</v>
      </c>
      <c r="V16" t="str">
        <f t="shared" si="6"/>
        <v>4303RI</v>
      </c>
    </row>
    <row r="17" spans="1:22">
      <c r="A17" t="s">
        <v>22</v>
      </c>
      <c r="B17" t="s">
        <v>74</v>
      </c>
      <c r="C17" t="s">
        <v>109</v>
      </c>
      <c r="D17" t="s">
        <v>110</v>
      </c>
      <c r="E17" t="s">
        <v>102</v>
      </c>
      <c r="F17" t="s">
        <v>27</v>
      </c>
      <c r="G17">
        <v>1</v>
      </c>
      <c r="H17" t="s">
        <v>116</v>
      </c>
      <c r="I17" t="s">
        <v>117</v>
      </c>
      <c r="J17" t="s">
        <v>118</v>
      </c>
      <c r="K17" t="s">
        <v>117</v>
      </c>
      <c r="L17" t="s">
        <v>114</v>
      </c>
      <c r="M17" s="1" t="str">
        <f t="shared" si="0"/>
        <v>12H554</v>
      </c>
      <c r="N17" s="1" t="str">
        <f t="shared" si="1"/>
        <v>C/O</v>
      </c>
      <c r="O17" s="1" t="str">
        <f t="shared" si="2"/>
        <v>Steering Cylinder RH</v>
      </c>
      <c r="P17" s="1" t="str">
        <f t="shared" si="3"/>
        <v>NN50</v>
      </c>
      <c r="Q17" s="2" t="str">
        <f t="shared" si="4"/>
        <v>NN50Steering Cylinder RH</v>
      </c>
      <c r="R17" s="2" t="str">
        <f>New_Xref[[#This Row],[Serial Prefix]]&amp;IF(New_Xref[[#This Row],[Func Loc]]&lt;&gt;"",New_Xref[[#This Row],[Func Loc]],"NO MATCH")</f>
        <v>NN50STRG .CYLI.SCRH</v>
      </c>
      <c r="S17" s="3" t="str">
        <f t="shared" si="5"/>
        <v>NN506058769Steering Cylinder RH</v>
      </c>
      <c r="T17" s="3" t="s">
        <v>107</v>
      </c>
      <c r="U17" s="3" t="s">
        <v>115</v>
      </c>
      <c r="V17" t="str">
        <f t="shared" si="6"/>
        <v>4303RI</v>
      </c>
    </row>
    <row r="18" spans="1:22">
      <c r="A18" t="s">
        <v>22</v>
      </c>
      <c r="B18" t="s">
        <v>74</v>
      </c>
      <c r="C18" t="s">
        <v>100</v>
      </c>
      <c r="D18" t="s">
        <v>101</v>
      </c>
      <c r="E18" t="s">
        <v>102</v>
      </c>
      <c r="F18" t="s">
        <v>27</v>
      </c>
      <c r="G18">
        <v>1</v>
      </c>
      <c r="H18" t="s">
        <v>119</v>
      </c>
      <c r="I18" t="s">
        <v>120</v>
      </c>
      <c r="J18" t="s">
        <v>121</v>
      </c>
      <c r="K18" t="s">
        <v>120</v>
      </c>
      <c r="L18" t="s">
        <v>106</v>
      </c>
      <c r="M18" s="1" t="str">
        <f t="shared" si="0"/>
        <v>12H554</v>
      </c>
      <c r="N18" s="1" t="str">
        <f t="shared" si="1"/>
        <v>C/O</v>
      </c>
      <c r="O18" s="1" t="str">
        <f t="shared" si="2"/>
        <v>Steering Cylinder LH</v>
      </c>
      <c r="P18" s="1" t="str">
        <f t="shared" si="3"/>
        <v>NN50</v>
      </c>
      <c r="Q18" s="2" t="str">
        <f t="shared" si="4"/>
        <v>NN50Steering Cylinder LH</v>
      </c>
      <c r="R18" s="2" t="str">
        <f>New_Xref[[#This Row],[Serial Prefix]]&amp;IF(New_Xref[[#This Row],[Func Loc]]&lt;&gt;"",New_Xref[[#This Row],[Func Loc]],"NO MATCH")</f>
        <v>NN50STRG .CYLI.SCLH</v>
      </c>
      <c r="S18" s="3" t="str">
        <f t="shared" si="5"/>
        <v>NN506058770Steering Cylinder LH</v>
      </c>
      <c r="T18" s="3" t="s">
        <v>107</v>
      </c>
      <c r="U18" s="3" t="s">
        <v>108</v>
      </c>
      <c r="V18" t="str">
        <f t="shared" si="6"/>
        <v>4303LT</v>
      </c>
    </row>
    <row r="19" spans="1:22">
      <c r="A19" t="s">
        <v>22</v>
      </c>
      <c r="B19" t="s">
        <v>35</v>
      </c>
      <c r="C19" t="s">
        <v>122</v>
      </c>
      <c r="D19" t="s">
        <v>123</v>
      </c>
      <c r="E19" t="s">
        <v>124</v>
      </c>
      <c r="F19" t="s">
        <v>125</v>
      </c>
      <c r="G19">
        <v>1</v>
      </c>
      <c r="H19" t="s">
        <v>126</v>
      </c>
      <c r="I19" t="s">
        <v>127</v>
      </c>
      <c r="J19" t="s">
        <v>128</v>
      </c>
      <c r="K19" t="s">
        <v>127</v>
      </c>
      <c r="L19" t="s">
        <v>129</v>
      </c>
      <c r="M19" s="1" t="str">
        <f t="shared" si="0"/>
        <v>12R569</v>
      </c>
      <c r="N19" s="1" t="str">
        <f t="shared" si="1"/>
        <v>C/O</v>
      </c>
      <c r="O19" s="1" t="str">
        <f t="shared" si="2"/>
        <v>Blade Lift Cylinder LH</v>
      </c>
      <c r="P19" s="1" t="str">
        <f t="shared" si="3"/>
        <v>NN50</v>
      </c>
      <c r="Q19" s="2" t="str">
        <f t="shared" si="4"/>
        <v>NN50Blade Lift Cylinder LH</v>
      </c>
      <c r="R19" s="2" t="str">
        <f>New_Xref[[#This Row],[Serial Prefix]]&amp;IF(New_Xref[[#This Row],[Func Loc]]&lt;&gt;"",New_Xref[[#This Row],[Func Loc]],"NO MATCH")</f>
        <v>NN50MYHD .CYLI.BLLL</v>
      </c>
      <c r="S19" s="3" t="str">
        <f t="shared" si="5"/>
        <v>NN503657416Blade Lift Cylinder LH</v>
      </c>
      <c r="T19" s="3" t="s">
        <v>130</v>
      </c>
      <c r="U19" s="3" t="s">
        <v>108</v>
      </c>
      <c r="V19" t="str">
        <f t="shared" si="6"/>
        <v>5102LT</v>
      </c>
    </row>
    <row r="20" spans="1:22">
      <c r="A20" t="s">
        <v>22</v>
      </c>
      <c r="B20" t="s">
        <v>35</v>
      </c>
      <c r="C20" t="s">
        <v>122</v>
      </c>
      <c r="D20" t="s">
        <v>123</v>
      </c>
      <c r="E20" t="s">
        <v>124</v>
      </c>
      <c r="F20" t="s">
        <v>125</v>
      </c>
      <c r="G20">
        <v>1</v>
      </c>
      <c r="H20" t="s">
        <v>126</v>
      </c>
      <c r="I20" t="s">
        <v>131</v>
      </c>
      <c r="J20" t="s">
        <v>132</v>
      </c>
      <c r="K20" t="s">
        <v>131</v>
      </c>
      <c r="L20" t="s">
        <v>133</v>
      </c>
      <c r="M20" s="1" t="str">
        <f t="shared" si="0"/>
        <v>12R569</v>
      </c>
      <c r="N20" s="1" t="str">
        <f t="shared" si="1"/>
        <v>C/O</v>
      </c>
      <c r="O20" s="1" t="str">
        <f t="shared" si="2"/>
        <v>Blade Lift Cylinder RH</v>
      </c>
      <c r="P20" s="1" t="str">
        <f t="shared" si="3"/>
        <v>NN50</v>
      </c>
      <c r="Q20" s="2" t="str">
        <f t="shared" si="4"/>
        <v>NN50Blade Lift Cylinder RH</v>
      </c>
      <c r="R20" s="2" t="str">
        <f>New_Xref[[#This Row],[Serial Prefix]]&amp;IF(New_Xref[[#This Row],[Func Loc]]&lt;&gt;"",New_Xref[[#This Row],[Func Loc]],"NO MATCH")</f>
        <v>NN50MYHD .CYLI.BLLR</v>
      </c>
      <c r="S20" s="3" t="str">
        <f t="shared" si="5"/>
        <v>NN503657416Blade Lift Cylinder RH</v>
      </c>
      <c r="T20" s="3" t="s">
        <v>130</v>
      </c>
      <c r="U20" s="3" t="s">
        <v>115</v>
      </c>
      <c r="V20" t="str">
        <f t="shared" si="6"/>
        <v>5102RI</v>
      </c>
    </row>
    <row r="21" spans="1:22">
      <c r="A21" t="s">
        <v>22</v>
      </c>
      <c r="B21" t="s">
        <v>35</v>
      </c>
      <c r="C21" t="s">
        <v>134</v>
      </c>
      <c r="D21" t="s">
        <v>135</v>
      </c>
      <c r="E21" t="s">
        <v>136</v>
      </c>
      <c r="F21" t="s">
        <v>125</v>
      </c>
      <c r="G21">
        <v>1</v>
      </c>
      <c r="H21" t="s">
        <v>137</v>
      </c>
      <c r="I21" t="s">
        <v>138</v>
      </c>
      <c r="J21" t="s">
        <v>139</v>
      </c>
      <c r="K21" t="s">
        <v>138</v>
      </c>
      <c r="L21" t="s">
        <v>140</v>
      </c>
      <c r="M21" s="1" t="str">
        <f t="shared" si="0"/>
        <v>12R569</v>
      </c>
      <c r="N21" s="1" t="str">
        <f t="shared" si="1"/>
        <v>C/O</v>
      </c>
      <c r="O21" s="1" t="str">
        <f t="shared" si="2"/>
        <v>Circle Drive Gearbox</v>
      </c>
      <c r="P21" s="1" t="str">
        <f t="shared" si="3"/>
        <v>NN50</v>
      </c>
      <c r="Q21" s="2" t="str">
        <f t="shared" si="4"/>
        <v>NN50Circle Drive Gearbox</v>
      </c>
      <c r="R21" s="2" t="str">
        <f>New_Xref[[#This Row],[Serial Prefix]]&amp;IF(New_Xref[[#This Row],[Func Loc]]&lt;&gt;"",New_Xref[[#This Row],[Func Loc]],"NO MATCH")</f>
        <v>NN50STRU .CHAS.CDGB</v>
      </c>
      <c r="S21" s="3" t="str">
        <f t="shared" si="5"/>
        <v>NN504827762XCircle Drive Gearbox</v>
      </c>
      <c r="T21" s="3" t="s">
        <v>141</v>
      </c>
      <c r="U21" s="3" t="s">
        <v>34</v>
      </c>
      <c r="V21" t="str">
        <f t="shared" si="6"/>
        <v>520700</v>
      </c>
    </row>
    <row r="22" spans="1:22">
      <c r="A22" t="s">
        <v>22</v>
      </c>
      <c r="B22" t="s">
        <v>23</v>
      </c>
      <c r="H22" t="s">
        <v>142</v>
      </c>
      <c r="I22" t="s">
        <v>143</v>
      </c>
      <c r="J22" t="s">
        <v>144</v>
      </c>
      <c r="K22" t="s">
        <v>143</v>
      </c>
      <c r="L22" t="s">
        <v>145</v>
      </c>
      <c r="M22" s="1" t="str">
        <f t="shared" si="0"/>
        <v>12W566</v>
      </c>
      <c r="N22" s="1" t="str">
        <f t="shared" si="1"/>
        <v>C/O</v>
      </c>
      <c r="O22" s="1" t="str">
        <f t="shared" si="2"/>
        <v>Articulation Cylinder LH</v>
      </c>
      <c r="P22" s="1" t="str">
        <f t="shared" si="3"/>
        <v>F520</v>
      </c>
      <c r="Q22" s="2" t="str">
        <f t="shared" si="4"/>
        <v>F520Articulation Cylinder LH</v>
      </c>
      <c r="R22" s="2" t="str">
        <f>New_Xref[[#This Row],[Serial Prefix]]&amp;IF(New_Xref[[#This Row],[Func Loc]]&lt;&gt;"",New_Xref[[#This Row],[Func Loc]],"NO MATCH")</f>
        <v>F520MYHD .CYLI.ARTL</v>
      </c>
      <c r="S22" s="3" t="str">
        <f t="shared" si="5"/>
        <v>F520Articulation Cylinder LH</v>
      </c>
      <c r="T22" s="3" t="s">
        <v>146</v>
      </c>
      <c r="U22" s="3" t="s">
        <v>108</v>
      </c>
      <c r="V22" t="str">
        <f t="shared" si="6"/>
        <v>5265LT</v>
      </c>
    </row>
    <row r="23" spans="1:22">
      <c r="A23" t="s">
        <v>22</v>
      </c>
      <c r="B23" t="s">
        <v>23</v>
      </c>
      <c r="H23" t="s">
        <v>142</v>
      </c>
      <c r="I23" t="s">
        <v>147</v>
      </c>
      <c r="J23" t="s">
        <v>148</v>
      </c>
      <c r="K23" t="s">
        <v>147</v>
      </c>
      <c r="L23" t="s">
        <v>149</v>
      </c>
      <c r="M23" s="1" t="str">
        <f t="shared" si="0"/>
        <v>12W566</v>
      </c>
      <c r="N23" s="1" t="str">
        <f t="shared" si="1"/>
        <v>C/O</v>
      </c>
      <c r="O23" s="1" t="str">
        <f t="shared" si="2"/>
        <v>Articulation Cylinder RH</v>
      </c>
      <c r="P23" s="1" t="str">
        <f t="shared" si="3"/>
        <v>F520</v>
      </c>
      <c r="Q23" s="2" t="str">
        <f t="shared" si="4"/>
        <v>F520Articulation Cylinder RH</v>
      </c>
      <c r="R23" s="2" t="str">
        <f>New_Xref[[#This Row],[Serial Prefix]]&amp;IF(New_Xref[[#This Row],[Func Loc]]&lt;&gt;"",New_Xref[[#This Row],[Func Loc]],"NO MATCH")</f>
        <v>F520MYHD .CYLI.ARTR</v>
      </c>
      <c r="S23" s="3" t="str">
        <f t="shared" si="5"/>
        <v>F520Articulation Cylinder RH</v>
      </c>
      <c r="T23" s="3" t="s">
        <v>146</v>
      </c>
      <c r="U23" s="3" t="s">
        <v>115</v>
      </c>
      <c r="V23" t="str">
        <f t="shared" si="6"/>
        <v>5265RI</v>
      </c>
    </row>
    <row r="24" spans="1:22">
      <c r="A24" t="s">
        <v>22</v>
      </c>
      <c r="B24" t="s">
        <v>35</v>
      </c>
      <c r="H24" t="s">
        <v>150</v>
      </c>
      <c r="I24" t="s">
        <v>151</v>
      </c>
      <c r="J24" t="s">
        <v>152</v>
      </c>
      <c r="K24" t="s">
        <v>151</v>
      </c>
      <c r="L24" t="s">
        <v>145</v>
      </c>
      <c r="M24" s="1" t="str">
        <f t="shared" si="0"/>
        <v>12R569</v>
      </c>
      <c r="N24" s="1" t="str">
        <f t="shared" si="1"/>
        <v>C/O</v>
      </c>
      <c r="O24" s="1" t="str">
        <f t="shared" si="2"/>
        <v>Articulation Cylinder LH</v>
      </c>
      <c r="P24" s="1" t="str">
        <f t="shared" si="3"/>
        <v>NN50</v>
      </c>
      <c r="Q24" s="2" t="str">
        <f t="shared" si="4"/>
        <v>NN50Articulation Cylinder LH</v>
      </c>
      <c r="R24" s="2" t="str">
        <f>New_Xref[[#This Row],[Serial Prefix]]&amp;IF(New_Xref[[#This Row],[Func Loc]]&lt;&gt;"",New_Xref[[#This Row],[Func Loc]],"NO MATCH")</f>
        <v>NN50MYHD .CYLI.ARTL</v>
      </c>
      <c r="S24" s="3" t="str">
        <f t="shared" si="5"/>
        <v>NN50Articulation Cylinder LH</v>
      </c>
      <c r="T24" s="3" t="s">
        <v>146</v>
      </c>
      <c r="U24" s="3" t="s">
        <v>108</v>
      </c>
      <c r="V24" t="str">
        <f t="shared" si="6"/>
        <v>5265LT</v>
      </c>
    </row>
    <row r="25" spans="1:22">
      <c r="A25" t="s">
        <v>22</v>
      </c>
      <c r="B25" t="s">
        <v>35</v>
      </c>
      <c r="H25" t="s">
        <v>150</v>
      </c>
      <c r="I25" t="s">
        <v>153</v>
      </c>
      <c r="J25" t="s">
        <v>154</v>
      </c>
      <c r="K25" t="s">
        <v>153</v>
      </c>
      <c r="L25" t="s">
        <v>149</v>
      </c>
      <c r="M25" s="1" t="str">
        <f t="shared" si="0"/>
        <v>12R569</v>
      </c>
      <c r="N25" s="1" t="str">
        <f t="shared" si="1"/>
        <v>C/O</v>
      </c>
      <c r="O25" s="1" t="str">
        <f t="shared" si="2"/>
        <v>Articulation Cylinder RH</v>
      </c>
      <c r="P25" s="1" t="str">
        <f t="shared" si="3"/>
        <v>NN50</v>
      </c>
      <c r="Q25" s="2" t="str">
        <f t="shared" si="4"/>
        <v>NN50Articulation Cylinder RH</v>
      </c>
      <c r="R25" s="2" t="str">
        <f>New_Xref[[#This Row],[Serial Prefix]]&amp;IF(New_Xref[[#This Row],[Func Loc]]&lt;&gt;"",New_Xref[[#This Row],[Func Loc]],"NO MATCH")</f>
        <v>NN50MYHD .CYLI.ARTR</v>
      </c>
      <c r="S25" s="3" t="str">
        <f t="shared" si="5"/>
        <v>NN50Articulation Cylinder RH</v>
      </c>
      <c r="T25" s="3" t="s">
        <v>146</v>
      </c>
      <c r="U25" s="3" t="s">
        <v>115</v>
      </c>
      <c r="V25" t="str">
        <f t="shared" si="6"/>
        <v>5265RI</v>
      </c>
    </row>
    <row r="26" spans="1:22">
      <c r="A26" t="s">
        <v>155</v>
      </c>
      <c r="B26" t="s">
        <v>156</v>
      </c>
      <c r="C26" t="s">
        <v>24</v>
      </c>
      <c r="D26" t="s">
        <v>25</v>
      </c>
      <c r="E26" t="s">
        <v>26</v>
      </c>
      <c r="F26" t="s">
        <v>27</v>
      </c>
      <c r="G26">
        <v>1</v>
      </c>
      <c r="H26" t="s">
        <v>157</v>
      </c>
      <c r="I26" t="s">
        <v>158</v>
      </c>
      <c r="J26" t="s">
        <v>159</v>
      </c>
      <c r="K26" t="s">
        <v>160</v>
      </c>
      <c r="L26" t="s">
        <v>32</v>
      </c>
      <c r="M26" s="1" t="str">
        <f t="shared" si="0"/>
        <v>12B501</v>
      </c>
      <c r="N26" s="1" t="str">
        <f t="shared" si="1"/>
        <v>C/O</v>
      </c>
      <c r="O26" s="1" t="str">
        <f t="shared" si="2"/>
        <v>Engine</v>
      </c>
      <c r="P26" s="1" t="str">
        <f t="shared" si="3"/>
        <v>NN60</v>
      </c>
      <c r="Q26" s="2" t="str">
        <f t="shared" si="4"/>
        <v>NN60Engine</v>
      </c>
      <c r="R26" s="2" t="str">
        <f>New_Xref[[#This Row],[Serial Prefix]]&amp;IF(New_Xref[[#This Row],[Func Loc]]&lt;&gt;"",New_Xref[[#This Row],[Func Loc]],"NO MATCH")</f>
        <v>NN60ENGD</v>
      </c>
      <c r="S26" s="3" t="str">
        <f t="shared" si="5"/>
        <v>NN6011R1242Engine</v>
      </c>
      <c r="T26" s="3" t="s">
        <v>33</v>
      </c>
      <c r="U26" s="3" t="s">
        <v>34</v>
      </c>
      <c r="V26" t="str">
        <f t="shared" si="6"/>
        <v>100000</v>
      </c>
    </row>
    <row r="27" spans="1:22">
      <c r="A27" t="s">
        <v>155</v>
      </c>
      <c r="B27" t="s">
        <v>156</v>
      </c>
      <c r="C27" t="s">
        <v>40</v>
      </c>
      <c r="D27" t="s">
        <v>41</v>
      </c>
      <c r="E27" t="s">
        <v>42</v>
      </c>
      <c r="F27" t="s">
        <v>27</v>
      </c>
      <c r="G27">
        <v>1</v>
      </c>
      <c r="H27" t="s">
        <v>161</v>
      </c>
      <c r="I27" t="s">
        <v>158</v>
      </c>
      <c r="J27" t="s">
        <v>162</v>
      </c>
      <c r="K27" t="s">
        <v>163</v>
      </c>
      <c r="L27" t="s">
        <v>46</v>
      </c>
      <c r="M27" s="1" t="str">
        <f t="shared" si="0"/>
        <v>12B501</v>
      </c>
      <c r="N27" s="1" t="str">
        <f t="shared" si="1"/>
        <v>C/O</v>
      </c>
      <c r="O27" s="1" t="str">
        <f t="shared" si="2"/>
        <v>Turbocharger</v>
      </c>
      <c r="P27" s="1" t="str">
        <f t="shared" si="3"/>
        <v>NN60</v>
      </c>
      <c r="Q27" s="2" t="str">
        <f t="shared" si="4"/>
        <v>NN60Turbocharger</v>
      </c>
      <c r="R27" s="2" t="str">
        <f>New_Xref[[#This Row],[Serial Prefix]]&amp;IF(New_Xref[[#This Row],[Func Loc]]&lt;&gt;"",New_Xref[[#This Row],[Func Loc]],"NO MATCH")</f>
        <v>NN60ENGD .TURB.TURB</v>
      </c>
      <c r="S27" s="3" t="str">
        <f t="shared" si="5"/>
        <v>NN6020R3693Turbocharger</v>
      </c>
      <c r="T27" s="3" t="s">
        <v>47</v>
      </c>
      <c r="U27" s="3" t="s">
        <v>34</v>
      </c>
      <c r="V27" t="str">
        <f t="shared" si="6"/>
        <v>105200</v>
      </c>
    </row>
    <row r="28" spans="1:22">
      <c r="A28" t="s">
        <v>155</v>
      </c>
      <c r="B28" t="s">
        <v>156</v>
      </c>
      <c r="C28" t="s">
        <v>48</v>
      </c>
      <c r="D28" t="s">
        <v>49</v>
      </c>
      <c r="E28" t="s">
        <v>50</v>
      </c>
      <c r="F28" t="s">
        <v>27</v>
      </c>
      <c r="G28">
        <v>1</v>
      </c>
      <c r="H28" t="s">
        <v>164</v>
      </c>
      <c r="I28" t="s">
        <v>165</v>
      </c>
      <c r="J28" t="s">
        <v>166</v>
      </c>
      <c r="K28" t="s">
        <v>165</v>
      </c>
      <c r="L28" t="s">
        <v>54</v>
      </c>
      <c r="M28" s="1" t="str">
        <f t="shared" si="0"/>
        <v>12B501</v>
      </c>
      <c r="N28" s="1" t="str">
        <f t="shared" si="1"/>
        <v>C/O</v>
      </c>
      <c r="O28" s="1" t="str">
        <f t="shared" si="2"/>
        <v>After Cooler</v>
      </c>
      <c r="P28" s="1" t="str">
        <f t="shared" si="3"/>
        <v>NN60</v>
      </c>
      <c r="Q28" s="2" t="str">
        <f t="shared" si="4"/>
        <v>NN60After Cooler</v>
      </c>
      <c r="R28" s="2" t="str">
        <f>New_Xref[[#This Row],[Serial Prefix]]&amp;IF(New_Xref[[#This Row],[Func Loc]]&lt;&gt;"",New_Xref[[#This Row],[Func Loc]],"NO MATCH")</f>
        <v>NN60ENGD .INEX.AFCO</v>
      </c>
      <c r="S28" s="3" t="str">
        <f t="shared" si="5"/>
        <v>NN606271736After Cooler</v>
      </c>
      <c r="T28" s="3" t="s">
        <v>55</v>
      </c>
      <c r="U28" s="3" t="s">
        <v>34</v>
      </c>
      <c r="V28" t="str">
        <f t="shared" si="6"/>
        <v>106300</v>
      </c>
    </row>
    <row r="29" spans="1:22">
      <c r="A29" t="s">
        <v>155</v>
      </c>
      <c r="B29" t="s">
        <v>156</v>
      </c>
      <c r="C29" t="s">
        <v>56</v>
      </c>
      <c r="D29" t="s">
        <v>57</v>
      </c>
      <c r="E29" t="s">
        <v>58</v>
      </c>
      <c r="F29" t="s">
        <v>27</v>
      </c>
      <c r="G29">
        <v>6</v>
      </c>
      <c r="H29" t="s">
        <v>167</v>
      </c>
      <c r="I29" t="s">
        <v>158</v>
      </c>
      <c r="J29" t="s">
        <v>168</v>
      </c>
      <c r="K29" t="s">
        <v>169</v>
      </c>
      <c r="L29" t="s">
        <v>62</v>
      </c>
      <c r="M29" s="1" t="str">
        <f t="shared" si="0"/>
        <v>12B501</v>
      </c>
      <c r="N29" s="1" t="str">
        <f t="shared" si="1"/>
        <v>C/O</v>
      </c>
      <c r="O29" s="1" t="str">
        <f t="shared" si="2"/>
        <v>Fuel Injectors</v>
      </c>
      <c r="P29" s="1" t="str">
        <f t="shared" si="3"/>
        <v>NN60</v>
      </c>
      <c r="Q29" s="2" t="str">
        <f t="shared" si="4"/>
        <v>NN60Fuel Injectors</v>
      </c>
      <c r="R29" s="2" t="str">
        <f>New_Xref[[#This Row],[Serial Prefix]]&amp;IF(New_Xref[[#This Row],[Func Loc]]&lt;&gt;"",New_Xref[[#This Row],[Func Loc]],"NO MATCH")</f>
        <v>NN60ENGD .FUEL.INJE</v>
      </c>
      <c r="S29" s="3" t="str">
        <f t="shared" si="5"/>
        <v>NN6010R3262Fuel Injectors</v>
      </c>
      <c r="T29" s="3" t="s">
        <v>63</v>
      </c>
      <c r="U29" s="3" t="s">
        <v>34</v>
      </c>
      <c r="V29" t="str">
        <f t="shared" si="6"/>
        <v>125100</v>
      </c>
    </row>
    <row r="30" spans="1:22">
      <c r="A30" t="s">
        <v>155</v>
      </c>
      <c r="B30" t="s">
        <v>156</v>
      </c>
      <c r="C30" t="s">
        <v>170</v>
      </c>
      <c r="D30" t="s">
        <v>171</v>
      </c>
      <c r="E30" t="s">
        <v>172</v>
      </c>
      <c r="F30" t="s">
        <v>27</v>
      </c>
      <c r="G30">
        <v>1</v>
      </c>
      <c r="H30" t="s">
        <v>173</v>
      </c>
      <c r="I30" t="s">
        <v>174</v>
      </c>
      <c r="J30" t="s">
        <v>175</v>
      </c>
      <c r="K30" t="s">
        <v>174</v>
      </c>
      <c r="L30" t="s">
        <v>67</v>
      </c>
      <c r="M30" s="1" t="str">
        <f t="shared" si="0"/>
        <v>12B501</v>
      </c>
      <c r="N30" s="1" t="str">
        <f t="shared" si="1"/>
        <v>C/O</v>
      </c>
      <c r="O30" s="1" t="str">
        <f t="shared" si="2"/>
        <v>Engine Radiator</v>
      </c>
      <c r="P30" s="1" t="str">
        <f t="shared" si="3"/>
        <v>NN60</v>
      </c>
      <c r="Q30" s="2" t="str">
        <f t="shared" si="4"/>
        <v>NN60Engine Radiator</v>
      </c>
      <c r="R30" s="2" t="str">
        <f>New_Xref[[#This Row],[Serial Prefix]]&amp;IF(New_Xref[[#This Row],[Func Loc]]&lt;&gt;"",New_Xref[[#This Row],[Func Loc]],"NO MATCH")</f>
        <v>NN60ENGD .ENCS.RADI</v>
      </c>
      <c r="S30" s="3" t="str">
        <f t="shared" si="5"/>
        <v>NN604944833Engine Radiator</v>
      </c>
      <c r="T30" s="3" t="s">
        <v>68</v>
      </c>
      <c r="U30" s="3" t="s">
        <v>34</v>
      </c>
      <c r="V30" t="str">
        <f t="shared" si="6"/>
        <v>135300</v>
      </c>
    </row>
    <row r="31" spans="1:22">
      <c r="A31" t="s">
        <v>155</v>
      </c>
      <c r="B31" t="s">
        <v>156</v>
      </c>
      <c r="C31" t="s">
        <v>176</v>
      </c>
      <c r="D31" t="s">
        <v>177</v>
      </c>
      <c r="E31" t="s">
        <v>178</v>
      </c>
      <c r="F31" t="s">
        <v>27</v>
      </c>
      <c r="G31">
        <v>1</v>
      </c>
      <c r="H31" t="s">
        <v>179</v>
      </c>
      <c r="I31" t="s">
        <v>158</v>
      </c>
      <c r="J31" t="s">
        <v>180</v>
      </c>
      <c r="K31" t="s">
        <v>181</v>
      </c>
      <c r="L31" t="s">
        <v>182</v>
      </c>
      <c r="M31" s="1" t="str">
        <f t="shared" si="0"/>
        <v>12B501</v>
      </c>
      <c r="N31" s="1" t="str">
        <f t="shared" si="1"/>
        <v>C/O</v>
      </c>
      <c r="O31" s="1" t="str">
        <f t="shared" si="2"/>
        <v>Water Pump Main</v>
      </c>
      <c r="P31" s="1" t="str">
        <f t="shared" si="3"/>
        <v>NN60</v>
      </c>
      <c r="Q31" s="2" t="str">
        <f t="shared" si="4"/>
        <v>NN60Water Pump Main</v>
      </c>
      <c r="R31" s="2" t="str">
        <f>New_Xref[[#This Row],[Serial Prefix]]&amp;IF(New_Xref[[#This Row],[Func Loc]]&lt;&gt;"",New_Xref[[#This Row],[Func Loc]],"NO MATCH")</f>
        <v>NN60ENGD .WAPU.WAPM</v>
      </c>
      <c r="S31" s="3" t="str">
        <f t="shared" si="5"/>
        <v>NN603520205Water Pump Main</v>
      </c>
      <c r="T31" s="3" t="s">
        <v>183</v>
      </c>
      <c r="U31" s="3" t="s">
        <v>34</v>
      </c>
      <c r="V31" t="str">
        <f t="shared" si="6"/>
        <v>136100</v>
      </c>
    </row>
    <row r="32" spans="1:22">
      <c r="A32" t="s">
        <v>155</v>
      </c>
      <c r="B32" t="s">
        <v>156</v>
      </c>
      <c r="H32" t="s">
        <v>184</v>
      </c>
      <c r="I32" t="s">
        <v>185</v>
      </c>
      <c r="J32" t="s">
        <v>186</v>
      </c>
      <c r="K32" t="s">
        <v>185</v>
      </c>
      <c r="L32" t="s">
        <v>187</v>
      </c>
      <c r="M32" s="1" t="str">
        <f t="shared" si="0"/>
        <v>12B501</v>
      </c>
      <c r="N32" s="1" t="str">
        <f t="shared" si="1"/>
        <v>C/O</v>
      </c>
      <c r="O32" s="1" t="str">
        <f t="shared" si="2"/>
        <v>Engine Cooling Fan Motor</v>
      </c>
      <c r="P32" s="1" t="str">
        <f t="shared" si="3"/>
        <v>NN60</v>
      </c>
      <c r="Q32" s="2" t="str">
        <f t="shared" si="4"/>
        <v>NN60Engine Cooling Fan Motor</v>
      </c>
      <c r="R32" s="2" t="str">
        <f>New_Xref[[#This Row],[Serial Prefix]]&amp;IF(New_Xref[[#This Row],[Func Loc]]&lt;&gt;"",New_Xref[[#This Row],[Func Loc]],"NO MATCH")</f>
        <v>NN60MYHD .MOTO.ECFM</v>
      </c>
      <c r="S32" s="3" t="str">
        <f t="shared" si="5"/>
        <v>NN60Engine Cooling Fan Motor</v>
      </c>
      <c r="T32" s="3" t="s">
        <v>188</v>
      </c>
      <c r="U32" s="3" t="s">
        <v>34</v>
      </c>
      <c r="V32" t="str">
        <f t="shared" si="6"/>
        <v>138600</v>
      </c>
    </row>
    <row r="33" spans="1:22">
      <c r="A33" t="s">
        <v>155</v>
      </c>
      <c r="B33" t="s">
        <v>156</v>
      </c>
      <c r="C33" t="s">
        <v>189</v>
      </c>
      <c r="D33" t="s">
        <v>190</v>
      </c>
      <c r="E33" t="s">
        <v>191</v>
      </c>
      <c r="F33" t="s">
        <v>27</v>
      </c>
      <c r="G33">
        <v>1</v>
      </c>
      <c r="H33" t="s">
        <v>192</v>
      </c>
      <c r="I33" t="s">
        <v>193</v>
      </c>
      <c r="J33" t="s">
        <v>194</v>
      </c>
      <c r="K33" t="s">
        <v>193</v>
      </c>
      <c r="L33" t="s">
        <v>72</v>
      </c>
      <c r="M33" s="1" t="str">
        <f t="shared" si="0"/>
        <v>12B501</v>
      </c>
      <c r="N33" s="1" t="str">
        <f t="shared" si="1"/>
        <v>C/O</v>
      </c>
      <c r="O33" s="1" t="str">
        <f t="shared" si="2"/>
        <v>Transmission</v>
      </c>
      <c r="P33" s="1" t="str">
        <f t="shared" si="3"/>
        <v>NN60</v>
      </c>
      <c r="Q33" s="2" t="str">
        <f t="shared" si="4"/>
        <v>NN60Transmission</v>
      </c>
      <c r="R33" s="2" t="str">
        <f>New_Xref[[#This Row],[Serial Prefix]]&amp;IF(New_Xref[[#This Row],[Func Loc]]&lt;&gt;"",New_Xref[[#This Row],[Func Loc]],"NO MATCH")</f>
        <v>NN60TRAN .TRAN</v>
      </c>
      <c r="S33" s="3" t="str">
        <f t="shared" si="5"/>
        <v>NN603810675XTransmission</v>
      </c>
      <c r="T33" s="3" t="s">
        <v>73</v>
      </c>
      <c r="U33" s="3" t="s">
        <v>34</v>
      </c>
      <c r="V33" t="str">
        <f t="shared" si="6"/>
        <v>303000</v>
      </c>
    </row>
    <row r="34" spans="1:22">
      <c r="A34" t="s">
        <v>155</v>
      </c>
      <c r="B34" t="s">
        <v>156</v>
      </c>
      <c r="C34" t="s">
        <v>77</v>
      </c>
      <c r="D34" t="s">
        <v>78</v>
      </c>
      <c r="E34" t="s">
        <v>79</v>
      </c>
      <c r="F34" t="s">
        <v>27</v>
      </c>
      <c r="G34">
        <v>1</v>
      </c>
      <c r="H34" t="s">
        <v>195</v>
      </c>
      <c r="I34" t="s">
        <v>196</v>
      </c>
      <c r="J34" t="s">
        <v>197</v>
      </c>
      <c r="K34" t="s">
        <v>196</v>
      </c>
      <c r="L34" t="s">
        <v>198</v>
      </c>
      <c r="M34" s="1" t="str">
        <f t="shared" si="0"/>
        <v>12B501</v>
      </c>
      <c r="N34" s="1" t="str">
        <f t="shared" si="1"/>
        <v>C/O</v>
      </c>
      <c r="O34" s="1" t="str">
        <f t="shared" si="2"/>
        <v>Axle Assembly Rear</v>
      </c>
      <c r="P34" s="1" t="str">
        <f t="shared" si="3"/>
        <v>NN60</v>
      </c>
      <c r="Q34" s="2" t="str">
        <f t="shared" si="4"/>
        <v>NN60Axle Assembly Rear</v>
      </c>
      <c r="R34" s="2" t="str">
        <f>New_Xref[[#This Row],[Serial Prefix]]&amp;IF(New_Xref[[#This Row],[Func Loc]]&lt;&gt;"",New_Xref[[#This Row],[Func Loc]],"NO MATCH")</f>
        <v>NN60FDRV .AXAR</v>
      </c>
      <c r="S34" s="3" t="str">
        <f t="shared" si="5"/>
        <v>NN603799145XAxle Assembly Rear</v>
      </c>
      <c r="T34" s="3" t="s">
        <v>84</v>
      </c>
      <c r="U34" s="3" t="s">
        <v>34</v>
      </c>
      <c r="V34" t="str">
        <f t="shared" si="6"/>
        <v>327800</v>
      </c>
    </row>
    <row r="35" spans="1:22">
      <c r="A35" t="s">
        <v>155</v>
      </c>
      <c r="B35" t="s">
        <v>156</v>
      </c>
      <c r="C35" t="s">
        <v>199</v>
      </c>
      <c r="D35" t="s">
        <v>200</v>
      </c>
      <c r="E35" t="s">
        <v>201</v>
      </c>
      <c r="F35" t="s">
        <v>27</v>
      </c>
      <c r="G35">
        <v>1</v>
      </c>
      <c r="H35" t="s">
        <v>202</v>
      </c>
      <c r="I35" t="s">
        <v>203</v>
      </c>
      <c r="J35" t="s">
        <v>204</v>
      </c>
      <c r="K35" t="s">
        <v>203</v>
      </c>
      <c r="L35" t="s">
        <v>83</v>
      </c>
      <c r="M35" s="1" t="str">
        <f t="shared" si="0"/>
        <v>12B501</v>
      </c>
      <c r="N35" s="1" t="str">
        <f t="shared" si="1"/>
        <v>C/O</v>
      </c>
      <c r="O35" s="1" t="str">
        <f t="shared" si="2"/>
        <v>Brake LHF</v>
      </c>
      <c r="P35" s="1" t="str">
        <f t="shared" si="3"/>
        <v>NN60</v>
      </c>
      <c r="Q35" s="2" t="str">
        <f t="shared" si="4"/>
        <v>NN60Brake LHF</v>
      </c>
      <c r="R35" s="2" t="str">
        <f>New_Xref[[#This Row],[Serial Prefix]]&amp;IF(New_Xref[[#This Row],[Func Loc]]&lt;&gt;"",New_Xref[[#This Row],[Func Loc]],"NO MATCH")</f>
        <v>NN60NO MATCH</v>
      </c>
      <c r="S35" s="3" t="str">
        <f t="shared" si="5"/>
        <v>NN6020R9995Brake LHF</v>
      </c>
      <c r="T35" s="3" t="s">
        <v>205</v>
      </c>
      <c r="U35" s="3" t="s">
        <v>89</v>
      </c>
      <c r="V35" t="str">
        <f t="shared" si="6"/>
        <v>4251LF</v>
      </c>
    </row>
    <row r="36" spans="1:22">
      <c r="A36" t="s">
        <v>155</v>
      </c>
      <c r="B36" t="s">
        <v>156</v>
      </c>
      <c r="C36" t="s">
        <v>199</v>
      </c>
      <c r="D36" t="s">
        <v>200</v>
      </c>
      <c r="E36" t="s">
        <v>201</v>
      </c>
      <c r="F36" t="s">
        <v>27</v>
      </c>
      <c r="G36">
        <v>1</v>
      </c>
      <c r="H36" t="s">
        <v>206</v>
      </c>
      <c r="I36" t="s">
        <v>207</v>
      </c>
      <c r="J36" t="s">
        <v>208</v>
      </c>
      <c r="K36" t="s">
        <v>207</v>
      </c>
      <c r="L36" t="s">
        <v>83</v>
      </c>
      <c r="M36" s="1" t="str">
        <f t="shared" si="0"/>
        <v>12B501</v>
      </c>
      <c r="N36" s="1" t="str">
        <f t="shared" si="1"/>
        <v>C/O</v>
      </c>
      <c r="O36" s="1" t="str">
        <f t="shared" si="2"/>
        <v>Brake LHR</v>
      </c>
      <c r="P36" s="1" t="str">
        <f t="shared" si="3"/>
        <v>NN60</v>
      </c>
      <c r="Q36" s="2" t="str">
        <f t="shared" si="4"/>
        <v>NN60Brake LHR</v>
      </c>
      <c r="R36" s="2" t="str">
        <f>New_Xref[[#This Row],[Serial Prefix]]&amp;IF(New_Xref[[#This Row],[Func Loc]]&lt;&gt;"",New_Xref[[#This Row],[Func Loc]],"NO MATCH")</f>
        <v>NN60NO MATCH</v>
      </c>
      <c r="S36" s="3" t="str">
        <f t="shared" si="5"/>
        <v>NN6020R9995Brake LHR</v>
      </c>
      <c r="T36" s="3" t="s">
        <v>205</v>
      </c>
      <c r="U36" s="3" t="s">
        <v>96</v>
      </c>
      <c r="V36" t="str">
        <f t="shared" si="6"/>
        <v>4251LR</v>
      </c>
    </row>
    <row r="37" spans="1:22">
      <c r="A37" t="s">
        <v>155</v>
      </c>
      <c r="B37" t="s">
        <v>156</v>
      </c>
      <c r="C37" t="s">
        <v>199</v>
      </c>
      <c r="D37" t="s">
        <v>200</v>
      </c>
      <c r="E37" t="s">
        <v>201</v>
      </c>
      <c r="F37" t="s">
        <v>27</v>
      </c>
      <c r="G37">
        <v>1</v>
      </c>
      <c r="H37" t="s">
        <v>202</v>
      </c>
      <c r="I37" t="s">
        <v>209</v>
      </c>
      <c r="J37" t="s">
        <v>210</v>
      </c>
      <c r="K37" t="s">
        <v>209</v>
      </c>
      <c r="L37" t="s">
        <v>83</v>
      </c>
      <c r="M37" s="1" t="str">
        <f t="shared" si="0"/>
        <v>12B501</v>
      </c>
      <c r="N37" s="1" t="str">
        <f t="shared" si="1"/>
        <v>C/O</v>
      </c>
      <c r="O37" s="1" t="str">
        <f t="shared" si="2"/>
        <v>Brake RHF</v>
      </c>
      <c r="P37" s="1" t="str">
        <f t="shared" si="3"/>
        <v>NN60</v>
      </c>
      <c r="Q37" s="2" t="str">
        <f t="shared" si="4"/>
        <v>NN60Brake RHF</v>
      </c>
      <c r="R37" s="2" t="str">
        <f>New_Xref[[#This Row],[Serial Prefix]]&amp;IF(New_Xref[[#This Row],[Func Loc]]&lt;&gt;"",New_Xref[[#This Row],[Func Loc]],"NO MATCH")</f>
        <v>NN60NO MATCH</v>
      </c>
      <c r="S37" s="3" t="str">
        <f t="shared" si="5"/>
        <v>NN6020R9995Brake RHF</v>
      </c>
      <c r="T37" s="3" t="s">
        <v>205</v>
      </c>
      <c r="U37" s="3" t="s">
        <v>92</v>
      </c>
      <c r="V37" t="str">
        <f t="shared" si="6"/>
        <v>4251RF</v>
      </c>
    </row>
    <row r="38" spans="1:22">
      <c r="A38" t="s">
        <v>155</v>
      </c>
      <c r="B38" t="s">
        <v>156</v>
      </c>
      <c r="C38" t="s">
        <v>199</v>
      </c>
      <c r="D38" t="s">
        <v>200</v>
      </c>
      <c r="E38" t="s">
        <v>201</v>
      </c>
      <c r="F38" t="s">
        <v>27</v>
      </c>
      <c r="G38">
        <v>1</v>
      </c>
      <c r="H38" t="s">
        <v>206</v>
      </c>
      <c r="I38" t="s">
        <v>211</v>
      </c>
      <c r="J38" t="s">
        <v>212</v>
      </c>
      <c r="K38" t="s">
        <v>211</v>
      </c>
      <c r="L38" t="s">
        <v>83</v>
      </c>
      <c r="M38" s="1" t="str">
        <f t="shared" si="0"/>
        <v>12B501</v>
      </c>
      <c r="N38" s="1" t="str">
        <f t="shared" si="1"/>
        <v>C/O</v>
      </c>
      <c r="O38" s="1" t="str">
        <f t="shared" si="2"/>
        <v>Brake RHR</v>
      </c>
      <c r="P38" s="1" t="str">
        <f t="shared" si="3"/>
        <v>NN60</v>
      </c>
      <c r="Q38" s="2" t="str">
        <f t="shared" si="4"/>
        <v>NN60Brake RHR</v>
      </c>
      <c r="R38" s="2" t="str">
        <f>New_Xref[[#This Row],[Serial Prefix]]&amp;IF(New_Xref[[#This Row],[Func Loc]]&lt;&gt;"",New_Xref[[#This Row],[Func Loc]],"NO MATCH")</f>
        <v>NN60NO MATCH</v>
      </c>
      <c r="S38" s="3" t="str">
        <f t="shared" si="5"/>
        <v>NN6020R9995Brake RHR</v>
      </c>
      <c r="T38" s="3" t="s">
        <v>205</v>
      </c>
      <c r="U38" s="3" t="s">
        <v>99</v>
      </c>
      <c r="V38" t="str">
        <f t="shared" si="6"/>
        <v>4251RR</v>
      </c>
    </row>
    <row r="39" spans="1:22">
      <c r="A39" t="s">
        <v>155</v>
      </c>
      <c r="B39" t="s">
        <v>156</v>
      </c>
      <c r="C39" t="s">
        <v>213</v>
      </c>
      <c r="D39" t="s">
        <v>214</v>
      </c>
      <c r="E39" t="s">
        <v>215</v>
      </c>
      <c r="F39" t="s">
        <v>27</v>
      </c>
      <c r="G39">
        <v>1</v>
      </c>
      <c r="H39" t="s">
        <v>216</v>
      </c>
      <c r="I39" t="s">
        <v>217</v>
      </c>
      <c r="J39" t="s">
        <v>218</v>
      </c>
      <c r="K39" t="s">
        <v>217</v>
      </c>
      <c r="L39" t="s">
        <v>219</v>
      </c>
      <c r="M39" s="1" t="str">
        <f t="shared" si="0"/>
        <v>12B501</v>
      </c>
      <c r="N39" s="1" t="str">
        <f t="shared" si="1"/>
        <v>C/O</v>
      </c>
      <c r="O39" s="1" t="str">
        <f t="shared" si="2"/>
        <v>Main Hydraulic Pump</v>
      </c>
      <c r="P39" s="1" t="str">
        <f t="shared" si="3"/>
        <v>NN60</v>
      </c>
      <c r="Q39" s="2" t="str">
        <f t="shared" si="4"/>
        <v>NN60Main Hydraulic Pump</v>
      </c>
      <c r="R39" s="2" t="str">
        <f>New_Xref[[#This Row],[Serial Prefix]]&amp;IF(New_Xref[[#This Row],[Func Loc]]&lt;&gt;"",New_Xref[[#This Row],[Func Loc]],"NO MATCH")</f>
        <v>NN60MYHD .PUMP.MAHP</v>
      </c>
      <c r="S39" s="3" t="str">
        <f t="shared" si="5"/>
        <v>NN604925107Main Hydraulic Pump</v>
      </c>
      <c r="T39" s="3" t="s">
        <v>220</v>
      </c>
      <c r="U39" s="3" t="s">
        <v>34</v>
      </c>
      <c r="V39" t="str">
        <f t="shared" si="6"/>
        <v>507000</v>
      </c>
    </row>
    <row r="40" spans="1:22">
      <c r="A40" t="s">
        <v>155</v>
      </c>
      <c r="B40" t="s">
        <v>156</v>
      </c>
      <c r="H40" t="s">
        <v>221</v>
      </c>
      <c r="I40" t="s">
        <v>222</v>
      </c>
      <c r="J40" t="s">
        <v>223</v>
      </c>
      <c r="K40" t="s">
        <v>222</v>
      </c>
      <c r="L40" t="s">
        <v>224</v>
      </c>
      <c r="M40" s="1" t="str">
        <f t="shared" si="0"/>
        <v>12B501</v>
      </c>
      <c r="N40" s="1" t="str">
        <f t="shared" si="1"/>
        <v>C/O</v>
      </c>
      <c r="O40" s="1" t="str">
        <f t="shared" si="2"/>
        <v>Blade Tilt Cylinder</v>
      </c>
      <c r="P40" s="1" t="str">
        <f t="shared" si="3"/>
        <v>NN60</v>
      </c>
      <c r="Q40" s="2" t="str">
        <f t="shared" si="4"/>
        <v>NN60Blade Tilt Cylinder</v>
      </c>
      <c r="R40" s="2" t="str">
        <f>New_Xref[[#This Row],[Serial Prefix]]&amp;IF(New_Xref[[#This Row],[Func Loc]]&lt;&gt;"",New_Xref[[#This Row],[Func Loc]],"NO MATCH")</f>
        <v>NN60MYHD .CYLI.BLTI</v>
      </c>
      <c r="S40" s="3" t="str">
        <f t="shared" si="5"/>
        <v>NN60Blade Tilt Cylinder</v>
      </c>
      <c r="T40" s="3" t="s">
        <v>225</v>
      </c>
      <c r="U40" s="3" t="s">
        <v>34</v>
      </c>
      <c r="V40" t="str">
        <f t="shared" si="6"/>
        <v>510600</v>
      </c>
    </row>
    <row r="41" spans="1:22">
      <c r="A41" t="s">
        <v>155</v>
      </c>
      <c r="B41" t="s">
        <v>156</v>
      </c>
      <c r="C41" t="s">
        <v>134</v>
      </c>
      <c r="D41" t="s">
        <v>135</v>
      </c>
      <c r="E41" t="s">
        <v>136</v>
      </c>
      <c r="F41" t="s">
        <v>125</v>
      </c>
      <c r="G41">
        <v>1</v>
      </c>
      <c r="H41" t="s">
        <v>226</v>
      </c>
      <c r="I41" t="s">
        <v>227</v>
      </c>
      <c r="J41" t="s">
        <v>228</v>
      </c>
      <c r="K41" t="s">
        <v>227</v>
      </c>
      <c r="L41" t="s">
        <v>140</v>
      </c>
      <c r="M41" s="1" t="str">
        <f t="shared" si="0"/>
        <v>12B501</v>
      </c>
      <c r="N41" s="1" t="str">
        <f t="shared" si="1"/>
        <v>C/O</v>
      </c>
      <c r="O41" s="1" t="str">
        <f t="shared" si="2"/>
        <v>Circle Drive Gearbox</v>
      </c>
      <c r="P41" s="1" t="str">
        <f t="shared" si="3"/>
        <v>NN60</v>
      </c>
      <c r="Q41" s="2" t="str">
        <f t="shared" si="4"/>
        <v>NN60Circle Drive Gearbox</v>
      </c>
      <c r="R41" s="2" t="str">
        <f>New_Xref[[#This Row],[Serial Prefix]]&amp;IF(New_Xref[[#This Row],[Func Loc]]&lt;&gt;"",New_Xref[[#This Row],[Func Loc]],"NO MATCH")</f>
        <v>NN60STRU .CHAS.CDGB</v>
      </c>
      <c r="S41" s="3" t="str">
        <f t="shared" si="5"/>
        <v>NN604827762XCircle Drive Gearbox</v>
      </c>
      <c r="T41" s="3" t="s">
        <v>141</v>
      </c>
      <c r="U41" s="3" t="s">
        <v>34</v>
      </c>
      <c r="V41" t="str">
        <f t="shared" si="6"/>
        <v>520700</v>
      </c>
    </row>
    <row r="42" spans="1:22">
      <c r="A42" t="s">
        <v>155</v>
      </c>
      <c r="B42" t="s">
        <v>156</v>
      </c>
      <c r="H42" t="s">
        <v>229</v>
      </c>
      <c r="I42" t="s">
        <v>230</v>
      </c>
      <c r="J42" t="s">
        <v>231</v>
      </c>
      <c r="K42" t="s">
        <v>230</v>
      </c>
      <c r="L42" t="s">
        <v>232</v>
      </c>
      <c r="M42" s="1" t="str">
        <f t="shared" si="0"/>
        <v>12B501</v>
      </c>
      <c r="N42" s="1" t="str">
        <f t="shared" si="1"/>
        <v>C/O</v>
      </c>
      <c r="O42" s="1" t="str">
        <f t="shared" si="2"/>
        <v>Centreshift Cylinder</v>
      </c>
      <c r="P42" s="1" t="str">
        <f t="shared" si="3"/>
        <v>NN60</v>
      </c>
      <c r="Q42" s="2" t="str">
        <f t="shared" si="4"/>
        <v>NN60Centreshift Cylinder</v>
      </c>
      <c r="R42" s="2" t="str">
        <f>New_Xref[[#This Row],[Serial Prefix]]&amp;IF(New_Xref[[#This Row],[Func Loc]]&lt;&gt;"",New_Xref[[#This Row],[Func Loc]],"NO MATCH")</f>
        <v>NN60MYHD .CYLI.CENT</v>
      </c>
      <c r="S42" s="3" t="str">
        <f t="shared" si="5"/>
        <v>NN60Centreshift Cylinder</v>
      </c>
      <c r="T42" s="3" t="s">
        <v>233</v>
      </c>
      <c r="U42" s="3" t="s">
        <v>34</v>
      </c>
      <c r="V42" t="str">
        <f t="shared" si="6"/>
        <v>522300</v>
      </c>
    </row>
    <row r="43" spans="1:22">
      <c r="A43" t="s">
        <v>155</v>
      </c>
      <c r="B43" t="s">
        <v>156</v>
      </c>
      <c r="C43" t="s">
        <v>234</v>
      </c>
      <c r="D43" t="s">
        <v>235</v>
      </c>
      <c r="E43" t="s">
        <v>236</v>
      </c>
      <c r="F43" t="s">
        <v>27</v>
      </c>
      <c r="G43">
        <v>1</v>
      </c>
      <c r="H43" t="s">
        <v>237</v>
      </c>
      <c r="I43" t="s">
        <v>238</v>
      </c>
      <c r="J43" t="s">
        <v>239</v>
      </c>
      <c r="K43" t="s">
        <v>238</v>
      </c>
      <c r="L43" t="s">
        <v>145</v>
      </c>
      <c r="M43" s="1" t="str">
        <f t="shared" si="0"/>
        <v>12B501</v>
      </c>
      <c r="N43" s="1" t="str">
        <f t="shared" si="1"/>
        <v>C/O</v>
      </c>
      <c r="O43" s="1" t="str">
        <f t="shared" si="2"/>
        <v>Articulation Cylinder LH</v>
      </c>
      <c r="P43" s="1" t="str">
        <f t="shared" si="3"/>
        <v>NN60</v>
      </c>
      <c r="Q43" s="2" t="str">
        <f t="shared" si="4"/>
        <v>NN60Articulation Cylinder LH</v>
      </c>
      <c r="R43" s="2" t="str">
        <f>New_Xref[[#This Row],[Serial Prefix]]&amp;IF(New_Xref[[#This Row],[Func Loc]]&lt;&gt;"",New_Xref[[#This Row],[Func Loc]],"NO MATCH")</f>
        <v>NN60MYHD .CYLI.ARTL</v>
      </c>
      <c r="S43" s="3" t="str">
        <f t="shared" si="5"/>
        <v>NN606058789Articulation Cylinder LH</v>
      </c>
      <c r="T43" s="3" t="s">
        <v>146</v>
      </c>
      <c r="U43" s="3" t="s">
        <v>108</v>
      </c>
      <c r="V43" t="str">
        <f t="shared" si="6"/>
        <v>5265LT</v>
      </c>
    </row>
    <row r="44" spans="1:22">
      <c r="A44" t="s">
        <v>155</v>
      </c>
      <c r="B44" t="s">
        <v>156</v>
      </c>
      <c r="C44" t="s">
        <v>234</v>
      </c>
      <c r="D44" t="s">
        <v>235</v>
      </c>
      <c r="E44" t="s">
        <v>236</v>
      </c>
      <c r="F44" t="s">
        <v>27</v>
      </c>
      <c r="G44">
        <v>1</v>
      </c>
      <c r="H44" t="s">
        <v>237</v>
      </c>
      <c r="I44" t="s">
        <v>240</v>
      </c>
      <c r="J44" t="s">
        <v>241</v>
      </c>
      <c r="K44" t="s">
        <v>240</v>
      </c>
      <c r="L44" t="s">
        <v>149</v>
      </c>
      <c r="M44" s="1" t="str">
        <f t="shared" si="0"/>
        <v>12B501</v>
      </c>
      <c r="N44" s="1" t="str">
        <f t="shared" si="1"/>
        <v>C/O</v>
      </c>
      <c r="O44" s="1" t="str">
        <f t="shared" si="2"/>
        <v>Articulation Cylinder RH</v>
      </c>
      <c r="P44" s="1" t="str">
        <f t="shared" si="3"/>
        <v>NN60</v>
      </c>
      <c r="Q44" s="2" t="str">
        <f t="shared" si="4"/>
        <v>NN60Articulation Cylinder RH</v>
      </c>
      <c r="R44" s="2" t="str">
        <f>New_Xref[[#This Row],[Serial Prefix]]&amp;IF(New_Xref[[#This Row],[Func Loc]]&lt;&gt;"",New_Xref[[#This Row],[Func Loc]],"NO MATCH")</f>
        <v>NN60MYHD .CYLI.ARTR</v>
      </c>
      <c r="S44" s="3" t="str">
        <f t="shared" si="5"/>
        <v>NN606058789Articulation Cylinder RH</v>
      </c>
      <c r="T44" s="3" t="s">
        <v>146</v>
      </c>
      <c r="U44" s="3" t="s">
        <v>115</v>
      </c>
      <c r="V44" t="str">
        <f t="shared" si="6"/>
        <v>5265RI</v>
      </c>
    </row>
    <row r="45" spans="1:22">
      <c r="A45" t="s">
        <v>155</v>
      </c>
      <c r="B45" t="s">
        <v>156</v>
      </c>
      <c r="H45" t="s">
        <v>242</v>
      </c>
      <c r="I45" t="s">
        <v>243</v>
      </c>
      <c r="J45" t="s">
        <v>244</v>
      </c>
      <c r="K45" t="s">
        <v>243</v>
      </c>
      <c r="L45" t="s">
        <v>245</v>
      </c>
      <c r="M45" s="1" t="str">
        <f t="shared" si="0"/>
        <v>12B501</v>
      </c>
      <c r="N45" s="1" t="str">
        <f t="shared" si="1"/>
        <v>C/O</v>
      </c>
      <c r="O45" s="1" t="str">
        <f t="shared" si="2"/>
        <v>Ripper Lift Cylinder</v>
      </c>
      <c r="P45" s="1" t="str">
        <f t="shared" si="3"/>
        <v>NN60</v>
      </c>
      <c r="Q45" s="2" t="str">
        <f t="shared" si="4"/>
        <v>NN60Ripper Lift Cylinder</v>
      </c>
      <c r="R45" s="2" t="str">
        <f>New_Xref[[#This Row],[Serial Prefix]]&amp;IF(New_Xref[[#This Row],[Func Loc]]&lt;&gt;"",New_Xref[[#This Row],[Func Loc]],"NO MATCH")</f>
        <v>NN60MYHD .CYLI.RILI</v>
      </c>
      <c r="S45" s="3" t="str">
        <f t="shared" si="5"/>
        <v>NN60Ripper Lift Cylinder</v>
      </c>
      <c r="T45" s="3" t="s">
        <v>246</v>
      </c>
      <c r="U45" s="3" t="s">
        <v>34</v>
      </c>
      <c r="V45" t="str">
        <f t="shared" si="6"/>
        <v>535200</v>
      </c>
    </row>
    <row r="46" spans="1:22">
      <c r="A46" t="s">
        <v>155</v>
      </c>
      <c r="B46" t="s">
        <v>156</v>
      </c>
      <c r="H46" t="s">
        <v>247</v>
      </c>
      <c r="I46" t="s">
        <v>248</v>
      </c>
      <c r="J46" t="s">
        <v>249</v>
      </c>
      <c r="K46" t="s">
        <v>248</v>
      </c>
      <c r="L46" t="s">
        <v>250</v>
      </c>
      <c r="M46" s="1" t="str">
        <f t="shared" si="0"/>
        <v>12B501</v>
      </c>
      <c r="N46" s="1" t="str">
        <f t="shared" si="1"/>
        <v>C/O</v>
      </c>
      <c r="O46" s="1" t="str">
        <f t="shared" si="2"/>
        <v>Blade Sideshift Cylinder</v>
      </c>
      <c r="P46" s="1" t="str">
        <f t="shared" si="3"/>
        <v>NN60</v>
      </c>
      <c r="Q46" s="2" t="str">
        <f t="shared" si="4"/>
        <v>NN60Blade Sideshift Cylinder</v>
      </c>
      <c r="R46" s="2" t="str">
        <f>New_Xref[[#This Row],[Serial Prefix]]&amp;IF(New_Xref[[#This Row],[Func Loc]]&lt;&gt;"",New_Xref[[#This Row],[Func Loc]],"NO MATCH")</f>
        <v>NN60MYHD .CYLI.BLSI</v>
      </c>
      <c r="S46" s="3" t="str">
        <f t="shared" si="5"/>
        <v>NN60Blade Sideshift Cylinder</v>
      </c>
      <c r="T46" s="3" t="s">
        <v>251</v>
      </c>
      <c r="U46" s="3" t="s">
        <v>34</v>
      </c>
      <c r="V46" t="str">
        <f t="shared" si="6"/>
        <v>580400</v>
      </c>
    </row>
    <row r="47" spans="1:22">
      <c r="A47" t="s">
        <v>252</v>
      </c>
      <c r="B47" t="s">
        <v>253</v>
      </c>
      <c r="C47" t="s">
        <v>254</v>
      </c>
      <c r="D47" t="s">
        <v>255</v>
      </c>
      <c r="E47" t="s">
        <v>256</v>
      </c>
      <c r="F47" t="s">
        <v>27</v>
      </c>
      <c r="G47">
        <v>1</v>
      </c>
      <c r="H47" t="s">
        <v>257</v>
      </c>
      <c r="I47" t="s">
        <v>258</v>
      </c>
      <c r="J47" t="s">
        <v>259</v>
      </c>
      <c r="K47" t="s">
        <v>260</v>
      </c>
      <c r="L47" t="s">
        <v>32</v>
      </c>
      <c r="M47" s="1" t="str">
        <f t="shared" si="0"/>
        <v>12B564</v>
      </c>
      <c r="N47" s="1" t="str">
        <f t="shared" si="1"/>
        <v>C/O</v>
      </c>
      <c r="O47" s="1" t="str">
        <f t="shared" si="2"/>
        <v>Engine</v>
      </c>
      <c r="P47" s="1" t="str">
        <f t="shared" si="3"/>
        <v>E9Z0</v>
      </c>
      <c r="Q47" s="2" t="str">
        <f t="shared" si="4"/>
        <v>E9Z0Engine</v>
      </c>
      <c r="R47" s="2" t="str">
        <f>New_Xref[[#This Row],[Serial Prefix]]&amp;IF(New_Xref[[#This Row],[Func Loc]]&lt;&gt;"",New_Xref[[#This Row],[Func Loc]],"NO MATCH")</f>
        <v>E9Z0ENGD</v>
      </c>
      <c r="S47" s="3" t="str">
        <f t="shared" si="5"/>
        <v>E9Z05875923XEngine</v>
      </c>
      <c r="T47" s="3" t="s">
        <v>33</v>
      </c>
      <c r="U47" s="3" t="s">
        <v>34</v>
      </c>
      <c r="V47" t="str">
        <f t="shared" si="6"/>
        <v>100000</v>
      </c>
    </row>
    <row r="48" spans="1:22">
      <c r="A48" t="s">
        <v>252</v>
      </c>
      <c r="B48" t="s">
        <v>253</v>
      </c>
      <c r="C48" t="s">
        <v>261</v>
      </c>
      <c r="D48" t="s">
        <v>262</v>
      </c>
      <c r="E48" t="s">
        <v>263</v>
      </c>
      <c r="F48" t="s">
        <v>27</v>
      </c>
      <c r="G48">
        <v>1</v>
      </c>
      <c r="H48" t="s">
        <v>264</v>
      </c>
      <c r="I48" t="s">
        <v>258</v>
      </c>
      <c r="J48" t="s">
        <v>265</v>
      </c>
      <c r="K48" t="s">
        <v>266</v>
      </c>
      <c r="L48" t="s">
        <v>267</v>
      </c>
      <c r="M48" s="1" t="str">
        <f t="shared" si="0"/>
        <v>12B564</v>
      </c>
      <c r="N48" s="1" t="str">
        <f t="shared" si="1"/>
        <v>C/O</v>
      </c>
      <c r="O48" s="1" t="str">
        <f t="shared" si="2"/>
        <v>Turbocharger LH</v>
      </c>
      <c r="P48" s="1" t="str">
        <f t="shared" si="3"/>
        <v>E9Z0</v>
      </c>
      <c r="Q48" s="2" t="str">
        <f t="shared" si="4"/>
        <v>E9Z0Turbocharger LH</v>
      </c>
      <c r="R48" s="2" t="str">
        <f>New_Xref[[#This Row],[Serial Prefix]]&amp;IF(New_Xref[[#This Row],[Func Loc]]&lt;&gt;"",New_Xref[[#This Row],[Func Loc]],"NO MATCH")</f>
        <v>E9Z0ENGD .TURB.TULH</v>
      </c>
      <c r="S48" s="3" t="str">
        <f t="shared" si="5"/>
        <v>E9Z030R0613Turbocharger LH</v>
      </c>
      <c r="T48" s="3" t="s">
        <v>47</v>
      </c>
      <c r="U48" s="3" t="s">
        <v>108</v>
      </c>
      <c r="V48" t="str">
        <f t="shared" si="6"/>
        <v>1052LT</v>
      </c>
    </row>
    <row r="49" spans="1:22">
      <c r="A49" t="s">
        <v>252</v>
      </c>
      <c r="B49" t="s">
        <v>253</v>
      </c>
      <c r="C49" t="s">
        <v>268</v>
      </c>
      <c r="D49" t="s">
        <v>269</v>
      </c>
      <c r="E49" t="s">
        <v>263</v>
      </c>
      <c r="F49" t="s">
        <v>27</v>
      </c>
      <c r="G49">
        <v>1</v>
      </c>
      <c r="H49" t="s">
        <v>270</v>
      </c>
      <c r="I49" t="s">
        <v>258</v>
      </c>
      <c r="J49" t="s">
        <v>271</v>
      </c>
      <c r="K49" t="s">
        <v>272</v>
      </c>
      <c r="L49" t="s">
        <v>273</v>
      </c>
      <c r="M49" s="1" t="str">
        <f t="shared" si="0"/>
        <v>12B564</v>
      </c>
      <c r="N49" s="1" t="str">
        <f t="shared" si="1"/>
        <v>C/O</v>
      </c>
      <c r="O49" s="1" t="str">
        <f t="shared" si="2"/>
        <v>Turbocharger RH</v>
      </c>
      <c r="P49" s="1" t="str">
        <f t="shared" si="3"/>
        <v>E9Z0</v>
      </c>
      <c r="Q49" s="2" t="str">
        <f t="shared" si="4"/>
        <v>E9Z0Turbocharger RH</v>
      </c>
      <c r="R49" s="2" t="str">
        <f>New_Xref[[#This Row],[Serial Prefix]]&amp;IF(New_Xref[[#This Row],[Func Loc]]&lt;&gt;"",New_Xref[[#This Row],[Func Loc]],"NO MATCH")</f>
        <v>E9Z0ENGD .TURB.TURH</v>
      </c>
      <c r="S49" s="3" t="str">
        <f t="shared" si="5"/>
        <v>E9Z030R0614Turbocharger RH</v>
      </c>
      <c r="T49" s="3" t="s">
        <v>47</v>
      </c>
      <c r="U49" s="3" t="s">
        <v>115</v>
      </c>
      <c r="V49" t="str">
        <f t="shared" si="6"/>
        <v>1052RI</v>
      </c>
    </row>
    <row r="50" spans="1:22">
      <c r="A50" t="s">
        <v>252</v>
      </c>
      <c r="B50" t="s">
        <v>253</v>
      </c>
      <c r="C50" t="s">
        <v>274</v>
      </c>
      <c r="D50" t="s">
        <v>275</v>
      </c>
      <c r="E50" t="s">
        <v>276</v>
      </c>
      <c r="F50" t="s">
        <v>27</v>
      </c>
      <c r="G50">
        <v>12</v>
      </c>
      <c r="H50" t="s">
        <v>277</v>
      </c>
      <c r="I50" t="s">
        <v>258</v>
      </c>
      <c r="J50" t="s">
        <v>278</v>
      </c>
      <c r="K50" t="s">
        <v>279</v>
      </c>
      <c r="L50" t="s">
        <v>62</v>
      </c>
      <c r="M50" s="1" t="str">
        <f t="shared" si="0"/>
        <v>12B564</v>
      </c>
      <c r="N50" s="1" t="str">
        <f t="shared" si="1"/>
        <v>C/O</v>
      </c>
      <c r="O50" s="1" t="str">
        <f t="shared" si="2"/>
        <v>Fuel Injectors</v>
      </c>
      <c r="P50" s="1" t="str">
        <f t="shared" si="3"/>
        <v>E9Z0</v>
      </c>
      <c r="Q50" s="2" t="str">
        <f t="shared" si="4"/>
        <v>E9Z0Fuel Injectors</v>
      </c>
      <c r="R50" s="2" t="str">
        <f>New_Xref[[#This Row],[Serial Prefix]]&amp;IF(New_Xref[[#This Row],[Func Loc]]&lt;&gt;"",New_Xref[[#This Row],[Func Loc]],"NO MATCH")</f>
        <v>E9Z0ENGD .FUEL.INJE</v>
      </c>
      <c r="S50" s="3" t="str">
        <f t="shared" si="5"/>
        <v>E9Z06470751Fuel Injectors</v>
      </c>
      <c r="T50" s="3" t="s">
        <v>63</v>
      </c>
      <c r="U50" s="3" t="s">
        <v>34</v>
      </c>
      <c r="V50" t="str">
        <f t="shared" si="6"/>
        <v>125100</v>
      </c>
    </row>
    <row r="51" spans="1:22">
      <c r="A51" t="s">
        <v>252</v>
      </c>
      <c r="B51" t="s">
        <v>253</v>
      </c>
      <c r="C51" t="s">
        <v>280</v>
      </c>
      <c r="D51" t="s">
        <v>281</v>
      </c>
      <c r="E51" t="s">
        <v>282</v>
      </c>
      <c r="F51" t="s">
        <v>27</v>
      </c>
      <c r="G51">
        <v>1</v>
      </c>
      <c r="H51" t="s">
        <v>283</v>
      </c>
      <c r="I51" t="s">
        <v>284</v>
      </c>
      <c r="J51" t="s">
        <v>285</v>
      </c>
      <c r="K51" t="s">
        <v>284</v>
      </c>
      <c r="L51" t="s">
        <v>67</v>
      </c>
      <c r="M51" s="1" t="str">
        <f t="shared" si="0"/>
        <v>12B564</v>
      </c>
      <c r="N51" s="1" t="str">
        <f t="shared" si="1"/>
        <v>C/O</v>
      </c>
      <c r="O51" s="1" t="str">
        <f t="shared" si="2"/>
        <v>Engine Radiator</v>
      </c>
      <c r="P51" s="1" t="str">
        <f t="shared" si="3"/>
        <v>E9Z0</v>
      </c>
      <c r="Q51" s="2" t="str">
        <f t="shared" si="4"/>
        <v>E9Z0Engine Radiator</v>
      </c>
      <c r="R51" s="2" t="str">
        <f>New_Xref[[#This Row],[Serial Prefix]]&amp;IF(New_Xref[[#This Row],[Func Loc]]&lt;&gt;"",New_Xref[[#This Row],[Func Loc]],"NO MATCH")</f>
        <v>E9Z0ENGD .ENCS.RADI</v>
      </c>
      <c r="S51" s="3" t="str">
        <f t="shared" si="5"/>
        <v>E9Z04933184FEngine Radiator</v>
      </c>
      <c r="T51" s="3" t="s">
        <v>68</v>
      </c>
      <c r="U51" s="3" t="s">
        <v>34</v>
      </c>
      <c r="V51" t="str">
        <f t="shared" si="6"/>
        <v>135300</v>
      </c>
    </row>
    <row r="52" spans="1:22">
      <c r="A52" t="s">
        <v>252</v>
      </c>
      <c r="B52" t="s">
        <v>253</v>
      </c>
      <c r="C52" t="s">
        <v>286</v>
      </c>
      <c r="D52" t="s">
        <v>287</v>
      </c>
      <c r="E52" t="s">
        <v>288</v>
      </c>
      <c r="F52" t="s">
        <v>27</v>
      </c>
      <c r="G52">
        <v>1</v>
      </c>
      <c r="H52" t="s">
        <v>289</v>
      </c>
      <c r="I52" t="s">
        <v>258</v>
      </c>
      <c r="J52" t="s">
        <v>290</v>
      </c>
      <c r="K52" t="s">
        <v>291</v>
      </c>
      <c r="L52" t="s">
        <v>182</v>
      </c>
      <c r="M52" s="1" t="str">
        <f t="shared" si="0"/>
        <v>12B564</v>
      </c>
      <c r="N52" s="1" t="str">
        <f t="shared" si="1"/>
        <v>C/O</v>
      </c>
      <c r="O52" s="1" t="str">
        <f t="shared" si="2"/>
        <v>Water Pump Main</v>
      </c>
      <c r="P52" s="1" t="str">
        <f t="shared" si="3"/>
        <v>E9Z0</v>
      </c>
      <c r="Q52" s="2" t="str">
        <f t="shared" si="4"/>
        <v>E9Z0Water Pump Main</v>
      </c>
      <c r="R52" s="2" t="str">
        <f>New_Xref[[#This Row],[Serial Prefix]]&amp;IF(New_Xref[[#This Row],[Func Loc]]&lt;&gt;"",New_Xref[[#This Row],[Func Loc]],"NO MATCH")</f>
        <v>E9Z0ENGD .WAPU.WAPM</v>
      </c>
      <c r="S52" s="3" t="str">
        <f t="shared" si="5"/>
        <v>E9Z020R1859Water Pump Main</v>
      </c>
      <c r="T52" s="3" t="s">
        <v>183</v>
      </c>
      <c r="U52" s="3" t="s">
        <v>34</v>
      </c>
      <c r="V52" t="str">
        <f t="shared" si="6"/>
        <v>136100</v>
      </c>
    </row>
    <row r="53" spans="1:22">
      <c r="A53" t="s">
        <v>252</v>
      </c>
      <c r="B53" t="s">
        <v>253</v>
      </c>
      <c r="C53" t="s">
        <v>292</v>
      </c>
      <c r="D53" t="s">
        <v>293</v>
      </c>
      <c r="E53" t="s">
        <v>191</v>
      </c>
      <c r="F53" t="s">
        <v>27</v>
      </c>
      <c r="G53">
        <v>1</v>
      </c>
      <c r="H53" t="s">
        <v>294</v>
      </c>
      <c r="I53" t="s">
        <v>295</v>
      </c>
      <c r="J53" t="s">
        <v>296</v>
      </c>
      <c r="K53" t="s">
        <v>295</v>
      </c>
      <c r="L53" t="s">
        <v>72</v>
      </c>
      <c r="M53" s="1" t="str">
        <f t="shared" si="0"/>
        <v>12B564</v>
      </c>
      <c r="N53" s="1" t="str">
        <f t="shared" si="1"/>
        <v>C/O</v>
      </c>
      <c r="O53" s="1" t="str">
        <f t="shared" si="2"/>
        <v>Transmission</v>
      </c>
      <c r="P53" s="1" t="str">
        <f t="shared" si="3"/>
        <v>E9Z0</v>
      </c>
      <c r="Q53" s="2" t="str">
        <f t="shared" si="4"/>
        <v>E9Z0Transmission</v>
      </c>
      <c r="R53" s="2" t="str">
        <f>New_Xref[[#This Row],[Serial Prefix]]&amp;IF(New_Xref[[#This Row],[Func Loc]]&lt;&gt;"",New_Xref[[#This Row],[Func Loc]],"NO MATCH")</f>
        <v>E9Z0TRAN .TRAN</v>
      </c>
      <c r="S53" s="3" t="str">
        <f t="shared" si="5"/>
        <v>E9Z05004282XTransmission</v>
      </c>
      <c r="T53" s="3" t="s">
        <v>73</v>
      </c>
      <c r="U53" s="3" t="s">
        <v>34</v>
      </c>
      <c r="V53" t="str">
        <f t="shared" si="6"/>
        <v>303000</v>
      </c>
    </row>
    <row r="54" spans="1:22">
      <c r="A54" t="s">
        <v>252</v>
      </c>
      <c r="B54" t="s">
        <v>297</v>
      </c>
      <c r="C54" t="s">
        <v>298</v>
      </c>
      <c r="D54" t="s">
        <v>299</v>
      </c>
      <c r="E54" t="s">
        <v>300</v>
      </c>
      <c r="F54" t="s">
        <v>27</v>
      </c>
      <c r="G54">
        <v>1</v>
      </c>
      <c r="H54" t="s">
        <v>301</v>
      </c>
      <c r="I54" t="s">
        <v>302</v>
      </c>
      <c r="J54" t="s">
        <v>303</v>
      </c>
      <c r="K54" t="s">
        <v>302</v>
      </c>
      <c r="L54" t="s">
        <v>304</v>
      </c>
      <c r="M54" s="1" t="str">
        <f t="shared" si="0"/>
        <v>12D531</v>
      </c>
      <c r="N54" s="1" t="str">
        <f t="shared" si="1"/>
        <v>C/O</v>
      </c>
      <c r="O54" s="1" t="str">
        <f t="shared" si="2"/>
        <v>Torque Converter</v>
      </c>
      <c r="P54" s="1" t="str">
        <f t="shared" si="3"/>
        <v>E9Z0</v>
      </c>
      <c r="Q54" s="2" t="str">
        <f t="shared" si="4"/>
        <v>E9Z0Torque Converter</v>
      </c>
      <c r="R54" s="2" t="str">
        <f>New_Xref[[#This Row],[Serial Prefix]]&amp;IF(New_Xref[[#This Row],[Func Loc]]&lt;&gt;"",New_Xref[[#This Row],[Func Loc]],"NO MATCH")</f>
        <v>E9Z0TRAN .TOCO</v>
      </c>
      <c r="S54" s="3" t="str">
        <f t="shared" si="5"/>
        <v>E9Z04532043XTorque Converter</v>
      </c>
      <c r="T54" s="3" t="s">
        <v>305</v>
      </c>
      <c r="U54" s="3" t="s">
        <v>34</v>
      </c>
      <c r="V54" t="str">
        <f t="shared" si="6"/>
        <v>310100</v>
      </c>
    </row>
    <row r="55" spans="1:22">
      <c r="A55" t="s">
        <v>252</v>
      </c>
      <c r="B55" t="s">
        <v>253</v>
      </c>
      <c r="C55" t="s">
        <v>306</v>
      </c>
      <c r="D55" t="s">
        <v>307</v>
      </c>
      <c r="E55" t="s">
        <v>308</v>
      </c>
      <c r="F55" t="s">
        <v>27</v>
      </c>
      <c r="G55">
        <v>1</v>
      </c>
      <c r="H55" t="s">
        <v>301</v>
      </c>
      <c r="I55" t="s">
        <v>309</v>
      </c>
      <c r="J55" t="s">
        <v>310</v>
      </c>
      <c r="K55" t="s">
        <v>309</v>
      </c>
      <c r="L55" t="s">
        <v>304</v>
      </c>
      <c r="M55" s="1" t="str">
        <f t="shared" si="0"/>
        <v>12B564</v>
      </c>
      <c r="N55" s="1" t="str">
        <f t="shared" si="1"/>
        <v>C/O</v>
      </c>
      <c r="O55" s="1" t="str">
        <f t="shared" si="2"/>
        <v>Torque Converter</v>
      </c>
      <c r="P55" s="1" t="str">
        <f t="shared" si="3"/>
        <v>E9Z0</v>
      </c>
      <c r="Q55" s="2" t="str">
        <f t="shared" si="4"/>
        <v>E9Z0Torque Converter</v>
      </c>
      <c r="R55" s="2" t="str">
        <f>New_Xref[[#This Row],[Serial Prefix]]&amp;IF(New_Xref[[#This Row],[Func Loc]]&lt;&gt;"",New_Xref[[#This Row],[Func Loc]],"NO MATCH")</f>
        <v>E9Z0TRAN .TOCO</v>
      </c>
      <c r="S55" s="3" t="str">
        <f t="shared" si="5"/>
        <v>E9Z020R9025Torque Converter</v>
      </c>
      <c r="T55" s="3" t="s">
        <v>305</v>
      </c>
      <c r="U55" s="3" t="s">
        <v>34</v>
      </c>
      <c r="V55" t="str">
        <f t="shared" si="6"/>
        <v>310100</v>
      </c>
    </row>
    <row r="56" spans="1:22">
      <c r="A56" t="s">
        <v>252</v>
      </c>
      <c r="B56" t="s">
        <v>253</v>
      </c>
      <c r="C56" t="s">
        <v>311</v>
      </c>
      <c r="D56" t="s">
        <v>312</v>
      </c>
      <c r="E56" t="s">
        <v>313</v>
      </c>
      <c r="F56" t="s">
        <v>27</v>
      </c>
      <c r="G56">
        <v>1</v>
      </c>
      <c r="H56" t="s">
        <v>314</v>
      </c>
      <c r="I56" t="s">
        <v>315</v>
      </c>
      <c r="J56" t="s">
        <v>316</v>
      </c>
      <c r="K56" t="s">
        <v>315</v>
      </c>
      <c r="L56" t="s">
        <v>198</v>
      </c>
      <c r="M56" s="1" t="str">
        <f t="shared" si="0"/>
        <v>12B564</v>
      </c>
      <c r="N56" s="1" t="str">
        <f t="shared" si="1"/>
        <v>C/O</v>
      </c>
      <c r="O56" s="1" t="str">
        <f t="shared" si="2"/>
        <v>Axle Assy Rear</v>
      </c>
      <c r="P56" s="1" t="str">
        <f t="shared" si="3"/>
        <v>E9Z0</v>
      </c>
      <c r="Q56" s="2" t="str">
        <f t="shared" si="4"/>
        <v>E9Z0Axle Assy Rear</v>
      </c>
      <c r="R56" s="2" t="str">
        <f>New_Xref[[#This Row],[Serial Prefix]]&amp;IF(New_Xref[[#This Row],[Func Loc]]&lt;&gt;"",New_Xref[[#This Row],[Func Loc]],"NO MATCH")</f>
        <v>E9Z0FDRV .AXAR</v>
      </c>
      <c r="S56" s="3" t="str">
        <f t="shared" si="5"/>
        <v>E9Z04420688XAxle Assy Rear</v>
      </c>
      <c r="T56" s="3" t="s">
        <v>84</v>
      </c>
      <c r="U56" s="3" t="s">
        <v>317</v>
      </c>
      <c r="V56" t="str">
        <f t="shared" si="6"/>
        <v>3278RE</v>
      </c>
    </row>
    <row r="57" spans="1:22">
      <c r="A57" t="s">
        <v>252</v>
      </c>
      <c r="B57" t="s">
        <v>253</v>
      </c>
      <c r="C57" t="s">
        <v>318</v>
      </c>
      <c r="D57" t="s">
        <v>319</v>
      </c>
      <c r="E57" t="s">
        <v>320</v>
      </c>
      <c r="F57" t="s">
        <v>27</v>
      </c>
      <c r="G57">
        <v>1</v>
      </c>
      <c r="H57" t="s">
        <v>321</v>
      </c>
      <c r="I57" t="s">
        <v>322</v>
      </c>
      <c r="J57" t="s">
        <v>323</v>
      </c>
      <c r="K57" t="s">
        <v>322</v>
      </c>
      <c r="L57" t="s">
        <v>324</v>
      </c>
      <c r="M57" s="1" t="str">
        <f t="shared" si="0"/>
        <v>12B564</v>
      </c>
      <c r="N57" s="1" t="str">
        <f t="shared" si="1"/>
        <v>C/O</v>
      </c>
      <c r="O57" s="1" t="str">
        <f t="shared" si="2"/>
        <v>Brake LHF</v>
      </c>
      <c r="P57" s="1" t="str">
        <f t="shared" si="3"/>
        <v>E9Z0</v>
      </c>
      <c r="Q57" s="2" t="str">
        <f t="shared" si="4"/>
        <v>E9Z0Brake LHF</v>
      </c>
      <c r="R57" s="2" t="str">
        <f>New_Xref[[#This Row],[Serial Prefix]]&amp;IF(New_Xref[[#This Row],[Func Loc]]&lt;&gt;"",New_Xref[[#This Row],[Func Loc]],"NO MATCH")</f>
        <v>E9Z0BRAK .SEBR.BTLF</v>
      </c>
      <c r="S57" s="3" t="str">
        <f t="shared" si="5"/>
        <v>E9Z020R9996Brake LHF</v>
      </c>
      <c r="T57" s="3" t="s">
        <v>205</v>
      </c>
      <c r="U57" s="3" t="s">
        <v>89</v>
      </c>
      <c r="V57" t="str">
        <f t="shared" si="6"/>
        <v>4251LF</v>
      </c>
    </row>
    <row r="58" spans="1:22">
      <c r="A58" t="s">
        <v>252</v>
      </c>
      <c r="B58" t="s">
        <v>253</v>
      </c>
      <c r="C58" t="s">
        <v>318</v>
      </c>
      <c r="D58" t="s">
        <v>319</v>
      </c>
      <c r="E58" t="s">
        <v>320</v>
      </c>
      <c r="F58" t="s">
        <v>27</v>
      </c>
      <c r="G58">
        <v>1</v>
      </c>
      <c r="H58" t="s">
        <v>325</v>
      </c>
      <c r="I58" t="s">
        <v>326</v>
      </c>
      <c r="J58" t="s">
        <v>327</v>
      </c>
      <c r="K58" t="s">
        <v>326</v>
      </c>
      <c r="L58" t="s">
        <v>328</v>
      </c>
      <c r="M58" s="1" t="str">
        <f t="shared" si="0"/>
        <v>12B564</v>
      </c>
      <c r="N58" s="1" t="str">
        <f t="shared" si="1"/>
        <v>C/O</v>
      </c>
      <c r="O58" s="1" t="str">
        <f t="shared" si="2"/>
        <v>Brake LHR</v>
      </c>
      <c r="P58" s="1" t="str">
        <f t="shared" si="3"/>
        <v>E9Z0</v>
      </c>
      <c r="Q58" s="2" t="str">
        <f t="shared" si="4"/>
        <v>E9Z0Brake LHR</v>
      </c>
      <c r="R58" s="2" t="str">
        <f>New_Xref[[#This Row],[Serial Prefix]]&amp;IF(New_Xref[[#This Row],[Func Loc]]&lt;&gt;"",New_Xref[[#This Row],[Func Loc]],"NO MATCH")</f>
        <v>E9Z0BRAK .SEBR.BTLR</v>
      </c>
      <c r="S58" s="3" t="str">
        <f t="shared" si="5"/>
        <v>E9Z020R9996Brake LHR</v>
      </c>
      <c r="T58" s="3" t="s">
        <v>205</v>
      </c>
      <c r="U58" s="3" t="s">
        <v>96</v>
      </c>
      <c r="V58" t="str">
        <f t="shared" si="6"/>
        <v>4251LR</v>
      </c>
    </row>
    <row r="59" spans="1:22">
      <c r="A59" t="s">
        <v>252</v>
      </c>
      <c r="B59" t="s">
        <v>253</v>
      </c>
      <c r="C59" t="s">
        <v>318</v>
      </c>
      <c r="D59" t="s">
        <v>319</v>
      </c>
      <c r="E59" t="s">
        <v>320</v>
      </c>
      <c r="F59" t="s">
        <v>27</v>
      </c>
      <c r="G59">
        <v>1</v>
      </c>
      <c r="H59" t="s">
        <v>321</v>
      </c>
      <c r="I59" t="s">
        <v>329</v>
      </c>
      <c r="J59" t="s">
        <v>330</v>
      </c>
      <c r="K59" t="s">
        <v>329</v>
      </c>
      <c r="L59" t="s">
        <v>331</v>
      </c>
      <c r="M59" s="1" t="str">
        <f t="shared" si="0"/>
        <v>12B564</v>
      </c>
      <c r="N59" s="1" t="str">
        <f t="shared" si="1"/>
        <v>C/O</v>
      </c>
      <c r="O59" s="1" t="str">
        <f t="shared" si="2"/>
        <v>Brake RHF</v>
      </c>
      <c r="P59" s="1" t="str">
        <f t="shared" si="3"/>
        <v>E9Z0</v>
      </c>
      <c r="Q59" s="2" t="str">
        <f t="shared" si="4"/>
        <v>E9Z0Brake RHF</v>
      </c>
      <c r="R59" s="2" t="str">
        <f>New_Xref[[#This Row],[Serial Prefix]]&amp;IF(New_Xref[[#This Row],[Func Loc]]&lt;&gt;"",New_Xref[[#This Row],[Func Loc]],"NO MATCH")</f>
        <v>E9Z0BRAK .SEBR.BTRF</v>
      </c>
      <c r="S59" s="3" t="str">
        <f t="shared" si="5"/>
        <v>E9Z020R9996Brake RHF</v>
      </c>
      <c r="T59" s="3" t="s">
        <v>205</v>
      </c>
      <c r="U59" s="3" t="s">
        <v>92</v>
      </c>
      <c r="V59" t="str">
        <f t="shared" si="6"/>
        <v>4251RF</v>
      </c>
    </row>
    <row r="60" spans="1:22">
      <c r="A60" t="s">
        <v>252</v>
      </c>
      <c r="B60" t="s">
        <v>253</v>
      </c>
      <c r="C60" t="s">
        <v>318</v>
      </c>
      <c r="D60" t="s">
        <v>319</v>
      </c>
      <c r="E60" t="s">
        <v>320</v>
      </c>
      <c r="F60" t="s">
        <v>27</v>
      </c>
      <c r="G60">
        <v>1</v>
      </c>
      <c r="H60" t="s">
        <v>325</v>
      </c>
      <c r="I60" t="s">
        <v>332</v>
      </c>
      <c r="J60" t="s">
        <v>333</v>
      </c>
      <c r="K60" t="s">
        <v>332</v>
      </c>
      <c r="L60" t="s">
        <v>334</v>
      </c>
      <c r="M60" s="1" t="str">
        <f t="shared" si="0"/>
        <v>12B564</v>
      </c>
      <c r="N60" s="1" t="str">
        <f t="shared" si="1"/>
        <v>C/O</v>
      </c>
      <c r="O60" s="1" t="str">
        <f t="shared" si="2"/>
        <v>Brake RHR</v>
      </c>
      <c r="P60" s="1" t="str">
        <f t="shared" si="3"/>
        <v>E9Z0</v>
      </c>
      <c r="Q60" s="2" t="str">
        <f t="shared" si="4"/>
        <v>E9Z0Brake RHR</v>
      </c>
      <c r="R60" s="2" t="str">
        <f>New_Xref[[#This Row],[Serial Prefix]]&amp;IF(New_Xref[[#This Row],[Func Loc]]&lt;&gt;"",New_Xref[[#This Row],[Func Loc]],"NO MATCH")</f>
        <v>E9Z0BRAK .SEBR.BTRR</v>
      </c>
      <c r="S60" s="3" t="str">
        <f t="shared" si="5"/>
        <v>E9Z020R9996Brake RHR</v>
      </c>
      <c r="T60" s="3" t="s">
        <v>205</v>
      </c>
      <c r="U60" s="3" t="s">
        <v>99</v>
      </c>
      <c r="V60" t="str">
        <f t="shared" si="6"/>
        <v>4251RR</v>
      </c>
    </row>
    <row r="61" spans="1:22">
      <c r="A61" t="s">
        <v>252</v>
      </c>
      <c r="B61" t="s">
        <v>253</v>
      </c>
      <c r="C61" t="s">
        <v>335</v>
      </c>
      <c r="D61" t="s">
        <v>336</v>
      </c>
      <c r="E61" t="s">
        <v>337</v>
      </c>
      <c r="F61" t="s">
        <v>27</v>
      </c>
      <c r="G61">
        <v>1</v>
      </c>
      <c r="H61" t="s">
        <v>338</v>
      </c>
      <c r="I61" t="s">
        <v>339</v>
      </c>
      <c r="J61" t="s">
        <v>340</v>
      </c>
      <c r="K61" t="s">
        <v>339</v>
      </c>
      <c r="L61" t="s">
        <v>341</v>
      </c>
      <c r="M61" s="1" t="str">
        <f t="shared" si="0"/>
        <v>12B564</v>
      </c>
      <c r="N61" s="1" t="str">
        <f t="shared" si="1"/>
        <v>C/O</v>
      </c>
      <c r="O61" s="1" t="str">
        <f t="shared" si="2"/>
        <v>Primary Steering Pump</v>
      </c>
      <c r="P61" s="1" t="str">
        <f t="shared" si="3"/>
        <v>E9Z0</v>
      </c>
      <c r="Q61" s="2" t="str">
        <f t="shared" si="4"/>
        <v>E9Z0Primary Steering Pump</v>
      </c>
      <c r="R61" s="2" t="str">
        <f>New_Xref[[#This Row],[Serial Prefix]]&amp;IF(New_Xref[[#This Row],[Func Loc]]&lt;&gt;"",New_Xref[[#This Row],[Func Loc]],"NO MATCH")</f>
        <v>E9Z0STRG .PUMP.PRSP</v>
      </c>
      <c r="S61" s="3" t="str">
        <f t="shared" si="5"/>
        <v>E9Z030R0975Primary Steering Pump</v>
      </c>
      <c r="T61" s="3" t="s">
        <v>342</v>
      </c>
      <c r="U61" s="3" t="s">
        <v>34</v>
      </c>
      <c r="V61" t="str">
        <f t="shared" si="6"/>
        <v>430600</v>
      </c>
    </row>
    <row r="62" spans="1:22">
      <c r="A62" t="s">
        <v>252</v>
      </c>
      <c r="B62" t="s">
        <v>253</v>
      </c>
      <c r="C62" t="s">
        <v>343</v>
      </c>
      <c r="D62" t="s">
        <v>344</v>
      </c>
      <c r="E62" t="s">
        <v>345</v>
      </c>
      <c r="F62" t="s">
        <v>27</v>
      </c>
      <c r="G62">
        <v>1</v>
      </c>
      <c r="H62" t="s">
        <v>346</v>
      </c>
      <c r="I62" t="s">
        <v>347</v>
      </c>
      <c r="J62" t="s">
        <v>348</v>
      </c>
      <c r="K62" t="s">
        <v>349</v>
      </c>
      <c r="L62" t="s">
        <v>350</v>
      </c>
      <c r="M62" s="1" t="str">
        <f t="shared" si="0"/>
        <v>12B564</v>
      </c>
      <c r="N62" s="1" t="str">
        <f t="shared" si="1"/>
        <v>C/O</v>
      </c>
      <c r="O62" s="1" t="str">
        <f t="shared" si="2"/>
        <v>Axle Assembly Front</v>
      </c>
      <c r="P62" s="1" t="str">
        <f t="shared" si="3"/>
        <v>E9Z0</v>
      </c>
      <c r="Q62" s="2" t="str">
        <f t="shared" si="4"/>
        <v>E9Z0Axle Assembly Front</v>
      </c>
      <c r="R62" s="2" t="str">
        <f>New_Xref[[#This Row],[Serial Prefix]]&amp;IF(New_Xref[[#This Row],[Func Loc]]&lt;&gt;"",New_Xref[[#This Row],[Func Loc]],"NO MATCH")</f>
        <v>E9Z0FDRV .AXAF</v>
      </c>
      <c r="S62" s="3" t="str">
        <f t="shared" si="5"/>
        <v>E9Z04421947XAxle Assembly Front</v>
      </c>
      <c r="T62" s="3" t="s">
        <v>351</v>
      </c>
      <c r="U62" s="3" t="s">
        <v>34</v>
      </c>
      <c r="V62" t="str">
        <f t="shared" si="6"/>
        <v>431300</v>
      </c>
    </row>
    <row r="63" spans="1:22">
      <c r="A63" t="s">
        <v>252</v>
      </c>
      <c r="B63" t="s">
        <v>253</v>
      </c>
      <c r="C63" t="s">
        <v>352</v>
      </c>
      <c r="D63" t="s">
        <v>353</v>
      </c>
      <c r="E63" t="s">
        <v>354</v>
      </c>
      <c r="F63" t="s">
        <v>27</v>
      </c>
      <c r="G63">
        <v>1</v>
      </c>
      <c r="H63" t="s">
        <v>355</v>
      </c>
      <c r="I63" t="s">
        <v>356</v>
      </c>
      <c r="J63" t="s">
        <v>357</v>
      </c>
      <c r="K63" t="s">
        <v>356</v>
      </c>
      <c r="L63" t="s">
        <v>358</v>
      </c>
      <c r="M63" s="1" t="str">
        <f t="shared" si="0"/>
        <v>12B564</v>
      </c>
      <c r="N63" s="1" t="str">
        <f t="shared" si="1"/>
        <v>C/O</v>
      </c>
      <c r="O63" s="1" t="str">
        <f t="shared" si="2"/>
        <v>Centre Joint</v>
      </c>
      <c r="P63" s="1" t="str">
        <f t="shared" si="3"/>
        <v>E9Z0</v>
      </c>
      <c r="Q63" s="2" t="str">
        <f t="shared" si="4"/>
        <v>E9Z0Centre Joint</v>
      </c>
      <c r="R63" s="2" t="str">
        <f>New_Xref[[#This Row],[Serial Prefix]]&amp;IF(New_Xref[[#This Row],[Func Loc]]&lt;&gt;"",New_Xref[[#This Row],[Func Loc]],"NO MATCH")</f>
        <v>E9Z0MYHD .VALV.CEJO</v>
      </c>
      <c r="S63" s="3" t="str">
        <f t="shared" si="5"/>
        <v>E9Z04529419Centre Joint</v>
      </c>
      <c r="T63" s="3" t="s">
        <v>359</v>
      </c>
      <c r="U63" s="3" t="s">
        <v>34</v>
      </c>
      <c r="V63" t="str">
        <f t="shared" si="6"/>
        <v>506000</v>
      </c>
    </row>
    <row r="64" spans="1:22">
      <c r="A64" t="s">
        <v>252</v>
      </c>
      <c r="B64" t="s">
        <v>253</v>
      </c>
      <c r="C64" t="s">
        <v>360</v>
      </c>
      <c r="D64" t="s">
        <v>361</v>
      </c>
      <c r="E64" t="s">
        <v>337</v>
      </c>
      <c r="F64" t="s">
        <v>27</v>
      </c>
      <c r="G64">
        <v>1</v>
      </c>
      <c r="H64" t="s">
        <v>362</v>
      </c>
      <c r="I64" t="s">
        <v>363</v>
      </c>
      <c r="J64" t="s">
        <v>364</v>
      </c>
      <c r="K64" t="s">
        <v>363</v>
      </c>
      <c r="L64" t="s">
        <v>365</v>
      </c>
      <c r="M64" s="1" t="str">
        <f t="shared" si="0"/>
        <v>12B564</v>
      </c>
      <c r="N64" s="1" t="str">
        <f t="shared" si="1"/>
        <v>C/O</v>
      </c>
      <c r="O64" s="1" t="str">
        <f t="shared" si="2"/>
        <v>Engine Cooling Fan Pump</v>
      </c>
      <c r="P64" s="1" t="str">
        <f t="shared" si="3"/>
        <v>E9Z0</v>
      </c>
      <c r="Q64" s="2" t="str">
        <f t="shared" si="4"/>
        <v>E9Z0Engine Cooling Fan Pump</v>
      </c>
      <c r="R64" s="2" t="str">
        <f>New_Xref[[#This Row],[Serial Prefix]]&amp;IF(New_Xref[[#This Row],[Func Loc]]&lt;&gt;"",New_Xref[[#This Row],[Func Loc]],"NO MATCH")</f>
        <v>E9Z0MYHD .PUMP.ECFP</v>
      </c>
      <c r="S64" s="3" t="str">
        <f t="shared" si="5"/>
        <v>E9Z030R0977Engine Cooling Fan Pump</v>
      </c>
      <c r="T64" s="3" t="s">
        <v>220</v>
      </c>
      <c r="U64" s="3" t="s">
        <v>34</v>
      </c>
      <c r="V64" t="str">
        <f t="shared" si="6"/>
        <v>507000</v>
      </c>
    </row>
    <row r="65" spans="1:22">
      <c r="A65" t="s">
        <v>252</v>
      </c>
      <c r="B65" t="s">
        <v>253</v>
      </c>
      <c r="C65" t="s">
        <v>366</v>
      </c>
      <c r="D65" t="s">
        <v>367</v>
      </c>
      <c r="E65" t="s">
        <v>337</v>
      </c>
      <c r="F65" t="s">
        <v>27</v>
      </c>
      <c r="G65">
        <v>1</v>
      </c>
      <c r="H65" t="s">
        <v>368</v>
      </c>
      <c r="I65" t="s">
        <v>369</v>
      </c>
      <c r="J65" t="s">
        <v>370</v>
      </c>
      <c r="K65" t="s">
        <v>369</v>
      </c>
      <c r="L65" t="s">
        <v>219</v>
      </c>
      <c r="M65" s="1" t="str">
        <f t="shared" si="0"/>
        <v>12B564</v>
      </c>
      <c r="N65" s="1" t="str">
        <f t="shared" si="1"/>
        <v>C/O</v>
      </c>
      <c r="O65" s="1" t="str">
        <f t="shared" si="2"/>
        <v>Main Hydraulic Pump</v>
      </c>
      <c r="P65" s="1" t="str">
        <f t="shared" si="3"/>
        <v>E9Z0</v>
      </c>
      <c r="Q65" s="2" t="str">
        <f t="shared" si="4"/>
        <v>E9Z0Main Hydraulic Pump</v>
      </c>
      <c r="R65" s="2" t="str">
        <f>New_Xref[[#This Row],[Serial Prefix]]&amp;IF(New_Xref[[#This Row],[Func Loc]]&lt;&gt;"",New_Xref[[#This Row],[Func Loc]],"NO MATCH")</f>
        <v>E9Z0MYHD .PUMP.MAHP</v>
      </c>
      <c r="S65" s="3" t="str">
        <f t="shared" si="5"/>
        <v>E9Z030R0974Main Hydraulic Pump</v>
      </c>
      <c r="T65" s="3" t="s">
        <v>371</v>
      </c>
      <c r="U65" s="3" t="s">
        <v>34</v>
      </c>
      <c r="V65" t="str">
        <f t="shared" si="6"/>
        <v>508400</v>
      </c>
    </row>
    <row r="66" spans="1:22">
      <c r="A66" t="s">
        <v>252</v>
      </c>
      <c r="B66" t="s">
        <v>297</v>
      </c>
      <c r="H66" t="s">
        <v>372</v>
      </c>
      <c r="I66" t="s">
        <v>373</v>
      </c>
      <c r="J66" t="s">
        <v>374</v>
      </c>
      <c r="K66" t="s">
        <v>373</v>
      </c>
      <c r="L66" t="s">
        <v>375</v>
      </c>
      <c r="M66" s="1" t="str">
        <f t="shared" ref="M66:M129" si="7">LEFT(K66,FIND(" ",K66,1)-1)</f>
        <v>12D531</v>
      </c>
      <c r="N66" s="1" t="str">
        <f t="shared" ref="N66:N129" si="8">MID(K66,LEN(M66)+2,FIND(" ",K66,LEN(M66)+2)-LEN(M66)-2)</f>
        <v>C/O</v>
      </c>
      <c r="O66" s="1" t="str">
        <f t="shared" ref="O66:O129" si="9">MID(K66,FIND(N66,K66,1)+LEN(N66)+1, 150)</f>
        <v>Blade Tilt Cylinder LH</v>
      </c>
      <c r="P66" s="1" t="str">
        <f t="shared" ref="P66:P129" si="10">LEFT(B66,4)</f>
        <v>E9Z0</v>
      </c>
      <c r="Q66" s="2" t="str">
        <f t="shared" ref="Q66:Q129" si="11">P66&amp;O66</f>
        <v>E9Z0Blade Tilt Cylinder LH</v>
      </c>
      <c r="R66" s="2" t="str">
        <f>New_Xref[[#This Row],[Serial Prefix]]&amp;IF(New_Xref[[#This Row],[Func Loc]]&lt;&gt;"",New_Xref[[#This Row],[Func Loc]],"NO MATCH")</f>
        <v>E9Z0MYHD .CYLI.BLTL</v>
      </c>
      <c r="S66" s="3" t="str">
        <f t="shared" ref="S66:S129" si="12">P66&amp;D66&amp;O66</f>
        <v>E9Z0Blade Tilt Cylinder LH</v>
      </c>
      <c r="T66" s="3" t="s">
        <v>225</v>
      </c>
      <c r="U66" s="3" t="s">
        <v>108</v>
      </c>
      <c r="V66" t="str">
        <f t="shared" ref="V66:V129" si="13">LEFT(T66,FIND(" -",T66,1)-1)&amp;LEFT(U66,FIND(" -",U66,1)-1)</f>
        <v>5106LT</v>
      </c>
    </row>
    <row r="67" spans="1:22">
      <c r="A67" t="s">
        <v>252</v>
      </c>
      <c r="B67" t="s">
        <v>297</v>
      </c>
      <c r="H67" t="s">
        <v>372</v>
      </c>
      <c r="I67" t="s">
        <v>376</v>
      </c>
      <c r="J67" t="s">
        <v>377</v>
      </c>
      <c r="K67" t="s">
        <v>376</v>
      </c>
      <c r="L67" t="s">
        <v>378</v>
      </c>
      <c r="M67" s="1" t="str">
        <f t="shared" si="7"/>
        <v>12D531</v>
      </c>
      <c r="N67" s="1" t="str">
        <f t="shared" si="8"/>
        <v>C/O</v>
      </c>
      <c r="O67" s="1" t="str">
        <f t="shared" si="9"/>
        <v>Blade Tilt Cylinder RH</v>
      </c>
      <c r="P67" s="1" t="str">
        <f t="shared" si="10"/>
        <v>E9Z0</v>
      </c>
      <c r="Q67" s="2" t="str">
        <f t="shared" si="11"/>
        <v>E9Z0Blade Tilt Cylinder RH</v>
      </c>
      <c r="R67" s="2" t="str">
        <f>New_Xref[[#This Row],[Serial Prefix]]&amp;IF(New_Xref[[#This Row],[Func Loc]]&lt;&gt;"",New_Xref[[#This Row],[Func Loc]],"NO MATCH")</f>
        <v>E9Z0MYHD .CYLI.BLTR</v>
      </c>
      <c r="S67" s="3" t="str">
        <f t="shared" si="12"/>
        <v>E9Z0Blade Tilt Cylinder RH</v>
      </c>
      <c r="T67" s="3" t="s">
        <v>225</v>
      </c>
      <c r="U67" s="3" t="s">
        <v>115</v>
      </c>
      <c r="V67" t="str">
        <f t="shared" si="13"/>
        <v>5106RI</v>
      </c>
    </row>
    <row r="68" spans="1:22">
      <c r="A68" t="s">
        <v>252</v>
      </c>
      <c r="B68" t="s">
        <v>297</v>
      </c>
      <c r="C68" t="s">
        <v>379</v>
      </c>
      <c r="D68" t="s">
        <v>380</v>
      </c>
      <c r="E68" t="s">
        <v>381</v>
      </c>
      <c r="F68" t="s">
        <v>27</v>
      </c>
      <c r="G68">
        <v>1</v>
      </c>
      <c r="H68" t="s">
        <v>382</v>
      </c>
      <c r="I68" t="s">
        <v>383</v>
      </c>
      <c r="J68" t="s">
        <v>384</v>
      </c>
      <c r="K68" t="s">
        <v>383</v>
      </c>
      <c r="L68" t="s">
        <v>385</v>
      </c>
      <c r="M68" s="1" t="str">
        <f t="shared" si="7"/>
        <v>12D531</v>
      </c>
      <c r="N68" s="1" t="str">
        <f t="shared" si="8"/>
        <v>C/O</v>
      </c>
      <c r="O68" s="1" t="str">
        <f t="shared" si="9"/>
        <v>Circle Drive Gearbox Front</v>
      </c>
      <c r="P68" s="1" t="str">
        <f t="shared" si="10"/>
        <v>E9Z0</v>
      </c>
      <c r="Q68" s="2" t="str">
        <f t="shared" si="11"/>
        <v>E9Z0Circle Drive Gearbox Front</v>
      </c>
      <c r="R68" s="2" t="str">
        <f>New_Xref[[#This Row],[Serial Prefix]]&amp;IF(New_Xref[[#This Row],[Func Loc]]&lt;&gt;"",New_Xref[[#This Row],[Func Loc]],"NO MATCH")</f>
        <v>E9Z0STRU .CHAS.CDGF</v>
      </c>
      <c r="S68" s="3" t="str">
        <f t="shared" si="12"/>
        <v>E9Z04588755XCircle Drive Gearbox Front</v>
      </c>
      <c r="T68" s="3" t="s">
        <v>141</v>
      </c>
      <c r="U68" s="3" t="s">
        <v>386</v>
      </c>
      <c r="V68" t="str">
        <f t="shared" si="13"/>
        <v>5207FR</v>
      </c>
    </row>
    <row r="69" spans="1:22">
      <c r="A69" t="s">
        <v>252</v>
      </c>
      <c r="B69" t="s">
        <v>297</v>
      </c>
      <c r="C69" t="s">
        <v>379</v>
      </c>
      <c r="D69" t="s">
        <v>380</v>
      </c>
      <c r="E69" t="s">
        <v>381</v>
      </c>
      <c r="F69" t="s">
        <v>27</v>
      </c>
      <c r="G69">
        <v>1</v>
      </c>
      <c r="H69" t="s">
        <v>382</v>
      </c>
      <c r="I69" t="s">
        <v>387</v>
      </c>
      <c r="J69" t="s">
        <v>388</v>
      </c>
      <c r="K69" t="s">
        <v>387</v>
      </c>
      <c r="L69" t="s">
        <v>389</v>
      </c>
      <c r="M69" s="1" t="str">
        <f t="shared" si="7"/>
        <v>12D531</v>
      </c>
      <c r="N69" s="1" t="str">
        <f t="shared" si="8"/>
        <v>C/O</v>
      </c>
      <c r="O69" s="1" t="str">
        <f t="shared" si="9"/>
        <v>Circle Drive Gearbox Rear</v>
      </c>
      <c r="P69" s="1" t="str">
        <f t="shared" si="10"/>
        <v>E9Z0</v>
      </c>
      <c r="Q69" s="2" t="str">
        <f t="shared" si="11"/>
        <v>E9Z0Circle Drive Gearbox Rear</v>
      </c>
      <c r="R69" s="2" t="str">
        <f>New_Xref[[#This Row],[Serial Prefix]]&amp;IF(New_Xref[[#This Row],[Func Loc]]&lt;&gt;"",New_Xref[[#This Row],[Func Loc]],"NO MATCH")</f>
        <v>E9Z0STRU .CHAS.CDGR</v>
      </c>
      <c r="S69" s="3" t="str">
        <f t="shared" si="12"/>
        <v>E9Z04588755XCircle Drive Gearbox Rear</v>
      </c>
      <c r="T69" s="3" t="s">
        <v>141</v>
      </c>
      <c r="U69" s="3" t="s">
        <v>317</v>
      </c>
      <c r="V69" t="str">
        <f t="shared" si="13"/>
        <v>5207RE</v>
      </c>
    </row>
    <row r="70" spans="1:22">
      <c r="A70" t="s">
        <v>252</v>
      </c>
      <c r="B70" t="s">
        <v>390</v>
      </c>
      <c r="H70" t="s">
        <v>391</v>
      </c>
      <c r="I70" t="s">
        <v>392</v>
      </c>
      <c r="J70" t="s">
        <v>393</v>
      </c>
      <c r="K70" t="s">
        <v>392</v>
      </c>
      <c r="L70" t="s">
        <v>232</v>
      </c>
      <c r="M70" s="1" t="str">
        <f t="shared" si="7"/>
        <v>12H476</v>
      </c>
      <c r="N70" s="1" t="str">
        <f t="shared" si="8"/>
        <v>C/O</v>
      </c>
      <c r="O70" s="1" t="str">
        <f t="shared" si="9"/>
        <v>Centreshift Cylinder</v>
      </c>
      <c r="P70" s="1" t="str">
        <f t="shared" si="10"/>
        <v>E9Z0</v>
      </c>
      <c r="Q70" s="2" t="str">
        <f t="shared" si="11"/>
        <v>E9Z0Centreshift Cylinder</v>
      </c>
      <c r="R70" s="2" t="str">
        <f>New_Xref[[#This Row],[Serial Prefix]]&amp;IF(New_Xref[[#This Row],[Func Loc]]&lt;&gt;"",New_Xref[[#This Row],[Func Loc]],"NO MATCH")</f>
        <v>E9Z0MYHD .CYLI.CENT</v>
      </c>
      <c r="S70" s="3" t="str">
        <f t="shared" si="12"/>
        <v>E9Z0Centreshift Cylinder</v>
      </c>
      <c r="T70" s="3" t="s">
        <v>233</v>
      </c>
      <c r="U70" s="3" t="s">
        <v>34</v>
      </c>
      <c r="V70" t="str">
        <f t="shared" si="13"/>
        <v>522300</v>
      </c>
    </row>
    <row r="71" spans="1:22">
      <c r="A71" t="s">
        <v>252</v>
      </c>
      <c r="B71" t="s">
        <v>297</v>
      </c>
      <c r="H71" t="s">
        <v>394</v>
      </c>
      <c r="I71" t="s">
        <v>395</v>
      </c>
      <c r="J71" t="s">
        <v>396</v>
      </c>
      <c r="K71" t="s">
        <v>395</v>
      </c>
      <c r="L71" t="s">
        <v>250</v>
      </c>
      <c r="M71" s="1" t="str">
        <f t="shared" si="7"/>
        <v>12D531</v>
      </c>
      <c r="N71" s="1" t="str">
        <f t="shared" si="8"/>
        <v>C/O</v>
      </c>
      <c r="O71" s="1" t="str">
        <f t="shared" si="9"/>
        <v>Blade Sideshift Cylinder</v>
      </c>
      <c r="P71" s="1" t="str">
        <f t="shared" si="10"/>
        <v>E9Z0</v>
      </c>
      <c r="Q71" s="2" t="str">
        <f t="shared" si="11"/>
        <v>E9Z0Blade Sideshift Cylinder</v>
      </c>
      <c r="R71" s="2" t="str">
        <f>New_Xref[[#This Row],[Serial Prefix]]&amp;IF(New_Xref[[#This Row],[Func Loc]]&lt;&gt;"",New_Xref[[#This Row],[Func Loc]],"NO MATCH")</f>
        <v>E9Z0MYHD .CYLI.BLSI</v>
      </c>
      <c r="S71" s="3" t="str">
        <f t="shared" si="12"/>
        <v>E9Z0Blade Sideshift Cylinder</v>
      </c>
      <c r="T71" s="3" t="s">
        <v>397</v>
      </c>
      <c r="U71" s="3" t="s">
        <v>34</v>
      </c>
      <c r="V71" t="str">
        <f t="shared" si="13"/>
        <v>522900</v>
      </c>
    </row>
    <row r="72" spans="1:22">
      <c r="A72" t="s">
        <v>252</v>
      </c>
      <c r="B72" t="s">
        <v>253</v>
      </c>
      <c r="H72" t="s">
        <v>398</v>
      </c>
      <c r="I72" t="s">
        <v>399</v>
      </c>
      <c r="J72" t="s">
        <v>400</v>
      </c>
      <c r="K72" t="s">
        <v>399</v>
      </c>
      <c r="L72" t="s">
        <v>145</v>
      </c>
      <c r="M72" s="1" t="str">
        <f t="shared" si="7"/>
        <v>12B564</v>
      </c>
      <c r="N72" s="1" t="str">
        <f t="shared" si="8"/>
        <v>C/O</v>
      </c>
      <c r="O72" s="1" t="str">
        <f t="shared" si="9"/>
        <v>Articulation Cylinder LH</v>
      </c>
      <c r="P72" s="1" t="str">
        <f t="shared" si="10"/>
        <v>E9Z0</v>
      </c>
      <c r="Q72" s="2" t="str">
        <f t="shared" si="11"/>
        <v>E9Z0Articulation Cylinder LH</v>
      </c>
      <c r="R72" s="2" t="str">
        <f>New_Xref[[#This Row],[Serial Prefix]]&amp;IF(New_Xref[[#This Row],[Func Loc]]&lt;&gt;"",New_Xref[[#This Row],[Func Loc]],"NO MATCH")</f>
        <v>E9Z0MYHD .CYLI.ARTL</v>
      </c>
      <c r="S72" s="3" t="str">
        <f t="shared" si="12"/>
        <v>E9Z0Articulation Cylinder LH</v>
      </c>
      <c r="T72" s="3" t="s">
        <v>146</v>
      </c>
      <c r="U72" s="3" t="s">
        <v>108</v>
      </c>
      <c r="V72" t="str">
        <f t="shared" si="13"/>
        <v>5265LT</v>
      </c>
    </row>
    <row r="73" spans="1:22">
      <c r="A73" t="s">
        <v>252</v>
      </c>
      <c r="B73" t="s">
        <v>253</v>
      </c>
      <c r="H73" t="s">
        <v>398</v>
      </c>
      <c r="I73" t="s">
        <v>401</v>
      </c>
      <c r="J73" t="s">
        <v>402</v>
      </c>
      <c r="K73" t="s">
        <v>401</v>
      </c>
      <c r="L73" t="s">
        <v>149</v>
      </c>
      <c r="M73" s="1" t="str">
        <f t="shared" si="7"/>
        <v>12B564</v>
      </c>
      <c r="N73" s="1" t="str">
        <f t="shared" si="8"/>
        <v>C/O</v>
      </c>
      <c r="O73" s="1" t="str">
        <f t="shared" si="9"/>
        <v>Articulation Cylinder RH</v>
      </c>
      <c r="P73" s="1" t="str">
        <f t="shared" si="10"/>
        <v>E9Z0</v>
      </c>
      <c r="Q73" s="2" t="str">
        <f t="shared" si="11"/>
        <v>E9Z0Articulation Cylinder RH</v>
      </c>
      <c r="R73" s="2" t="str">
        <f>New_Xref[[#This Row],[Serial Prefix]]&amp;IF(New_Xref[[#This Row],[Func Loc]]&lt;&gt;"",New_Xref[[#This Row],[Func Loc]],"NO MATCH")</f>
        <v>E9Z0MYHD .CYLI.ARTR</v>
      </c>
      <c r="S73" s="3" t="str">
        <f t="shared" si="12"/>
        <v>E9Z0Articulation Cylinder RH</v>
      </c>
      <c r="T73" s="3" t="s">
        <v>146</v>
      </c>
      <c r="U73" s="3" t="s">
        <v>115</v>
      </c>
      <c r="V73" t="str">
        <f t="shared" si="13"/>
        <v>5265RI</v>
      </c>
    </row>
    <row r="74" spans="1:22">
      <c r="A74" t="s">
        <v>252</v>
      </c>
      <c r="B74" t="s">
        <v>403</v>
      </c>
      <c r="C74" t="s">
        <v>404</v>
      </c>
      <c r="D74" t="s">
        <v>405</v>
      </c>
      <c r="E74" t="s">
        <v>406</v>
      </c>
      <c r="F74" t="s">
        <v>27</v>
      </c>
      <c r="G74">
        <v>1</v>
      </c>
      <c r="H74" t="s">
        <v>407</v>
      </c>
      <c r="I74" t="s">
        <v>408</v>
      </c>
      <c r="J74" t="s">
        <v>409</v>
      </c>
      <c r="K74" t="s">
        <v>408</v>
      </c>
      <c r="L74" t="s">
        <v>245</v>
      </c>
      <c r="M74" s="1" t="str">
        <f t="shared" si="7"/>
        <v>12H526</v>
      </c>
      <c r="N74" s="1" t="str">
        <f t="shared" si="8"/>
        <v>C/O</v>
      </c>
      <c r="O74" s="1" t="str">
        <f t="shared" si="9"/>
        <v>Ripper Lift Cylinder</v>
      </c>
      <c r="P74" s="1" t="str">
        <f t="shared" si="10"/>
        <v>E9Z0</v>
      </c>
      <c r="Q74" s="2" t="str">
        <f t="shared" si="11"/>
        <v>E9Z0Ripper Lift Cylinder</v>
      </c>
      <c r="R74" s="2" t="str">
        <f>New_Xref[[#This Row],[Serial Prefix]]&amp;IF(New_Xref[[#This Row],[Func Loc]]&lt;&gt;"",New_Xref[[#This Row],[Func Loc]],"NO MATCH")</f>
        <v>E9Z0MYHD .CYLI.RILI</v>
      </c>
      <c r="S74" s="3" t="str">
        <f t="shared" si="12"/>
        <v>E9Z0605-8762Ripper Lift Cylinder</v>
      </c>
      <c r="T74" s="3" t="s">
        <v>246</v>
      </c>
      <c r="U74" s="3" t="s">
        <v>34</v>
      </c>
      <c r="V74" t="str">
        <f t="shared" si="13"/>
        <v>535200</v>
      </c>
    </row>
    <row r="75" spans="1:22">
      <c r="A75" t="s">
        <v>410</v>
      </c>
      <c r="B75" t="s">
        <v>411</v>
      </c>
      <c r="C75" t="s">
        <v>412</v>
      </c>
      <c r="D75" t="s">
        <v>413</v>
      </c>
      <c r="E75" t="s">
        <v>414</v>
      </c>
      <c r="F75" t="s">
        <v>27</v>
      </c>
      <c r="G75">
        <v>1</v>
      </c>
      <c r="H75" t="s">
        <v>415</v>
      </c>
      <c r="I75" t="s">
        <v>416</v>
      </c>
      <c r="J75" t="s">
        <v>417</v>
      </c>
      <c r="K75" t="s">
        <v>418</v>
      </c>
      <c r="L75" t="s">
        <v>32</v>
      </c>
      <c r="M75" s="1" t="str">
        <f t="shared" si="7"/>
        <v>06H673</v>
      </c>
      <c r="N75" s="1" t="str">
        <f t="shared" si="8"/>
        <v>C/O</v>
      </c>
      <c r="O75" s="1" t="str">
        <f t="shared" si="9"/>
        <v>Engine</v>
      </c>
      <c r="P75" s="1" t="str">
        <f t="shared" si="10"/>
        <v>7M60</v>
      </c>
      <c r="Q75" s="2" t="str">
        <f t="shared" si="11"/>
        <v>7M60Engine</v>
      </c>
      <c r="R75" s="2" t="str">
        <f>New_Xref[[#This Row],[Serial Prefix]]&amp;IF(New_Xref[[#This Row],[Func Loc]]&lt;&gt;"",New_Xref[[#This Row],[Func Loc]],"NO MATCH")</f>
        <v>7M60ENGD</v>
      </c>
      <c r="S75" s="3" t="str">
        <f t="shared" si="12"/>
        <v>7M606047338XEngine</v>
      </c>
      <c r="T75" s="3" t="s">
        <v>33</v>
      </c>
      <c r="U75" s="3" t="s">
        <v>34</v>
      </c>
      <c r="V75" t="str">
        <f t="shared" si="13"/>
        <v>100000</v>
      </c>
    </row>
    <row r="76" spans="1:22">
      <c r="A76" t="s">
        <v>410</v>
      </c>
      <c r="B76" t="s">
        <v>411</v>
      </c>
      <c r="C76" t="s">
        <v>419</v>
      </c>
      <c r="D76" t="s">
        <v>420</v>
      </c>
      <c r="E76" t="s">
        <v>42</v>
      </c>
      <c r="F76" t="s">
        <v>27</v>
      </c>
      <c r="G76">
        <v>1</v>
      </c>
      <c r="H76" t="s">
        <v>421</v>
      </c>
      <c r="I76" t="s">
        <v>416</v>
      </c>
      <c r="J76" t="s">
        <v>422</v>
      </c>
      <c r="K76" t="s">
        <v>423</v>
      </c>
      <c r="L76" t="s">
        <v>424</v>
      </c>
      <c r="M76" s="1" t="str">
        <f t="shared" si="7"/>
        <v>06H673</v>
      </c>
      <c r="N76" s="1" t="str">
        <f t="shared" si="8"/>
        <v>C/O</v>
      </c>
      <c r="O76" s="1" t="str">
        <f t="shared" si="9"/>
        <v>Turbocharger LH</v>
      </c>
      <c r="P76" s="1" t="str">
        <f t="shared" si="10"/>
        <v>7M60</v>
      </c>
      <c r="Q76" s="2" t="str">
        <f t="shared" si="11"/>
        <v>7M60Turbocharger LH</v>
      </c>
      <c r="R76" s="2" t="str">
        <f>New_Xref[[#This Row],[Serial Prefix]]&amp;IF(New_Xref[[#This Row],[Func Loc]]&lt;&gt;"",New_Xref[[#This Row],[Func Loc]],"NO MATCH")</f>
        <v>7M60ENGD .TURB.TURL</v>
      </c>
      <c r="S76" s="3" t="str">
        <f t="shared" si="12"/>
        <v>7M6020R3180Turbocharger LH</v>
      </c>
      <c r="T76" s="3" t="s">
        <v>47</v>
      </c>
      <c r="U76" s="3" t="s">
        <v>108</v>
      </c>
      <c r="V76" t="str">
        <f t="shared" si="13"/>
        <v>1052LT</v>
      </c>
    </row>
    <row r="77" spans="1:22">
      <c r="A77" t="s">
        <v>410</v>
      </c>
      <c r="B77" t="s">
        <v>411</v>
      </c>
      <c r="C77" t="s">
        <v>425</v>
      </c>
      <c r="D77" t="s">
        <v>426</v>
      </c>
      <c r="E77" t="s">
        <v>42</v>
      </c>
      <c r="F77" t="s">
        <v>27</v>
      </c>
      <c r="G77">
        <v>1</v>
      </c>
      <c r="H77" t="s">
        <v>427</v>
      </c>
      <c r="I77" t="s">
        <v>416</v>
      </c>
      <c r="J77" t="s">
        <v>428</v>
      </c>
      <c r="K77" t="s">
        <v>429</v>
      </c>
      <c r="L77" t="s">
        <v>430</v>
      </c>
      <c r="M77" s="1" t="str">
        <f t="shared" si="7"/>
        <v>06H673</v>
      </c>
      <c r="N77" s="1" t="str">
        <f t="shared" si="8"/>
        <v>C/O</v>
      </c>
      <c r="O77" s="1" t="str">
        <f t="shared" si="9"/>
        <v>Turbocharger RH</v>
      </c>
      <c r="P77" s="1" t="str">
        <f t="shared" si="10"/>
        <v>7M60</v>
      </c>
      <c r="Q77" s="2" t="str">
        <f t="shared" si="11"/>
        <v>7M60Turbocharger RH</v>
      </c>
      <c r="R77" s="2" t="str">
        <f>New_Xref[[#This Row],[Serial Prefix]]&amp;IF(New_Xref[[#This Row],[Func Loc]]&lt;&gt;"",New_Xref[[#This Row],[Func Loc]],"NO MATCH")</f>
        <v>7M60ENGD .TURB.TURR</v>
      </c>
      <c r="S77" s="3" t="str">
        <f t="shared" si="12"/>
        <v>7M6020R3182Turbocharger RH</v>
      </c>
      <c r="T77" s="3" t="s">
        <v>47</v>
      </c>
      <c r="U77" s="3" t="s">
        <v>115</v>
      </c>
      <c r="V77" t="str">
        <f t="shared" si="13"/>
        <v>1052RI</v>
      </c>
    </row>
    <row r="78" spans="1:22">
      <c r="A78" t="s">
        <v>410</v>
      </c>
      <c r="B78" t="s">
        <v>411</v>
      </c>
      <c r="C78" t="s">
        <v>431</v>
      </c>
      <c r="D78" t="s">
        <v>432</v>
      </c>
      <c r="E78" t="s">
        <v>276</v>
      </c>
      <c r="F78" t="s">
        <v>27</v>
      </c>
      <c r="G78">
        <v>12</v>
      </c>
      <c r="H78" t="s">
        <v>433</v>
      </c>
      <c r="I78" t="s">
        <v>416</v>
      </c>
      <c r="J78" t="s">
        <v>434</v>
      </c>
      <c r="K78" t="s">
        <v>435</v>
      </c>
      <c r="L78" t="s">
        <v>83</v>
      </c>
      <c r="M78" s="1" t="str">
        <f t="shared" si="7"/>
        <v>06H673</v>
      </c>
      <c r="N78" s="1" t="str">
        <f t="shared" si="8"/>
        <v>C/O</v>
      </c>
      <c r="O78" s="1" t="str">
        <f t="shared" si="9"/>
        <v>Fuel Injectors</v>
      </c>
      <c r="P78" s="1" t="str">
        <f t="shared" si="10"/>
        <v>7M60</v>
      </c>
      <c r="Q78" s="2" t="str">
        <f t="shared" si="11"/>
        <v>7M60Fuel Injectors</v>
      </c>
      <c r="R78" s="2" t="str">
        <f>New_Xref[[#This Row],[Serial Prefix]]&amp;IF(New_Xref[[#This Row],[Func Loc]]&lt;&gt;"",New_Xref[[#This Row],[Func Loc]],"NO MATCH")</f>
        <v>7M60NO MATCH</v>
      </c>
      <c r="S78" s="3" t="str">
        <f t="shared" si="12"/>
        <v>7M606470750Fuel Injectors</v>
      </c>
      <c r="T78" s="3" t="s">
        <v>63</v>
      </c>
      <c r="U78" s="3" t="s">
        <v>34</v>
      </c>
      <c r="V78" t="str">
        <f t="shared" si="13"/>
        <v>125100</v>
      </c>
    </row>
    <row r="79" spans="1:22">
      <c r="A79" t="s">
        <v>410</v>
      </c>
      <c r="B79" t="s">
        <v>411</v>
      </c>
      <c r="C79" t="s">
        <v>436</v>
      </c>
      <c r="D79" t="s">
        <v>437</v>
      </c>
      <c r="E79" t="s">
        <v>438</v>
      </c>
      <c r="F79" t="s">
        <v>27</v>
      </c>
      <c r="G79">
        <v>1</v>
      </c>
      <c r="H79" t="s">
        <v>439</v>
      </c>
      <c r="I79" t="s">
        <v>440</v>
      </c>
      <c r="J79" t="s">
        <v>441</v>
      </c>
      <c r="K79" t="s">
        <v>440</v>
      </c>
      <c r="L79" t="s">
        <v>67</v>
      </c>
      <c r="M79" s="1" t="str">
        <f t="shared" si="7"/>
        <v>06H673</v>
      </c>
      <c r="N79" s="1" t="str">
        <f t="shared" si="8"/>
        <v>C/O</v>
      </c>
      <c r="O79" s="1" t="str">
        <f t="shared" si="9"/>
        <v>Engine Radiator</v>
      </c>
      <c r="P79" s="1" t="str">
        <f t="shared" si="10"/>
        <v>7M60</v>
      </c>
      <c r="Q79" s="2" t="str">
        <f t="shared" si="11"/>
        <v>7M60Engine Radiator</v>
      </c>
      <c r="R79" s="2" t="str">
        <f>New_Xref[[#This Row],[Serial Prefix]]&amp;IF(New_Xref[[#This Row],[Func Loc]]&lt;&gt;"",New_Xref[[#This Row],[Func Loc]],"NO MATCH")</f>
        <v>7M60ENGD .ENCS.RADI</v>
      </c>
      <c r="S79" s="3" t="str">
        <f t="shared" si="12"/>
        <v>7M602955171FEngine Radiator</v>
      </c>
      <c r="T79" s="3" t="s">
        <v>68</v>
      </c>
      <c r="U79" s="3" t="s">
        <v>34</v>
      </c>
      <c r="V79" t="str">
        <f t="shared" si="13"/>
        <v>135300</v>
      </c>
    </row>
    <row r="80" spans="1:22">
      <c r="A80" t="s">
        <v>410</v>
      </c>
      <c r="B80" t="s">
        <v>411</v>
      </c>
      <c r="C80" t="s">
        <v>286</v>
      </c>
      <c r="D80" t="s">
        <v>287</v>
      </c>
      <c r="E80" t="s">
        <v>288</v>
      </c>
      <c r="F80" t="s">
        <v>27</v>
      </c>
      <c r="G80">
        <v>1</v>
      </c>
      <c r="H80" t="s">
        <v>442</v>
      </c>
      <c r="I80" t="s">
        <v>416</v>
      </c>
      <c r="J80" t="s">
        <v>443</v>
      </c>
      <c r="K80" t="s">
        <v>444</v>
      </c>
      <c r="L80" t="s">
        <v>182</v>
      </c>
      <c r="M80" s="1" t="str">
        <f t="shared" si="7"/>
        <v>06H673</v>
      </c>
      <c r="N80" s="1" t="str">
        <f t="shared" si="8"/>
        <v>C/O</v>
      </c>
      <c r="O80" s="1" t="str">
        <f t="shared" si="9"/>
        <v>Water Pump Main</v>
      </c>
      <c r="P80" s="1" t="str">
        <f t="shared" si="10"/>
        <v>7M60</v>
      </c>
      <c r="Q80" s="2" t="str">
        <f t="shared" si="11"/>
        <v>7M60Water Pump Main</v>
      </c>
      <c r="R80" s="2" t="str">
        <f>New_Xref[[#This Row],[Serial Prefix]]&amp;IF(New_Xref[[#This Row],[Func Loc]]&lt;&gt;"",New_Xref[[#This Row],[Func Loc]],"NO MATCH")</f>
        <v>7M60ENGD .WAPU.WAPM</v>
      </c>
      <c r="S80" s="3" t="str">
        <f t="shared" si="12"/>
        <v>7M6020R1859Water Pump Main</v>
      </c>
      <c r="T80" s="3" t="s">
        <v>183</v>
      </c>
      <c r="U80" s="3" t="s">
        <v>34</v>
      </c>
      <c r="V80" t="str">
        <f t="shared" si="13"/>
        <v>136100</v>
      </c>
    </row>
    <row r="81" spans="1:22">
      <c r="A81" t="s">
        <v>410</v>
      </c>
      <c r="B81" t="s">
        <v>411</v>
      </c>
      <c r="C81" t="s">
        <v>445</v>
      </c>
      <c r="D81" t="s">
        <v>446</v>
      </c>
      <c r="E81" t="s">
        <v>447</v>
      </c>
      <c r="F81" t="s">
        <v>27</v>
      </c>
      <c r="G81">
        <v>1</v>
      </c>
      <c r="H81" t="s">
        <v>448</v>
      </c>
      <c r="I81" t="s">
        <v>449</v>
      </c>
      <c r="J81" t="s">
        <v>450</v>
      </c>
      <c r="K81" t="s">
        <v>449</v>
      </c>
      <c r="L81" t="s">
        <v>72</v>
      </c>
      <c r="M81" s="1" t="str">
        <f t="shared" si="7"/>
        <v>06H673</v>
      </c>
      <c r="N81" s="1" t="str">
        <f t="shared" si="8"/>
        <v>C/O</v>
      </c>
      <c r="O81" s="1" t="str">
        <f t="shared" si="9"/>
        <v>Transmission</v>
      </c>
      <c r="P81" s="1" t="str">
        <f t="shared" si="10"/>
        <v>7M60</v>
      </c>
      <c r="Q81" s="2" t="str">
        <f t="shared" si="11"/>
        <v>7M60Transmission</v>
      </c>
      <c r="R81" s="2" t="str">
        <f>New_Xref[[#This Row],[Serial Prefix]]&amp;IF(New_Xref[[#This Row],[Func Loc]]&lt;&gt;"",New_Xref[[#This Row],[Func Loc]],"NO MATCH")</f>
        <v>7M60TRAN .TRAN</v>
      </c>
      <c r="S81" s="3" t="str">
        <f t="shared" si="12"/>
        <v>7M603156272XTransmission</v>
      </c>
      <c r="T81" s="3" t="s">
        <v>73</v>
      </c>
      <c r="U81" s="3" t="s">
        <v>34</v>
      </c>
      <c r="V81" t="str">
        <f t="shared" si="13"/>
        <v>303000</v>
      </c>
    </row>
    <row r="82" spans="1:22">
      <c r="A82" t="s">
        <v>410</v>
      </c>
      <c r="B82" t="s">
        <v>411</v>
      </c>
      <c r="C82" t="s">
        <v>451</v>
      </c>
      <c r="D82" t="s">
        <v>452</v>
      </c>
      <c r="E82" t="s">
        <v>453</v>
      </c>
      <c r="F82" t="s">
        <v>27</v>
      </c>
      <c r="G82">
        <v>1</v>
      </c>
      <c r="H82" t="s">
        <v>454</v>
      </c>
      <c r="I82" t="s">
        <v>455</v>
      </c>
      <c r="J82" t="s">
        <v>456</v>
      </c>
      <c r="K82" t="s">
        <v>455</v>
      </c>
      <c r="L82" t="s">
        <v>304</v>
      </c>
      <c r="M82" s="1" t="str">
        <f t="shared" si="7"/>
        <v>06H673</v>
      </c>
      <c r="N82" s="1" t="str">
        <f t="shared" si="8"/>
        <v>C/O</v>
      </c>
      <c r="O82" s="1" t="str">
        <f t="shared" si="9"/>
        <v>Torque Converter</v>
      </c>
      <c r="P82" s="1" t="str">
        <f t="shared" si="10"/>
        <v>7M60</v>
      </c>
      <c r="Q82" s="2" t="str">
        <f t="shared" si="11"/>
        <v>7M60Torque Converter</v>
      </c>
      <c r="R82" s="2" t="str">
        <f>New_Xref[[#This Row],[Serial Prefix]]&amp;IF(New_Xref[[#This Row],[Func Loc]]&lt;&gt;"",New_Xref[[#This Row],[Func Loc]],"NO MATCH")</f>
        <v>7M60TRAN .TOCO</v>
      </c>
      <c r="S82" s="3" t="str">
        <f t="shared" si="12"/>
        <v>7M6020R6700Torque Converter</v>
      </c>
      <c r="T82" s="3" t="s">
        <v>305</v>
      </c>
      <c r="U82" s="3" t="s">
        <v>34</v>
      </c>
      <c r="V82" t="str">
        <f t="shared" si="13"/>
        <v>310100</v>
      </c>
    </row>
    <row r="83" spans="1:22">
      <c r="A83" t="s">
        <v>410</v>
      </c>
      <c r="B83" t="s">
        <v>411</v>
      </c>
      <c r="C83" t="s">
        <v>457</v>
      </c>
      <c r="D83" t="s">
        <v>458</v>
      </c>
      <c r="E83" t="s">
        <v>459</v>
      </c>
      <c r="F83" t="s">
        <v>27</v>
      </c>
      <c r="G83">
        <v>1</v>
      </c>
      <c r="H83" t="s">
        <v>460</v>
      </c>
      <c r="I83" t="s">
        <v>461</v>
      </c>
      <c r="J83" t="s">
        <v>462</v>
      </c>
      <c r="K83" t="s">
        <v>461</v>
      </c>
      <c r="L83" t="s">
        <v>463</v>
      </c>
      <c r="M83" s="1" t="str">
        <f t="shared" si="7"/>
        <v>06H673</v>
      </c>
      <c r="N83" s="1" t="str">
        <f t="shared" si="8"/>
        <v>C/O</v>
      </c>
      <c r="O83" s="1" t="str">
        <f t="shared" si="9"/>
        <v>Differential</v>
      </c>
      <c r="P83" s="1" t="str">
        <f t="shared" si="10"/>
        <v>7M60</v>
      </c>
      <c r="Q83" s="2" t="str">
        <f t="shared" si="11"/>
        <v>7M60Differential</v>
      </c>
      <c r="R83" s="2" t="str">
        <f>New_Xref[[#This Row],[Serial Prefix]]&amp;IF(New_Xref[[#This Row],[Func Loc]]&lt;&gt;"",New_Xref[[#This Row],[Func Loc]],"NO MATCH")</f>
        <v>7M60FDRV .AXAR.DIFF</v>
      </c>
      <c r="S83" s="3" t="str">
        <f t="shared" si="12"/>
        <v>7M603451983XDifferential</v>
      </c>
      <c r="T83" s="3" t="s">
        <v>464</v>
      </c>
      <c r="U83" s="3" t="s">
        <v>34</v>
      </c>
      <c r="V83" t="str">
        <f t="shared" si="13"/>
        <v>325800</v>
      </c>
    </row>
    <row r="84" spans="1:22">
      <c r="A84" t="s">
        <v>410</v>
      </c>
      <c r="B84" t="s">
        <v>411</v>
      </c>
      <c r="C84" t="s">
        <v>465</v>
      </c>
      <c r="D84" t="s">
        <v>466</v>
      </c>
      <c r="E84" t="s">
        <v>467</v>
      </c>
      <c r="F84" t="s">
        <v>27</v>
      </c>
      <c r="G84">
        <v>1</v>
      </c>
      <c r="H84" t="s">
        <v>468</v>
      </c>
      <c r="I84" t="s">
        <v>469</v>
      </c>
      <c r="J84" t="s">
        <v>470</v>
      </c>
      <c r="K84" t="s">
        <v>469</v>
      </c>
      <c r="L84" t="s">
        <v>83</v>
      </c>
      <c r="M84" s="1" t="str">
        <f t="shared" si="7"/>
        <v>06H673</v>
      </c>
      <c r="N84" s="1" t="str">
        <f t="shared" si="8"/>
        <v>C/O</v>
      </c>
      <c r="O84" s="1" t="str">
        <f t="shared" si="9"/>
        <v>Hub &amp; Spindle LH</v>
      </c>
      <c r="P84" s="1" t="str">
        <f t="shared" si="10"/>
        <v>7M60</v>
      </c>
      <c r="Q84" s="2" t="str">
        <f t="shared" si="11"/>
        <v>7M60Hub &amp; Spindle LH</v>
      </c>
      <c r="R84" s="2" t="str">
        <f>New_Xref[[#This Row],[Serial Prefix]]&amp;IF(New_Xref[[#This Row],[Func Loc]]&lt;&gt;"",New_Xref[[#This Row],[Func Loc]],"NO MATCH")</f>
        <v>7M60NO MATCH</v>
      </c>
      <c r="S84" s="3" t="str">
        <f t="shared" si="12"/>
        <v>7M603569843XLHub &amp; Spindle LH</v>
      </c>
      <c r="T84" s="3" t="s">
        <v>88</v>
      </c>
      <c r="U84" s="3" t="s">
        <v>89</v>
      </c>
      <c r="V84" t="str">
        <f t="shared" si="13"/>
        <v>4006LF</v>
      </c>
    </row>
    <row r="85" spans="1:22">
      <c r="A85" t="s">
        <v>410</v>
      </c>
      <c r="B85" t="s">
        <v>411</v>
      </c>
      <c r="C85" t="s">
        <v>471</v>
      </c>
      <c r="D85" t="s">
        <v>472</v>
      </c>
      <c r="E85" t="s">
        <v>467</v>
      </c>
      <c r="F85" t="s">
        <v>27</v>
      </c>
      <c r="G85">
        <v>1</v>
      </c>
      <c r="H85" t="s">
        <v>473</v>
      </c>
      <c r="I85" t="s">
        <v>474</v>
      </c>
      <c r="J85" t="s">
        <v>475</v>
      </c>
      <c r="K85" t="s">
        <v>474</v>
      </c>
      <c r="L85" t="s">
        <v>83</v>
      </c>
      <c r="M85" s="1" t="str">
        <f t="shared" si="7"/>
        <v>06H673</v>
      </c>
      <c r="N85" s="1" t="str">
        <f t="shared" si="8"/>
        <v>C/O</v>
      </c>
      <c r="O85" s="1" t="str">
        <f t="shared" si="9"/>
        <v>Hub &amp; Spindle RH</v>
      </c>
      <c r="P85" s="1" t="str">
        <f t="shared" si="10"/>
        <v>7M60</v>
      </c>
      <c r="Q85" s="2" t="str">
        <f t="shared" si="11"/>
        <v>7M60Hub &amp; Spindle RH</v>
      </c>
      <c r="R85" s="2" t="str">
        <f>New_Xref[[#This Row],[Serial Prefix]]&amp;IF(New_Xref[[#This Row],[Func Loc]]&lt;&gt;"",New_Xref[[#This Row],[Func Loc]],"NO MATCH")</f>
        <v>7M60NO MATCH</v>
      </c>
      <c r="S85" s="3" t="str">
        <f t="shared" si="12"/>
        <v>7M603569843XRHub &amp; Spindle RH</v>
      </c>
      <c r="T85" s="3" t="s">
        <v>88</v>
      </c>
      <c r="U85" s="3" t="s">
        <v>92</v>
      </c>
      <c r="V85" t="str">
        <f t="shared" si="13"/>
        <v>4006RF</v>
      </c>
    </row>
    <row r="86" spans="1:22">
      <c r="A86" t="s">
        <v>410</v>
      </c>
      <c r="B86" t="s">
        <v>411</v>
      </c>
      <c r="C86" t="s">
        <v>476</v>
      </c>
      <c r="D86" t="s">
        <v>477</v>
      </c>
      <c r="E86" t="s">
        <v>478</v>
      </c>
      <c r="F86" t="s">
        <v>27</v>
      </c>
      <c r="G86">
        <v>1</v>
      </c>
      <c r="H86" t="s">
        <v>479</v>
      </c>
      <c r="I86" t="s">
        <v>480</v>
      </c>
      <c r="J86" t="s">
        <v>481</v>
      </c>
      <c r="K86" t="s">
        <v>482</v>
      </c>
      <c r="L86" t="s">
        <v>114</v>
      </c>
      <c r="M86" s="1" t="str">
        <f t="shared" si="7"/>
        <v>06H673</v>
      </c>
      <c r="N86" s="1" t="str">
        <f t="shared" si="8"/>
        <v>C/O</v>
      </c>
      <c r="O86" s="1" t="str">
        <f t="shared" si="9"/>
        <v>Steering Cylinder RH</v>
      </c>
      <c r="P86" s="1" t="str">
        <f t="shared" si="10"/>
        <v>7M60</v>
      </c>
      <c r="Q86" s="2" t="str">
        <f t="shared" si="11"/>
        <v>7M60Steering Cylinder RH</v>
      </c>
      <c r="R86" s="2" t="str">
        <f>New_Xref[[#This Row],[Serial Prefix]]&amp;IF(New_Xref[[#This Row],[Func Loc]]&lt;&gt;"",New_Xref[[#This Row],[Func Loc]],"NO MATCH")</f>
        <v>7M60STRG .CYLI.SCRH</v>
      </c>
      <c r="S86" s="3" t="str">
        <f t="shared" si="12"/>
        <v>7M6020R8725Steering Cylinder RH</v>
      </c>
      <c r="T86" s="3" t="s">
        <v>107</v>
      </c>
      <c r="U86" s="3" t="s">
        <v>115</v>
      </c>
      <c r="V86" t="str">
        <f t="shared" si="13"/>
        <v>4303RI</v>
      </c>
    </row>
    <row r="87" spans="1:22">
      <c r="A87" t="s">
        <v>410</v>
      </c>
      <c r="B87" t="s">
        <v>411</v>
      </c>
      <c r="C87" t="s">
        <v>483</v>
      </c>
      <c r="D87" t="s">
        <v>484</v>
      </c>
      <c r="E87" t="s">
        <v>485</v>
      </c>
      <c r="F87" t="s">
        <v>27</v>
      </c>
      <c r="G87">
        <v>1</v>
      </c>
      <c r="H87" t="s">
        <v>486</v>
      </c>
      <c r="I87" t="s">
        <v>487</v>
      </c>
      <c r="J87" t="s">
        <v>488</v>
      </c>
      <c r="K87" t="s">
        <v>489</v>
      </c>
      <c r="L87" t="s">
        <v>106</v>
      </c>
      <c r="M87" s="1" t="str">
        <f t="shared" si="7"/>
        <v>06H673</v>
      </c>
      <c r="N87" s="1" t="str">
        <f t="shared" si="8"/>
        <v>C/O</v>
      </c>
      <c r="O87" s="1" t="str">
        <f t="shared" si="9"/>
        <v>Steering Cylinder LH</v>
      </c>
      <c r="P87" s="1" t="str">
        <f t="shared" si="10"/>
        <v>7M60</v>
      </c>
      <c r="Q87" s="2" t="str">
        <f t="shared" si="11"/>
        <v>7M60Steering Cylinder LH</v>
      </c>
      <c r="R87" s="2" t="str">
        <f>New_Xref[[#This Row],[Serial Prefix]]&amp;IF(New_Xref[[#This Row],[Func Loc]]&lt;&gt;"",New_Xref[[#This Row],[Func Loc]],"NO MATCH")</f>
        <v>7M60STRG .CYLI.SCLH</v>
      </c>
      <c r="S87" s="3" t="str">
        <f t="shared" si="12"/>
        <v>7M606170753Steering Cylinder LH</v>
      </c>
      <c r="T87" s="3" t="s">
        <v>107</v>
      </c>
      <c r="U87" s="3" t="s">
        <v>108</v>
      </c>
      <c r="V87" t="str">
        <f t="shared" si="13"/>
        <v>4303LT</v>
      </c>
    </row>
    <row r="88" spans="1:22">
      <c r="A88" t="s">
        <v>410</v>
      </c>
      <c r="B88" t="s">
        <v>411</v>
      </c>
      <c r="C88" t="s">
        <v>490</v>
      </c>
      <c r="D88" t="s">
        <v>491</v>
      </c>
      <c r="E88" t="s">
        <v>492</v>
      </c>
      <c r="F88" t="s">
        <v>27</v>
      </c>
      <c r="G88">
        <v>1</v>
      </c>
      <c r="H88" t="s">
        <v>493</v>
      </c>
      <c r="I88" t="s">
        <v>494</v>
      </c>
      <c r="J88" t="s">
        <v>495</v>
      </c>
      <c r="K88" t="s">
        <v>494</v>
      </c>
      <c r="L88" t="s">
        <v>341</v>
      </c>
      <c r="M88" s="1" t="str">
        <f t="shared" si="7"/>
        <v>06H673</v>
      </c>
      <c r="N88" s="1" t="str">
        <f t="shared" si="8"/>
        <v>C/O</v>
      </c>
      <c r="O88" s="1" t="str">
        <f t="shared" si="9"/>
        <v>Primary Steering Pump</v>
      </c>
      <c r="P88" s="1" t="str">
        <f t="shared" si="10"/>
        <v>7M60</v>
      </c>
      <c r="Q88" s="2" t="str">
        <f t="shared" si="11"/>
        <v>7M60Primary Steering Pump</v>
      </c>
      <c r="R88" s="2" t="str">
        <f>New_Xref[[#This Row],[Serial Prefix]]&amp;IF(New_Xref[[#This Row],[Func Loc]]&lt;&gt;"",New_Xref[[#This Row],[Func Loc]],"NO MATCH")</f>
        <v>7M60STRG .PUMP.PRSP</v>
      </c>
      <c r="S88" s="3" t="str">
        <f t="shared" si="12"/>
        <v>7M602615630Primary Steering Pump</v>
      </c>
      <c r="T88" s="3" t="s">
        <v>342</v>
      </c>
      <c r="U88" s="3" t="s">
        <v>34</v>
      </c>
      <c r="V88" t="str">
        <f t="shared" si="13"/>
        <v>430600</v>
      </c>
    </row>
    <row r="89" spans="1:22">
      <c r="A89" t="s">
        <v>410</v>
      </c>
      <c r="B89" t="s">
        <v>411</v>
      </c>
      <c r="C89" t="s">
        <v>496</v>
      </c>
      <c r="D89" t="s">
        <v>497</v>
      </c>
      <c r="E89" t="s">
        <v>498</v>
      </c>
      <c r="F89" t="s">
        <v>27</v>
      </c>
      <c r="G89">
        <v>1</v>
      </c>
      <c r="H89" t="s">
        <v>499</v>
      </c>
      <c r="I89" t="s">
        <v>500</v>
      </c>
      <c r="J89" t="s">
        <v>501</v>
      </c>
      <c r="K89" t="s">
        <v>500</v>
      </c>
      <c r="L89" t="s">
        <v>502</v>
      </c>
      <c r="M89" s="1" t="str">
        <f t="shared" si="7"/>
        <v>06H673</v>
      </c>
      <c r="N89" s="1" t="str">
        <f t="shared" si="8"/>
        <v>C/O</v>
      </c>
      <c r="O89" s="1" t="str">
        <f t="shared" si="9"/>
        <v>Water System Pilot Pump</v>
      </c>
      <c r="P89" s="1" t="str">
        <f t="shared" si="10"/>
        <v>7M60</v>
      </c>
      <c r="Q89" s="2" t="str">
        <f t="shared" si="11"/>
        <v>7M60Water System Pilot Pump</v>
      </c>
      <c r="R89" s="2" t="str">
        <f>New_Xref[[#This Row],[Serial Prefix]]&amp;IF(New_Xref[[#This Row],[Func Loc]]&lt;&gt;"",New_Xref[[#This Row],[Func Loc]],"NO MATCH")</f>
        <v>7M60MYHD .PUMP.WSPP</v>
      </c>
      <c r="S89" s="3" t="str">
        <f t="shared" si="12"/>
        <v>7M601778924Water System Pilot Pump</v>
      </c>
      <c r="T89" s="3" t="s">
        <v>503</v>
      </c>
      <c r="U89" s="3" t="s">
        <v>34</v>
      </c>
      <c r="V89" t="str">
        <f t="shared" si="13"/>
        <v>507300</v>
      </c>
    </row>
    <row r="90" spans="1:22">
      <c r="A90" t="s">
        <v>410</v>
      </c>
      <c r="B90" t="s">
        <v>411</v>
      </c>
      <c r="C90" t="s">
        <v>504</v>
      </c>
      <c r="D90" t="s">
        <v>505</v>
      </c>
      <c r="E90" t="s">
        <v>506</v>
      </c>
      <c r="F90" t="s">
        <v>27</v>
      </c>
      <c r="G90">
        <v>1</v>
      </c>
      <c r="H90" t="s">
        <v>507</v>
      </c>
      <c r="I90" t="s">
        <v>508</v>
      </c>
      <c r="J90" t="s">
        <v>509</v>
      </c>
      <c r="K90" t="s">
        <v>508</v>
      </c>
      <c r="L90" t="s">
        <v>510</v>
      </c>
      <c r="M90" s="1" t="str">
        <f t="shared" si="7"/>
        <v>06H673</v>
      </c>
      <c r="N90" s="1" t="str">
        <f t="shared" si="8"/>
        <v>C/O</v>
      </c>
      <c r="O90" s="1" t="str">
        <f t="shared" si="9"/>
        <v>Suspension LHF</v>
      </c>
      <c r="P90" s="1" t="str">
        <f t="shared" si="10"/>
        <v>7M60</v>
      </c>
      <c r="Q90" s="2" t="str">
        <f t="shared" si="11"/>
        <v>7M60Suspension LHF</v>
      </c>
      <c r="R90" s="2" t="str">
        <f>New_Xref[[#This Row],[Serial Prefix]]&amp;IF(New_Xref[[#This Row],[Func Loc]]&lt;&gt;"",New_Xref[[#This Row],[Func Loc]],"NO MATCH")</f>
        <v>7M60STRU .SUGR.SULF</v>
      </c>
      <c r="S90" s="3" t="str">
        <f t="shared" si="12"/>
        <v>7M603356352XSuspension LHF</v>
      </c>
      <c r="T90" s="3" t="s">
        <v>511</v>
      </c>
      <c r="U90" s="3" t="s">
        <v>34</v>
      </c>
      <c r="V90" t="str">
        <f t="shared" si="13"/>
        <v>720100</v>
      </c>
    </row>
    <row r="91" spans="1:22">
      <c r="A91" t="s">
        <v>410</v>
      </c>
      <c r="B91" t="s">
        <v>411</v>
      </c>
      <c r="C91" t="s">
        <v>504</v>
      </c>
      <c r="D91" t="s">
        <v>505</v>
      </c>
      <c r="E91" t="s">
        <v>506</v>
      </c>
      <c r="F91" t="s">
        <v>27</v>
      </c>
      <c r="G91">
        <v>1</v>
      </c>
      <c r="H91" t="s">
        <v>507</v>
      </c>
      <c r="I91" t="s">
        <v>512</v>
      </c>
      <c r="J91" t="s">
        <v>513</v>
      </c>
      <c r="K91" t="s">
        <v>512</v>
      </c>
      <c r="L91" t="s">
        <v>514</v>
      </c>
      <c r="M91" s="1" t="str">
        <f t="shared" si="7"/>
        <v>06H673</v>
      </c>
      <c r="N91" s="1" t="str">
        <f t="shared" si="8"/>
        <v>C/O</v>
      </c>
      <c r="O91" s="1" t="str">
        <f t="shared" si="9"/>
        <v>Suspension RHF</v>
      </c>
      <c r="P91" s="1" t="str">
        <f t="shared" si="10"/>
        <v>7M60</v>
      </c>
      <c r="Q91" s="2" t="str">
        <f t="shared" si="11"/>
        <v>7M60Suspension RHF</v>
      </c>
      <c r="R91" s="2" t="str">
        <f>New_Xref[[#This Row],[Serial Prefix]]&amp;IF(New_Xref[[#This Row],[Func Loc]]&lt;&gt;"",New_Xref[[#This Row],[Func Loc]],"NO MATCH")</f>
        <v>7M60STRU .SUGR.SURF</v>
      </c>
      <c r="S91" s="3" t="str">
        <f t="shared" si="12"/>
        <v>7M603356352XSuspension RHF</v>
      </c>
      <c r="T91" s="3" t="s">
        <v>511</v>
      </c>
      <c r="U91" s="3" t="s">
        <v>34</v>
      </c>
      <c r="V91" t="str">
        <f t="shared" si="13"/>
        <v>720100</v>
      </c>
    </row>
    <row r="92" spans="1:22">
      <c r="A92" t="s">
        <v>410</v>
      </c>
      <c r="B92" t="s">
        <v>411</v>
      </c>
      <c r="C92" t="s">
        <v>515</v>
      </c>
      <c r="D92" t="s">
        <v>516</v>
      </c>
      <c r="E92" t="s">
        <v>506</v>
      </c>
      <c r="F92" t="s">
        <v>27</v>
      </c>
      <c r="G92">
        <v>1</v>
      </c>
      <c r="H92" t="s">
        <v>517</v>
      </c>
      <c r="I92" t="s">
        <v>518</v>
      </c>
      <c r="J92" t="s">
        <v>519</v>
      </c>
      <c r="K92" t="s">
        <v>518</v>
      </c>
      <c r="L92" t="s">
        <v>520</v>
      </c>
      <c r="M92" s="1" t="str">
        <f t="shared" si="7"/>
        <v>06H673</v>
      </c>
      <c r="N92" s="1" t="str">
        <f t="shared" si="8"/>
        <v>C/O</v>
      </c>
      <c r="O92" s="1" t="str">
        <f t="shared" si="9"/>
        <v>Suspension LHR</v>
      </c>
      <c r="P92" s="1" t="str">
        <f t="shared" si="10"/>
        <v>7M60</v>
      </c>
      <c r="Q92" s="2" t="str">
        <f t="shared" si="11"/>
        <v>7M60Suspension LHR</v>
      </c>
      <c r="R92" s="2" t="str">
        <f>New_Xref[[#This Row],[Serial Prefix]]&amp;IF(New_Xref[[#This Row],[Func Loc]]&lt;&gt;"",New_Xref[[#This Row],[Func Loc]],"NO MATCH")</f>
        <v>7M60STRU .SUGR.SULB</v>
      </c>
      <c r="S92" s="3" t="str">
        <f t="shared" si="12"/>
        <v>7M603356354XSuspension LHR</v>
      </c>
      <c r="T92" s="3" t="s">
        <v>521</v>
      </c>
      <c r="U92" s="3" t="s">
        <v>96</v>
      </c>
      <c r="V92" t="str">
        <f t="shared" si="13"/>
        <v>7213LR</v>
      </c>
    </row>
    <row r="93" spans="1:22">
      <c r="A93" t="s">
        <v>410</v>
      </c>
      <c r="B93" t="s">
        <v>411</v>
      </c>
      <c r="C93" t="s">
        <v>515</v>
      </c>
      <c r="D93" t="s">
        <v>516</v>
      </c>
      <c r="E93" t="s">
        <v>506</v>
      </c>
      <c r="F93" t="s">
        <v>27</v>
      </c>
      <c r="G93">
        <v>1</v>
      </c>
      <c r="H93" t="s">
        <v>517</v>
      </c>
      <c r="I93" t="s">
        <v>522</v>
      </c>
      <c r="J93" t="s">
        <v>523</v>
      </c>
      <c r="K93" t="s">
        <v>524</v>
      </c>
      <c r="L93" t="s">
        <v>525</v>
      </c>
      <c r="M93" s="1" t="str">
        <f t="shared" si="7"/>
        <v>06H673</v>
      </c>
      <c r="N93" s="1" t="str">
        <f t="shared" si="8"/>
        <v>C/O</v>
      </c>
      <c r="O93" s="1" t="str">
        <f t="shared" si="9"/>
        <v>Suspension RHR</v>
      </c>
      <c r="P93" s="1" t="str">
        <f t="shared" si="10"/>
        <v>7M60</v>
      </c>
      <c r="Q93" s="2" t="str">
        <f t="shared" si="11"/>
        <v>7M60Suspension RHR</v>
      </c>
      <c r="R93" s="2" t="str">
        <f>New_Xref[[#This Row],[Serial Prefix]]&amp;IF(New_Xref[[#This Row],[Func Loc]]&lt;&gt;"",New_Xref[[#This Row],[Func Loc]],"NO MATCH")</f>
        <v>7M60STRU .SUGR.SURB</v>
      </c>
      <c r="S93" s="3" t="str">
        <f t="shared" si="12"/>
        <v>7M603356354XSuspension RHR</v>
      </c>
      <c r="T93" s="3" t="s">
        <v>521</v>
      </c>
      <c r="U93" s="3" t="s">
        <v>99</v>
      </c>
      <c r="V93" t="str">
        <f t="shared" si="13"/>
        <v>7213RR</v>
      </c>
    </row>
    <row r="94" spans="1:22">
      <c r="A94" t="s">
        <v>526</v>
      </c>
      <c r="B94" t="s">
        <v>527</v>
      </c>
      <c r="H94" t="s">
        <v>528</v>
      </c>
      <c r="I94" t="s">
        <v>529</v>
      </c>
      <c r="J94" t="s">
        <v>530</v>
      </c>
      <c r="K94" t="s">
        <v>531</v>
      </c>
      <c r="L94" t="s">
        <v>32</v>
      </c>
      <c r="M94" s="1" t="str">
        <f t="shared" si="7"/>
        <v>08H344</v>
      </c>
      <c r="N94" s="1" t="str">
        <f t="shared" si="8"/>
        <v>C/O</v>
      </c>
      <c r="O94" s="1" t="str">
        <f t="shared" si="9"/>
        <v>Engine</v>
      </c>
      <c r="P94" s="1" t="str">
        <f t="shared" si="10"/>
        <v>T8Y0</v>
      </c>
      <c r="Q94" s="2" t="str">
        <f t="shared" si="11"/>
        <v>T8Y0Engine</v>
      </c>
      <c r="R94" s="2" t="str">
        <f>New_Xref[[#This Row],[Serial Prefix]]&amp;IF(New_Xref[[#This Row],[Func Loc]]&lt;&gt;"",New_Xref[[#This Row],[Func Loc]],"NO MATCH")</f>
        <v>T8Y0ENGD</v>
      </c>
      <c r="S94" s="3" t="str">
        <f t="shared" si="12"/>
        <v>T8Y0Engine</v>
      </c>
      <c r="T94" s="3" t="s">
        <v>33</v>
      </c>
      <c r="U94" s="3" t="s">
        <v>34</v>
      </c>
      <c r="V94" t="str">
        <f t="shared" si="13"/>
        <v>100000</v>
      </c>
    </row>
    <row r="95" spans="1:22">
      <c r="A95" t="s">
        <v>526</v>
      </c>
      <c r="B95" t="s">
        <v>527</v>
      </c>
      <c r="C95" t="s">
        <v>532</v>
      </c>
      <c r="D95" t="s">
        <v>533</v>
      </c>
      <c r="E95" t="s">
        <v>263</v>
      </c>
      <c r="F95" t="s">
        <v>27</v>
      </c>
      <c r="G95">
        <v>1</v>
      </c>
      <c r="H95" t="s">
        <v>534</v>
      </c>
      <c r="I95" t="s">
        <v>529</v>
      </c>
      <c r="J95" t="s">
        <v>535</v>
      </c>
      <c r="K95" t="s">
        <v>536</v>
      </c>
      <c r="L95" t="s">
        <v>424</v>
      </c>
      <c r="M95" s="1" t="str">
        <f t="shared" si="7"/>
        <v>08H344</v>
      </c>
      <c r="N95" s="1" t="str">
        <f t="shared" si="8"/>
        <v>C/O</v>
      </c>
      <c r="O95" s="1" t="str">
        <f t="shared" si="9"/>
        <v>Turbocharger LH</v>
      </c>
      <c r="P95" s="1" t="str">
        <f t="shared" si="10"/>
        <v>T8Y0</v>
      </c>
      <c r="Q95" s="2" t="str">
        <f t="shared" si="11"/>
        <v>T8Y0Turbocharger LH</v>
      </c>
      <c r="R95" s="2" t="str">
        <f>New_Xref[[#This Row],[Serial Prefix]]&amp;IF(New_Xref[[#This Row],[Func Loc]]&lt;&gt;"",New_Xref[[#This Row],[Func Loc]],"NO MATCH")</f>
        <v>T8Y0ENGD .TURB.TURL</v>
      </c>
      <c r="S95" s="3" t="str">
        <f t="shared" si="12"/>
        <v>T8Y020R3687Turbocharger LH</v>
      </c>
      <c r="T95" s="3" t="s">
        <v>47</v>
      </c>
      <c r="U95" s="3" t="s">
        <v>108</v>
      </c>
      <c r="V95" t="str">
        <f t="shared" si="13"/>
        <v>1052LT</v>
      </c>
    </row>
    <row r="96" spans="1:22">
      <c r="A96" t="s">
        <v>526</v>
      </c>
      <c r="B96" t="s">
        <v>527</v>
      </c>
      <c r="C96" t="s">
        <v>537</v>
      </c>
      <c r="D96" t="s">
        <v>538</v>
      </c>
      <c r="E96" t="s">
        <v>263</v>
      </c>
      <c r="F96" t="s">
        <v>27</v>
      </c>
      <c r="G96">
        <v>1</v>
      </c>
      <c r="H96" t="s">
        <v>539</v>
      </c>
      <c r="I96" t="s">
        <v>529</v>
      </c>
      <c r="J96" t="s">
        <v>540</v>
      </c>
      <c r="K96" t="s">
        <v>541</v>
      </c>
      <c r="L96" t="s">
        <v>430</v>
      </c>
      <c r="M96" s="1" t="str">
        <f t="shared" si="7"/>
        <v>08H344</v>
      </c>
      <c r="N96" s="1" t="str">
        <f t="shared" si="8"/>
        <v>C/O</v>
      </c>
      <c r="O96" s="1" t="str">
        <f t="shared" si="9"/>
        <v>Turbocharger RH</v>
      </c>
      <c r="P96" s="1" t="str">
        <f t="shared" si="10"/>
        <v>T8Y0</v>
      </c>
      <c r="Q96" s="2" t="str">
        <f t="shared" si="11"/>
        <v>T8Y0Turbocharger RH</v>
      </c>
      <c r="R96" s="2" t="str">
        <f>New_Xref[[#This Row],[Serial Prefix]]&amp;IF(New_Xref[[#This Row],[Func Loc]]&lt;&gt;"",New_Xref[[#This Row],[Func Loc]],"NO MATCH")</f>
        <v>T8Y0ENGD .TURB.TURR</v>
      </c>
      <c r="S96" s="3" t="str">
        <f t="shared" si="12"/>
        <v>T8Y020R3692Turbocharger RH</v>
      </c>
      <c r="T96" s="3" t="s">
        <v>47</v>
      </c>
      <c r="U96" s="3" t="s">
        <v>115</v>
      </c>
      <c r="V96" t="str">
        <f t="shared" si="13"/>
        <v>1052RI</v>
      </c>
    </row>
    <row r="97" spans="1:22">
      <c r="A97" t="s">
        <v>526</v>
      </c>
      <c r="B97" t="s">
        <v>527</v>
      </c>
      <c r="C97" t="s">
        <v>431</v>
      </c>
      <c r="D97" t="s">
        <v>432</v>
      </c>
      <c r="E97" t="s">
        <v>276</v>
      </c>
      <c r="F97" t="s">
        <v>27</v>
      </c>
      <c r="G97">
        <v>12</v>
      </c>
      <c r="H97" t="s">
        <v>542</v>
      </c>
      <c r="I97" t="s">
        <v>529</v>
      </c>
      <c r="J97" t="s">
        <v>543</v>
      </c>
      <c r="K97" t="s">
        <v>544</v>
      </c>
      <c r="L97" t="s">
        <v>62</v>
      </c>
      <c r="M97" s="1" t="str">
        <f t="shared" si="7"/>
        <v>08H344</v>
      </c>
      <c r="N97" s="1" t="str">
        <f t="shared" si="8"/>
        <v>C/O</v>
      </c>
      <c r="O97" s="1" t="str">
        <f t="shared" si="9"/>
        <v>Fuel Injectors</v>
      </c>
      <c r="P97" s="1" t="str">
        <f t="shared" si="10"/>
        <v>T8Y0</v>
      </c>
      <c r="Q97" s="2" t="str">
        <f t="shared" si="11"/>
        <v>T8Y0Fuel Injectors</v>
      </c>
      <c r="R97" s="2" t="str">
        <f>New_Xref[[#This Row],[Serial Prefix]]&amp;IF(New_Xref[[#This Row],[Func Loc]]&lt;&gt;"",New_Xref[[#This Row],[Func Loc]],"NO MATCH")</f>
        <v>T8Y0ENGD .FUEL.INJE</v>
      </c>
      <c r="S97" s="3" t="str">
        <f t="shared" si="12"/>
        <v>T8Y06470750Fuel Injectors</v>
      </c>
      <c r="T97" s="3" t="s">
        <v>63</v>
      </c>
      <c r="U97" s="3" t="s">
        <v>34</v>
      </c>
      <c r="V97" t="str">
        <f t="shared" si="13"/>
        <v>125100</v>
      </c>
    </row>
    <row r="98" spans="1:22">
      <c r="A98" t="s">
        <v>526</v>
      </c>
      <c r="B98" t="s">
        <v>527</v>
      </c>
      <c r="C98" t="s">
        <v>286</v>
      </c>
      <c r="D98" t="s">
        <v>287</v>
      </c>
      <c r="E98" t="s">
        <v>288</v>
      </c>
      <c r="F98" t="s">
        <v>27</v>
      </c>
      <c r="G98">
        <v>1</v>
      </c>
      <c r="H98" t="s">
        <v>545</v>
      </c>
      <c r="I98" t="s">
        <v>529</v>
      </c>
      <c r="J98" t="s">
        <v>546</v>
      </c>
      <c r="K98" t="s">
        <v>547</v>
      </c>
      <c r="L98" t="s">
        <v>182</v>
      </c>
      <c r="M98" s="1" t="str">
        <f t="shared" si="7"/>
        <v>08H344</v>
      </c>
      <c r="N98" s="1" t="str">
        <f t="shared" si="8"/>
        <v>C/O</v>
      </c>
      <c r="O98" s="1" t="str">
        <f t="shared" si="9"/>
        <v>Water Pump Main</v>
      </c>
      <c r="P98" s="1" t="str">
        <f t="shared" si="10"/>
        <v>T8Y0</v>
      </c>
      <c r="Q98" s="2" t="str">
        <f t="shared" si="11"/>
        <v>T8Y0Water Pump Main</v>
      </c>
      <c r="R98" s="2" t="str">
        <f>New_Xref[[#This Row],[Serial Prefix]]&amp;IF(New_Xref[[#This Row],[Func Loc]]&lt;&gt;"",New_Xref[[#This Row],[Func Loc]],"NO MATCH")</f>
        <v>T8Y0ENGD .WAPU.WAPM</v>
      </c>
      <c r="S98" s="3" t="str">
        <f t="shared" si="12"/>
        <v>T8Y020R1859Water Pump Main</v>
      </c>
      <c r="T98" s="3" t="s">
        <v>183</v>
      </c>
      <c r="U98" s="3" t="s">
        <v>34</v>
      </c>
      <c r="V98" t="str">
        <f t="shared" si="13"/>
        <v>136100</v>
      </c>
    </row>
    <row r="99" spans="1:22">
      <c r="A99" t="s">
        <v>526</v>
      </c>
      <c r="B99" t="s">
        <v>527</v>
      </c>
      <c r="C99" t="s">
        <v>548</v>
      </c>
      <c r="D99" t="s">
        <v>549</v>
      </c>
      <c r="E99" t="s">
        <v>550</v>
      </c>
      <c r="F99" t="s">
        <v>27</v>
      </c>
      <c r="G99">
        <v>1</v>
      </c>
      <c r="H99" t="s">
        <v>551</v>
      </c>
      <c r="I99" t="s">
        <v>552</v>
      </c>
      <c r="J99" t="s">
        <v>553</v>
      </c>
      <c r="K99" t="s">
        <v>552</v>
      </c>
      <c r="L99" t="s">
        <v>365</v>
      </c>
      <c r="M99" s="1" t="str">
        <f t="shared" si="7"/>
        <v>08H344</v>
      </c>
      <c r="N99" s="1" t="str">
        <f t="shared" si="8"/>
        <v>C/O</v>
      </c>
      <c r="O99" s="1" t="str">
        <f t="shared" si="9"/>
        <v>Engine Cooling Fan Pump</v>
      </c>
      <c r="P99" s="1" t="str">
        <f t="shared" si="10"/>
        <v>T8Y0</v>
      </c>
      <c r="Q99" s="2" t="str">
        <f t="shared" si="11"/>
        <v>T8Y0Engine Cooling Fan Pump</v>
      </c>
      <c r="R99" s="2" t="str">
        <f>New_Xref[[#This Row],[Serial Prefix]]&amp;IF(New_Xref[[#This Row],[Func Loc]]&lt;&gt;"",New_Xref[[#This Row],[Func Loc]],"NO MATCH")</f>
        <v>T8Y0MYHD .PUMP.ECFP</v>
      </c>
      <c r="S99" s="3" t="str">
        <f t="shared" si="12"/>
        <v>T8Y020R0098Engine Cooling Fan Pump</v>
      </c>
      <c r="T99" s="3" t="s">
        <v>188</v>
      </c>
      <c r="U99" s="3" t="s">
        <v>34</v>
      </c>
      <c r="V99" t="str">
        <f t="shared" si="13"/>
        <v>138600</v>
      </c>
    </row>
    <row r="100" spans="1:22">
      <c r="A100" t="s">
        <v>526</v>
      </c>
      <c r="B100" t="s">
        <v>527</v>
      </c>
      <c r="C100" t="s">
        <v>554</v>
      </c>
      <c r="D100" t="s">
        <v>555</v>
      </c>
      <c r="E100" t="s">
        <v>556</v>
      </c>
      <c r="F100" t="s">
        <v>27</v>
      </c>
      <c r="G100">
        <v>1</v>
      </c>
      <c r="H100" t="s">
        <v>557</v>
      </c>
      <c r="I100" t="s">
        <v>558</v>
      </c>
      <c r="J100" t="s">
        <v>559</v>
      </c>
      <c r="K100" t="s">
        <v>558</v>
      </c>
      <c r="L100" t="s">
        <v>187</v>
      </c>
      <c r="M100" s="1" t="str">
        <f t="shared" si="7"/>
        <v>08H344</v>
      </c>
      <c r="N100" s="1" t="str">
        <f t="shared" si="8"/>
        <v>C/O</v>
      </c>
      <c r="O100" s="1" t="str">
        <f t="shared" si="9"/>
        <v>Engine Cooling Fan Motor</v>
      </c>
      <c r="P100" s="1" t="str">
        <f t="shared" si="10"/>
        <v>T8Y0</v>
      </c>
      <c r="Q100" s="2" t="str">
        <f t="shared" si="11"/>
        <v>T8Y0Engine Cooling Fan Motor</v>
      </c>
      <c r="R100" s="2" t="str">
        <f>New_Xref[[#This Row],[Serial Prefix]]&amp;IF(New_Xref[[#This Row],[Func Loc]]&lt;&gt;"",New_Xref[[#This Row],[Func Loc]],"NO MATCH")</f>
        <v>T8Y0MYHD .MOTO.ECFM</v>
      </c>
      <c r="S100" s="3" t="str">
        <f t="shared" si="12"/>
        <v>T8Y00R9340Engine Cooling Fan Motor</v>
      </c>
      <c r="T100" s="3" t="s">
        <v>188</v>
      </c>
      <c r="U100" s="3" t="s">
        <v>34</v>
      </c>
      <c r="V100" t="str">
        <f t="shared" si="13"/>
        <v>138600</v>
      </c>
    </row>
    <row r="101" spans="1:22">
      <c r="A101" t="s">
        <v>526</v>
      </c>
      <c r="B101" t="s">
        <v>527</v>
      </c>
      <c r="C101" t="s">
        <v>560</v>
      </c>
      <c r="D101" t="s">
        <v>561</v>
      </c>
      <c r="E101" t="s">
        <v>562</v>
      </c>
      <c r="F101" t="s">
        <v>27</v>
      </c>
      <c r="G101">
        <v>1</v>
      </c>
      <c r="H101" t="s">
        <v>563</v>
      </c>
      <c r="I101" t="s">
        <v>564</v>
      </c>
      <c r="J101" t="s">
        <v>565</v>
      </c>
      <c r="K101" t="s">
        <v>564</v>
      </c>
      <c r="L101" t="s">
        <v>350</v>
      </c>
      <c r="M101" s="1" t="str">
        <f t="shared" si="7"/>
        <v>08H344</v>
      </c>
      <c r="N101" s="1" t="str">
        <f t="shared" si="8"/>
        <v>C/O</v>
      </c>
      <c r="O101" s="1" t="str">
        <f t="shared" si="9"/>
        <v>Axle Assembly Front</v>
      </c>
      <c r="P101" s="1" t="str">
        <f t="shared" si="10"/>
        <v>T8Y0</v>
      </c>
      <c r="Q101" s="2" t="str">
        <f t="shared" si="11"/>
        <v>T8Y0Axle Assembly Front</v>
      </c>
      <c r="R101" s="2" t="str">
        <f>New_Xref[[#This Row],[Serial Prefix]]&amp;IF(New_Xref[[#This Row],[Func Loc]]&lt;&gt;"",New_Xref[[#This Row],[Func Loc]],"NO MATCH")</f>
        <v>T8Y0FDRV .AXAF</v>
      </c>
      <c r="S101" s="3" t="str">
        <f t="shared" si="12"/>
        <v>T8Y03732557FAxle Assembly Front</v>
      </c>
      <c r="T101" s="3" t="s">
        <v>566</v>
      </c>
      <c r="U101" s="3" t="s">
        <v>386</v>
      </c>
      <c r="V101" t="str">
        <f t="shared" si="13"/>
        <v>3013FR</v>
      </c>
    </row>
    <row r="102" spans="1:22">
      <c r="A102" t="s">
        <v>526</v>
      </c>
      <c r="B102" t="s">
        <v>527</v>
      </c>
      <c r="C102" t="s">
        <v>567</v>
      </c>
      <c r="D102" t="s">
        <v>568</v>
      </c>
      <c r="E102" t="s">
        <v>562</v>
      </c>
      <c r="F102" t="s">
        <v>27</v>
      </c>
      <c r="G102">
        <v>1</v>
      </c>
      <c r="H102" t="s">
        <v>569</v>
      </c>
      <c r="I102" t="s">
        <v>570</v>
      </c>
      <c r="J102" t="s">
        <v>571</v>
      </c>
      <c r="K102" t="s">
        <v>570</v>
      </c>
      <c r="L102" t="s">
        <v>198</v>
      </c>
      <c r="M102" s="1" t="str">
        <f t="shared" si="7"/>
        <v>08H344</v>
      </c>
      <c r="N102" s="1" t="str">
        <f t="shared" si="8"/>
        <v>C/O</v>
      </c>
      <c r="O102" s="1" t="str">
        <f t="shared" si="9"/>
        <v>Axle Assembly Rear</v>
      </c>
      <c r="P102" s="1" t="str">
        <f t="shared" si="10"/>
        <v>T8Y0</v>
      </c>
      <c r="Q102" s="2" t="str">
        <f t="shared" si="11"/>
        <v>T8Y0Axle Assembly Rear</v>
      </c>
      <c r="R102" s="2" t="str">
        <f>New_Xref[[#This Row],[Serial Prefix]]&amp;IF(New_Xref[[#This Row],[Func Loc]]&lt;&gt;"",New_Xref[[#This Row],[Func Loc]],"NO MATCH")</f>
        <v>T8Y0FDRV .AXAR</v>
      </c>
      <c r="S102" s="3" t="str">
        <f t="shared" si="12"/>
        <v>T8Y03732558FAxle Assembly Rear</v>
      </c>
      <c r="T102" s="3" t="s">
        <v>566</v>
      </c>
      <c r="U102" s="3" t="s">
        <v>317</v>
      </c>
      <c r="V102" t="str">
        <f t="shared" si="13"/>
        <v>3013RE</v>
      </c>
    </row>
    <row r="103" spans="1:22">
      <c r="A103" t="s">
        <v>526</v>
      </c>
      <c r="B103" t="s">
        <v>527</v>
      </c>
      <c r="C103" t="s">
        <v>572</v>
      </c>
      <c r="D103" t="s">
        <v>573</v>
      </c>
      <c r="E103" t="s">
        <v>191</v>
      </c>
      <c r="F103" t="s">
        <v>27</v>
      </c>
      <c r="G103">
        <v>1</v>
      </c>
      <c r="H103" t="s">
        <v>574</v>
      </c>
      <c r="I103" t="s">
        <v>575</v>
      </c>
      <c r="J103" t="s">
        <v>576</v>
      </c>
      <c r="K103" t="s">
        <v>575</v>
      </c>
      <c r="L103" t="s">
        <v>72</v>
      </c>
      <c r="M103" s="1" t="str">
        <f t="shared" si="7"/>
        <v>08H344</v>
      </c>
      <c r="N103" s="1" t="str">
        <f t="shared" si="8"/>
        <v>C/O</v>
      </c>
      <c r="O103" s="1" t="str">
        <f t="shared" si="9"/>
        <v>Transmission</v>
      </c>
      <c r="P103" s="1" t="str">
        <f t="shared" si="10"/>
        <v>T8Y0</v>
      </c>
      <c r="Q103" s="2" t="str">
        <f t="shared" si="11"/>
        <v>T8Y0Transmission</v>
      </c>
      <c r="R103" s="2" t="str">
        <f>New_Xref[[#This Row],[Serial Prefix]]&amp;IF(New_Xref[[#This Row],[Func Loc]]&lt;&gt;"",New_Xref[[#This Row],[Func Loc]],"NO MATCH")</f>
        <v>T8Y0TRAN .TRAN</v>
      </c>
      <c r="S103" s="3" t="str">
        <f t="shared" si="12"/>
        <v>T8Y03466114XTransmission</v>
      </c>
      <c r="T103" s="3" t="s">
        <v>73</v>
      </c>
      <c r="U103" s="3" t="s">
        <v>34</v>
      </c>
      <c r="V103" t="str">
        <f t="shared" si="13"/>
        <v>303000</v>
      </c>
    </row>
    <row r="104" spans="1:22">
      <c r="A104" t="s">
        <v>526</v>
      </c>
      <c r="B104" t="s">
        <v>527</v>
      </c>
      <c r="C104" t="s">
        <v>577</v>
      </c>
      <c r="D104" t="s">
        <v>578</v>
      </c>
      <c r="E104" t="s">
        <v>579</v>
      </c>
      <c r="F104" t="s">
        <v>27</v>
      </c>
      <c r="G104">
        <v>1</v>
      </c>
      <c r="H104" t="s">
        <v>580</v>
      </c>
      <c r="I104" t="s">
        <v>581</v>
      </c>
      <c r="J104" t="s">
        <v>582</v>
      </c>
      <c r="K104" t="s">
        <v>581</v>
      </c>
      <c r="L104" t="s">
        <v>583</v>
      </c>
      <c r="M104" s="1" t="str">
        <f t="shared" si="7"/>
        <v>08H344</v>
      </c>
      <c r="N104" s="1" t="str">
        <f t="shared" si="8"/>
        <v>C/O</v>
      </c>
      <c r="O104" s="1" t="str">
        <f t="shared" si="9"/>
        <v>Transmission Charge Pump</v>
      </c>
      <c r="P104" s="1" t="str">
        <f t="shared" si="10"/>
        <v>T8Y0</v>
      </c>
      <c r="Q104" s="2" t="str">
        <f t="shared" si="11"/>
        <v>T8Y0Transmission Charge Pump</v>
      </c>
      <c r="R104" s="2" t="str">
        <f>New_Xref[[#This Row],[Serial Prefix]]&amp;IF(New_Xref[[#This Row],[Func Loc]]&lt;&gt;"",New_Xref[[#This Row],[Func Loc]],"NO MATCH")</f>
        <v>T8Y0TRAN .PUMP.TRCP</v>
      </c>
      <c r="S104" s="3" t="str">
        <f t="shared" si="12"/>
        <v>T8Y020R6497Transmission Charge Pump</v>
      </c>
      <c r="T104" s="3" t="s">
        <v>584</v>
      </c>
      <c r="U104" s="3" t="s">
        <v>34</v>
      </c>
      <c r="V104" t="str">
        <f t="shared" si="13"/>
        <v>306600</v>
      </c>
    </row>
    <row r="105" spans="1:22">
      <c r="A105" t="s">
        <v>526</v>
      </c>
      <c r="B105" t="s">
        <v>527</v>
      </c>
      <c r="C105" t="s">
        <v>585</v>
      </c>
      <c r="D105" t="s">
        <v>586</v>
      </c>
      <c r="E105" t="s">
        <v>587</v>
      </c>
      <c r="F105" t="s">
        <v>27</v>
      </c>
      <c r="G105">
        <v>1</v>
      </c>
      <c r="H105" t="s">
        <v>588</v>
      </c>
      <c r="I105" t="s">
        <v>589</v>
      </c>
      <c r="J105" t="s">
        <v>590</v>
      </c>
      <c r="K105" t="s">
        <v>589</v>
      </c>
      <c r="L105" t="s">
        <v>304</v>
      </c>
      <c r="M105" s="1" t="str">
        <f t="shared" si="7"/>
        <v>08H344</v>
      </c>
      <c r="N105" s="1" t="str">
        <f t="shared" si="8"/>
        <v>C/O</v>
      </c>
      <c r="O105" s="1" t="str">
        <f t="shared" si="9"/>
        <v>Main Pump Drive Trans</v>
      </c>
      <c r="P105" s="1" t="str">
        <f t="shared" si="10"/>
        <v>T8Y0</v>
      </c>
      <c r="Q105" s="2" t="str">
        <f t="shared" si="11"/>
        <v>T8Y0Main Pump Drive Trans</v>
      </c>
      <c r="R105" s="2" t="str">
        <f>New_Xref[[#This Row],[Serial Prefix]]&amp;IF(New_Xref[[#This Row],[Func Loc]]&lt;&gt;"",New_Xref[[#This Row],[Func Loc]],"NO MATCH")</f>
        <v>T8Y0TRAN .TOCO</v>
      </c>
      <c r="S105" s="3" t="str">
        <f t="shared" si="12"/>
        <v>T8Y03465837XMain Pump Drive Trans</v>
      </c>
      <c r="T105" s="3" t="s">
        <v>305</v>
      </c>
      <c r="U105" s="3" t="s">
        <v>34</v>
      </c>
      <c r="V105" t="str">
        <f t="shared" si="13"/>
        <v>310100</v>
      </c>
    </row>
    <row r="106" spans="1:22">
      <c r="A106" t="s">
        <v>526</v>
      </c>
      <c r="B106" t="s">
        <v>527</v>
      </c>
      <c r="C106" t="s">
        <v>591</v>
      </c>
      <c r="D106" t="s">
        <v>592</v>
      </c>
      <c r="E106" t="s">
        <v>593</v>
      </c>
      <c r="F106" t="s">
        <v>27</v>
      </c>
      <c r="G106">
        <v>1</v>
      </c>
      <c r="H106" t="s">
        <v>594</v>
      </c>
      <c r="I106" t="s">
        <v>595</v>
      </c>
      <c r="J106" t="s">
        <v>596</v>
      </c>
      <c r="K106" t="s">
        <v>595</v>
      </c>
      <c r="L106" t="s">
        <v>597</v>
      </c>
      <c r="M106" s="1" t="str">
        <f t="shared" si="7"/>
        <v>08H344</v>
      </c>
      <c r="N106" s="1" t="str">
        <f t="shared" si="8"/>
        <v>C/O</v>
      </c>
      <c r="O106" s="1" t="str">
        <f t="shared" si="9"/>
        <v>Steering Cylinder LH</v>
      </c>
      <c r="P106" s="1" t="str">
        <f t="shared" si="10"/>
        <v>T8Y0</v>
      </c>
      <c r="Q106" s="2" t="str">
        <f t="shared" si="11"/>
        <v>T8Y0Steering Cylinder LH</v>
      </c>
      <c r="R106" s="2" t="str">
        <f>New_Xref[[#This Row],[Serial Prefix]]&amp;IF(New_Xref[[#This Row],[Func Loc]]&lt;&gt;"",New_Xref[[#This Row],[Func Loc]],"NO MATCH")</f>
        <v>T8Y0STRG .CYLI.STCL</v>
      </c>
      <c r="S106" s="3" t="str">
        <f t="shared" si="12"/>
        <v>T8Y01571352XSteering Cylinder LH</v>
      </c>
      <c r="T106" s="3" t="s">
        <v>107</v>
      </c>
      <c r="U106" s="3" t="s">
        <v>89</v>
      </c>
      <c r="V106" t="str">
        <f t="shared" si="13"/>
        <v>4303LF</v>
      </c>
    </row>
    <row r="107" spans="1:22">
      <c r="A107" t="s">
        <v>526</v>
      </c>
      <c r="B107" t="s">
        <v>527</v>
      </c>
      <c r="C107" t="s">
        <v>591</v>
      </c>
      <c r="D107" t="s">
        <v>592</v>
      </c>
      <c r="E107" t="s">
        <v>593</v>
      </c>
      <c r="F107" t="s">
        <v>27</v>
      </c>
      <c r="G107">
        <v>1</v>
      </c>
      <c r="H107" t="s">
        <v>594</v>
      </c>
      <c r="I107" t="s">
        <v>598</v>
      </c>
      <c r="J107" t="s">
        <v>599</v>
      </c>
      <c r="K107" t="s">
        <v>598</v>
      </c>
      <c r="L107" t="s">
        <v>600</v>
      </c>
      <c r="M107" s="1" t="str">
        <f t="shared" si="7"/>
        <v>08H344</v>
      </c>
      <c r="N107" s="1" t="str">
        <f t="shared" si="8"/>
        <v>C/O</v>
      </c>
      <c r="O107" s="1" t="str">
        <f t="shared" si="9"/>
        <v>Steering Cylinder RH</v>
      </c>
      <c r="P107" s="1" t="str">
        <f t="shared" si="10"/>
        <v>T8Y0</v>
      </c>
      <c r="Q107" s="2" t="str">
        <f t="shared" si="11"/>
        <v>T8Y0Steering Cylinder RH</v>
      </c>
      <c r="R107" s="2" t="str">
        <f>New_Xref[[#This Row],[Serial Prefix]]&amp;IF(New_Xref[[#This Row],[Func Loc]]&lt;&gt;"",New_Xref[[#This Row],[Func Loc]],"NO MATCH")</f>
        <v>T8Y0STRG .CYLI.STCR</v>
      </c>
      <c r="S107" s="3" t="str">
        <f t="shared" si="12"/>
        <v>T8Y01571352XSteering Cylinder RH</v>
      </c>
      <c r="T107" s="3" t="s">
        <v>107</v>
      </c>
      <c r="U107" s="3" t="s">
        <v>92</v>
      </c>
      <c r="V107" t="str">
        <f t="shared" si="13"/>
        <v>4303RF</v>
      </c>
    </row>
    <row r="108" spans="1:22">
      <c r="A108" t="s">
        <v>526</v>
      </c>
      <c r="B108" t="s">
        <v>527</v>
      </c>
      <c r="C108" t="s">
        <v>601</v>
      </c>
      <c r="D108" t="s">
        <v>602</v>
      </c>
      <c r="E108" t="s">
        <v>603</v>
      </c>
      <c r="F108" t="s">
        <v>27</v>
      </c>
      <c r="G108">
        <v>1</v>
      </c>
      <c r="H108" t="s">
        <v>604</v>
      </c>
      <c r="I108" t="s">
        <v>605</v>
      </c>
      <c r="J108" t="s">
        <v>606</v>
      </c>
      <c r="K108" t="s">
        <v>605</v>
      </c>
      <c r="L108" t="s">
        <v>341</v>
      </c>
      <c r="M108" s="1" t="str">
        <f t="shared" si="7"/>
        <v>08H344</v>
      </c>
      <c r="N108" s="1" t="str">
        <f t="shared" si="8"/>
        <v>C/O</v>
      </c>
      <c r="O108" s="1" t="str">
        <f t="shared" si="9"/>
        <v>Primary Steering Pump</v>
      </c>
      <c r="P108" s="1" t="str">
        <f t="shared" si="10"/>
        <v>T8Y0</v>
      </c>
      <c r="Q108" s="2" t="str">
        <f t="shared" si="11"/>
        <v>T8Y0Primary Steering Pump</v>
      </c>
      <c r="R108" s="2" t="str">
        <f>New_Xref[[#This Row],[Serial Prefix]]&amp;IF(New_Xref[[#This Row],[Func Loc]]&lt;&gt;"",New_Xref[[#This Row],[Func Loc]],"NO MATCH")</f>
        <v>T8Y0STRG .PUMP.PRSP</v>
      </c>
      <c r="S108" s="3" t="str">
        <f t="shared" si="12"/>
        <v>T8Y010R3808Primary Steering Pump</v>
      </c>
      <c r="T108" s="3" t="s">
        <v>342</v>
      </c>
      <c r="U108" s="3" t="s">
        <v>34</v>
      </c>
      <c r="V108" t="str">
        <f t="shared" si="13"/>
        <v>430600</v>
      </c>
    </row>
    <row r="109" spans="1:22">
      <c r="A109" t="s">
        <v>526</v>
      </c>
      <c r="B109" t="s">
        <v>527</v>
      </c>
      <c r="C109" t="s">
        <v>607</v>
      </c>
      <c r="D109" t="s">
        <v>608</v>
      </c>
      <c r="E109" t="s">
        <v>609</v>
      </c>
      <c r="F109" t="s">
        <v>27</v>
      </c>
      <c r="G109">
        <v>1</v>
      </c>
      <c r="H109" t="s">
        <v>610</v>
      </c>
      <c r="I109" t="s">
        <v>611</v>
      </c>
      <c r="J109" t="s">
        <v>612</v>
      </c>
      <c r="K109" t="s">
        <v>611</v>
      </c>
      <c r="L109" t="s">
        <v>83</v>
      </c>
      <c r="M109" s="1" t="str">
        <f t="shared" si="7"/>
        <v>08H344</v>
      </c>
      <c r="N109" s="1" t="str">
        <f t="shared" si="8"/>
        <v>C/O</v>
      </c>
      <c r="O109" s="1" t="str">
        <f t="shared" si="9"/>
        <v>Axle Cooler Pump &amp; Motor</v>
      </c>
      <c r="P109" s="1" t="str">
        <f t="shared" si="10"/>
        <v>T8Y0</v>
      </c>
      <c r="Q109" s="2" t="str">
        <f t="shared" si="11"/>
        <v>T8Y0Axle Cooler Pump &amp; Motor</v>
      </c>
      <c r="R109" s="2" t="str">
        <f>New_Xref[[#This Row],[Serial Prefix]]&amp;IF(New_Xref[[#This Row],[Func Loc]]&lt;&gt;"",New_Xref[[#This Row],[Func Loc]],"NO MATCH")</f>
        <v>T8Y0NO MATCH</v>
      </c>
      <c r="S109" s="3" t="str">
        <f t="shared" si="12"/>
        <v>T8Y03402113Axle Cooler Pump &amp; Motor</v>
      </c>
      <c r="T109" s="3" t="s">
        <v>613</v>
      </c>
      <c r="U109" s="3" t="s">
        <v>34</v>
      </c>
      <c r="V109" t="str">
        <f t="shared" si="13"/>
        <v>506G00</v>
      </c>
    </row>
    <row r="110" spans="1:22">
      <c r="A110" t="s">
        <v>526</v>
      </c>
      <c r="B110" t="s">
        <v>527</v>
      </c>
      <c r="C110" t="s">
        <v>614</v>
      </c>
      <c r="D110" t="s">
        <v>615</v>
      </c>
      <c r="E110" t="s">
        <v>616</v>
      </c>
      <c r="F110" t="s">
        <v>27</v>
      </c>
      <c r="G110">
        <v>1</v>
      </c>
      <c r="H110" t="s">
        <v>617</v>
      </c>
      <c r="I110" t="s">
        <v>618</v>
      </c>
      <c r="J110" t="s">
        <v>619</v>
      </c>
      <c r="K110" t="s">
        <v>618</v>
      </c>
      <c r="L110" t="s">
        <v>219</v>
      </c>
      <c r="M110" s="1" t="str">
        <f t="shared" si="7"/>
        <v>08H344</v>
      </c>
      <c r="N110" s="1" t="str">
        <f t="shared" si="8"/>
        <v>C/O</v>
      </c>
      <c r="O110" s="1" t="str">
        <f t="shared" si="9"/>
        <v>Main Hydraulic Pump</v>
      </c>
      <c r="P110" s="1" t="str">
        <f t="shared" si="10"/>
        <v>T8Y0</v>
      </c>
      <c r="Q110" s="2" t="str">
        <f t="shared" si="11"/>
        <v>T8Y0Main Hydraulic Pump</v>
      </c>
      <c r="R110" s="2" t="str">
        <f>New_Xref[[#This Row],[Serial Prefix]]&amp;IF(New_Xref[[#This Row],[Func Loc]]&lt;&gt;"",New_Xref[[#This Row],[Func Loc]],"NO MATCH")</f>
        <v>T8Y0MYHD .PUMP.MAHP</v>
      </c>
      <c r="S110" s="3" t="str">
        <f t="shared" si="12"/>
        <v>T8Y010R7974Main Hydraulic Pump</v>
      </c>
      <c r="T110" s="3" t="s">
        <v>503</v>
      </c>
      <c r="U110" s="3" t="s">
        <v>34</v>
      </c>
      <c r="V110" t="str">
        <f t="shared" si="13"/>
        <v>507300</v>
      </c>
    </row>
    <row r="111" spans="1:22">
      <c r="A111" t="s">
        <v>526</v>
      </c>
      <c r="B111" t="s">
        <v>527</v>
      </c>
      <c r="C111" t="s">
        <v>620</v>
      </c>
      <c r="D111" t="s">
        <v>621</v>
      </c>
      <c r="E111" t="s">
        <v>622</v>
      </c>
      <c r="F111" t="s">
        <v>27</v>
      </c>
      <c r="G111">
        <v>1</v>
      </c>
      <c r="H111" t="s">
        <v>623</v>
      </c>
      <c r="I111" t="s">
        <v>624</v>
      </c>
      <c r="J111" t="s">
        <v>625</v>
      </c>
      <c r="K111" t="s">
        <v>624</v>
      </c>
      <c r="L111" t="s">
        <v>626</v>
      </c>
      <c r="M111" s="1" t="str">
        <f t="shared" si="7"/>
        <v>08H344</v>
      </c>
      <c r="N111" s="1" t="str">
        <f t="shared" si="8"/>
        <v>C/O</v>
      </c>
      <c r="O111" s="1" t="str">
        <f t="shared" si="9"/>
        <v>Lift Cylinder LH</v>
      </c>
      <c r="P111" s="1" t="str">
        <f t="shared" si="10"/>
        <v>T8Y0</v>
      </c>
      <c r="Q111" s="2" t="str">
        <f t="shared" si="11"/>
        <v>T8Y0Lift Cylinder LH</v>
      </c>
      <c r="R111" s="2" t="str">
        <f>New_Xref[[#This Row],[Serial Prefix]]&amp;IF(New_Xref[[#This Row],[Func Loc]]&lt;&gt;"",New_Xref[[#This Row],[Func Loc]],"NO MATCH")</f>
        <v>T8Y0MYHD .CYLI.LIFL</v>
      </c>
      <c r="S111" s="3" t="str">
        <f t="shared" si="12"/>
        <v>T8Y01539939XLift Cylinder LH</v>
      </c>
      <c r="T111" s="3" t="s">
        <v>130</v>
      </c>
      <c r="U111" s="3" t="s">
        <v>108</v>
      </c>
      <c r="V111" t="str">
        <f t="shared" si="13"/>
        <v>5102LT</v>
      </c>
    </row>
    <row r="112" spans="1:22">
      <c r="A112" t="s">
        <v>526</v>
      </c>
      <c r="B112" t="s">
        <v>527</v>
      </c>
      <c r="C112" t="s">
        <v>627</v>
      </c>
      <c r="D112" t="s">
        <v>628</v>
      </c>
      <c r="E112" t="s">
        <v>629</v>
      </c>
      <c r="F112" t="s">
        <v>27</v>
      </c>
      <c r="G112">
        <v>1</v>
      </c>
      <c r="H112" t="s">
        <v>630</v>
      </c>
      <c r="I112" t="s">
        <v>631</v>
      </c>
      <c r="J112" t="s">
        <v>632</v>
      </c>
      <c r="K112" t="s">
        <v>631</v>
      </c>
      <c r="L112" t="s">
        <v>633</v>
      </c>
      <c r="M112" s="1" t="str">
        <f t="shared" si="7"/>
        <v>08H344</v>
      </c>
      <c r="N112" s="1" t="str">
        <f t="shared" si="8"/>
        <v>C/O</v>
      </c>
      <c r="O112" s="1" t="str">
        <f t="shared" si="9"/>
        <v>Lift Cylinder RH</v>
      </c>
      <c r="P112" s="1" t="str">
        <f t="shared" si="10"/>
        <v>T8Y0</v>
      </c>
      <c r="Q112" s="2" t="str">
        <f t="shared" si="11"/>
        <v>T8Y0Lift Cylinder RH</v>
      </c>
      <c r="R112" s="2" t="str">
        <f>New_Xref[[#This Row],[Serial Prefix]]&amp;IF(New_Xref[[#This Row],[Func Loc]]&lt;&gt;"",New_Xref[[#This Row],[Func Loc]],"NO MATCH")</f>
        <v>T8Y0MYHD .CYLI.LIFR</v>
      </c>
      <c r="S112" s="3" t="str">
        <f t="shared" si="12"/>
        <v>T8Y01539938XLift Cylinder RH</v>
      </c>
      <c r="T112" s="3" t="s">
        <v>130</v>
      </c>
      <c r="U112" s="3" t="s">
        <v>115</v>
      </c>
      <c r="V112" t="str">
        <f t="shared" si="13"/>
        <v>5102RI</v>
      </c>
    </row>
    <row r="113" spans="1:22">
      <c r="A113" t="s">
        <v>526</v>
      </c>
      <c r="B113" t="s">
        <v>527</v>
      </c>
      <c r="H113" t="s">
        <v>634</v>
      </c>
      <c r="I113" t="s">
        <v>635</v>
      </c>
      <c r="J113" t="s">
        <v>636</v>
      </c>
      <c r="K113" t="s">
        <v>635</v>
      </c>
      <c r="L113" t="s">
        <v>637</v>
      </c>
      <c r="M113" s="1" t="str">
        <f t="shared" si="7"/>
        <v>08H344</v>
      </c>
      <c r="N113" s="1" t="str">
        <f t="shared" si="8"/>
        <v>C/O</v>
      </c>
      <c r="O113" s="1" t="str">
        <f t="shared" si="9"/>
        <v>Tilt Cylinder LH</v>
      </c>
      <c r="P113" s="1" t="str">
        <f t="shared" si="10"/>
        <v>T8Y0</v>
      </c>
      <c r="Q113" s="2" t="str">
        <f t="shared" si="11"/>
        <v>T8Y0Tilt Cylinder LH</v>
      </c>
      <c r="R113" s="2" t="str">
        <f>New_Xref[[#This Row],[Serial Prefix]]&amp;IF(New_Xref[[#This Row],[Func Loc]]&lt;&gt;"",New_Xref[[#This Row],[Func Loc]],"NO MATCH")</f>
        <v>T8Y0MYHD .CYLI.TILL</v>
      </c>
      <c r="S113" s="3" t="str">
        <f t="shared" si="12"/>
        <v>T8Y0Tilt Cylinder LH</v>
      </c>
      <c r="T113" s="3" t="s">
        <v>638</v>
      </c>
      <c r="U113" s="3" t="s">
        <v>108</v>
      </c>
      <c r="V113" t="str">
        <f t="shared" si="13"/>
        <v>5104LT</v>
      </c>
    </row>
    <row r="114" spans="1:22">
      <c r="A114" t="s">
        <v>526</v>
      </c>
      <c r="B114" t="s">
        <v>527</v>
      </c>
      <c r="H114" t="s">
        <v>639</v>
      </c>
      <c r="I114" t="s">
        <v>640</v>
      </c>
      <c r="J114" t="s">
        <v>641</v>
      </c>
      <c r="K114" t="s">
        <v>640</v>
      </c>
      <c r="L114" t="s">
        <v>642</v>
      </c>
      <c r="M114" s="1" t="str">
        <f t="shared" si="7"/>
        <v>08H344</v>
      </c>
      <c r="N114" s="1" t="str">
        <f t="shared" si="8"/>
        <v>C/O</v>
      </c>
      <c r="O114" s="1" t="str">
        <f t="shared" si="9"/>
        <v>Tilt Cylinder RH</v>
      </c>
      <c r="P114" s="1" t="str">
        <f t="shared" si="10"/>
        <v>T8Y0</v>
      </c>
      <c r="Q114" s="2" t="str">
        <f t="shared" si="11"/>
        <v>T8Y0Tilt Cylinder RH</v>
      </c>
      <c r="R114" s="2" t="str">
        <f>New_Xref[[#This Row],[Serial Prefix]]&amp;IF(New_Xref[[#This Row],[Func Loc]]&lt;&gt;"",New_Xref[[#This Row],[Func Loc]],"NO MATCH")</f>
        <v>T8Y0MYHD .CYLI.TILR</v>
      </c>
      <c r="S114" s="3" t="str">
        <f t="shared" si="12"/>
        <v>T8Y0Tilt Cylinder RH</v>
      </c>
      <c r="T114" s="3" t="s">
        <v>638</v>
      </c>
      <c r="U114" s="3" t="s">
        <v>115</v>
      </c>
      <c r="V114" t="str">
        <f t="shared" si="13"/>
        <v>5104RI</v>
      </c>
    </row>
    <row r="115" spans="1:22">
      <c r="A115" t="s">
        <v>643</v>
      </c>
      <c r="B115" t="s">
        <v>644</v>
      </c>
      <c r="H115" t="s">
        <v>645</v>
      </c>
      <c r="I115" t="s">
        <v>646</v>
      </c>
      <c r="J115" t="s">
        <v>647</v>
      </c>
      <c r="K115" t="s">
        <v>648</v>
      </c>
      <c r="L115" t="s">
        <v>32</v>
      </c>
      <c r="M115" s="1" t="str">
        <f t="shared" si="7"/>
        <v>07B447</v>
      </c>
      <c r="N115" s="1" t="str">
        <f t="shared" si="8"/>
        <v>C/O</v>
      </c>
      <c r="O115" s="1" t="str">
        <f t="shared" si="9"/>
        <v>Engine</v>
      </c>
      <c r="P115" s="1" t="str">
        <f t="shared" si="10"/>
        <v>AP70</v>
      </c>
      <c r="Q115" s="2" t="str">
        <f t="shared" si="11"/>
        <v>AP70Engine</v>
      </c>
      <c r="R115" s="2" t="str">
        <f>New_Xref[[#This Row],[Serial Prefix]]&amp;IF(New_Xref[[#This Row],[Func Loc]]&lt;&gt;"",New_Xref[[#This Row],[Func Loc]],"NO MATCH")</f>
        <v>AP70ENGD</v>
      </c>
      <c r="S115" s="3" t="str">
        <f t="shared" si="12"/>
        <v>AP70Engine</v>
      </c>
      <c r="T115" s="3" t="s">
        <v>33</v>
      </c>
      <c r="U115" s="3" t="s">
        <v>34</v>
      </c>
      <c r="V115" t="str">
        <f t="shared" si="13"/>
        <v>100000</v>
      </c>
    </row>
    <row r="116" spans="1:22">
      <c r="A116" t="s">
        <v>643</v>
      </c>
      <c r="B116" t="s">
        <v>644</v>
      </c>
      <c r="C116" t="s">
        <v>532</v>
      </c>
      <c r="D116" t="s">
        <v>533</v>
      </c>
      <c r="E116" t="s">
        <v>263</v>
      </c>
      <c r="F116" t="s">
        <v>27</v>
      </c>
      <c r="G116">
        <v>1</v>
      </c>
      <c r="H116" t="s">
        <v>649</v>
      </c>
      <c r="I116" t="s">
        <v>646</v>
      </c>
      <c r="J116" t="s">
        <v>650</v>
      </c>
      <c r="K116" t="s">
        <v>651</v>
      </c>
      <c r="L116" t="s">
        <v>424</v>
      </c>
      <c r="M116" s="1" t="str">
        <f t="shared" si="7"/>
        <v>07B447</v>
      </c>
      <c r="N116" s="1" t="str">
        <f t="shared" si="8"/>
        <v>C/O</v>
      </c>
      <c r="O116" s="1" t="str">
        <f t="shared" si="9"/>
        <v>Turbocharger LH</v>
      </c>
      <c r="P116" s="1" t="str">
        <f t="shared" si="10"/>
        <v>AP70</v>
      </c>
      <c r="Q116" s="2" t="str">
        <f t="shared" si="11"/>
        <v>AP70Turbocharger LH</v>
      </c>
      <c r="R116" s="2" t="str">
        <f>New_Xref[[#This Row],[Serial Prefix]]&amp;IF(New_Xref[[#This Row],[Func Loc]]&lt;&gt;"",New_Xref[[#This Row],[Func Loc]],"NO MATCH")</f>
        <v>AP70ENGD .TURB.TURL</v>
      </c>
      <c r="S116" s="3" t="str">
        <f t="shared" si="12"/>
        <v>AP7020R3687Turbocharger LH</v>
      </c>
      <c r="T116" s="3" t="s">
        <v>47</v>
      </c>
      <c r="U116" s="3" t="s">
        <v>108</v>
      </c>
      <c r="V116" t="str">
        <f t="shared" si="13"/>
        <v>1052LT</v>
      </c>
    </row>
    <row r="117" spans="1:22">
      <c r="A117" t="s">
        <v>643</v>
      </c>
      <c r="B117" t="s">
        <v>644</v>
      </c>
      <c r="C117" t="s">
        <v>537</v>
      </c>
      <c r="D117" t="s">
        <v>538</v>
      </c>
      <c r="E117" t="s">
        <v>263</v>
      </c>
      <c r="F117" t="s">
        <v>27</v>
      </c>
      <c r="G117">
        <v>1</v>
      </c>
      <c r="H117" t="s">
        <v>652</v>
      </c>
      <c r="I117" t="s">
        <v>646</v>
      </c>
      <c r="J117" t="s">
        <v>653</v>
      </c>
      <c r="K117" t="s">
        <v>654</v>
      </c>
      <c r="L117" t="s">
        <v>430</v>
      </c>
      <c r="M117" s="1" t="str">
        <f t="shared" si="7"/>
        <v>07B447</v>
      </c>
      <c r="N117" s="1" t="str">
        <f t="shared" si="8"/>
        <v>C/O</v>
      </c>
      <c r="O117" s="1" t="str">
        <f t="shared" si="9"/>
        <v>Turbocharger RH</v>
      </c>
      <c r="P117" s="1" t="str">
        <f t="shared" si="10"/>
        <v>AP70</v>
      </c>
      <c r="Q117" s="2" t="str">
        <f t="shared" si="11"/>
        <v>AP70Turbocharger RH</v>
      </c>
      <c r="R117" s="2" t="str">
        <f>New_Xref[[#This Row],[Serial Prefix]]&amp;IF(New_Xref[[#This Row],[Func Loc]]&lt;&gt;"",New_Xref[[#This Row],[Func Loc]],"NO MATCH")</f>
        <v>AP70ENGD .TURB.TURR</v>
      </c>
      <c r="S117" s="3" t="str">
        <f t="shared" si="12"/>
        <v>AP7020R3692Turbocharger RH</v>
      </c>
      <c r="T117" s="3" t="s">
        <v>47</v>
      </c>
      <c r="U117" s="3" t="s">
        <v>115</v>
      </c>
      <c r="V117" t="str">
        <f t="shared" si="13"/>
        <v>1052RI</v>
      </c>
    </row>
    <row r="118" spans="1:22">
      <c r="A118" t="s">
        <v>643</v>
      </c>
      <c r="B118" t="s">
        <v>644</v>
      </c>
      <c r="C118" t="s">
        <v>431</v>
      </c>
      <c r="D118" t="s">
        <v>432</v>
      </c>
      <c r="E118" t="s">
        <v>276</v>
      </c>
      <c r="F118" t="s">
        <v>27</v>
      </c>
      <c r="G118">
        <v>12</v>
      </c>
      <c r="H118" t="s">
        <v>655</v>
      </c>
      <c r="I118" t="s">
        <v>646</v>
      </c>
      <c r="J118" t="s">
        <v>656</v>
      </c>
      <c r="K118" t="s">
        <v>657</v>
      </c>
      <c r="L118" t="s">
        <v>62</v>
      </c>
      <c r="M118" s="1" t="str">
        <f t="shared" si="7"/>
        <v>07B447</v>
      </c>
      <c r="N118" s="1" t="str">
        <f t="shared" si="8"/>
        <v>C/O</v>
      </c>
      <c r="O118" s="1" t="str">
        <f t="shared" si="9"/>
        <v>Fuel Injectors</v>
      </c>
      <c r="P118" s="1" t="str">
        <f t="shared" si="10"/>
        <v>AP70</v>
      </c>
      <c r="Q118" s="2" t="str">
        <f t="shared" si="11"/>
        <v>AP70Fuel Injectors</v>
      </c>
      <c r="R118" s="2" t="str">
        <f>New_Xref[[#This Row],[Serial Prefix]]&amp;IF(New_Xref[[#This Row],[Func Loc]]&lt;&gt;"",New_Xref[[#This Row],[Func Loc]],"NO MATCH")</f>
        <v>AP70ENGD .FUEL.INJE</v>
      </c>
      <c r="S118" s="3" t="str">
        <f t="shared" si="12"/>
        <v>AP706470750Fuel Injectors</v>
      </c>
      <c r="T118" s="3" t="s">
        <v>63</v>
      </c>
      <c r="U118" s="3" t="s">
        <v>34</v>
      </c>
      <c r="V118" t="str">
        <f t="shared" si="13"/>
        <v>125100</v>
      </c>
    </row>
    <row r="119" spans="1:22">
      <c r="A119" t="s">
        <v>643</v>
      </c>
      <c r="B119" t="s">
        <v>644</v>
      </c>
      <c r="C119" t="s">
        <v>286</v>
      </c>
      <c r="D119" t="s">
        <v>287</v>
      </c>
      <c r="E119" t="s">
        <v>288</v>
      </c>
      <c r="F119" t="s">
        <v>27</v>
      </c>
      <c r="G119">
        <v>1</v>
      </c>
      <c r="H119" t="s">
        <v>658</v>
      </c>
      <c r="I119" t="s">
        <v>646</v>
      </c>
      <c r="J119" t="s">
        <v>659</v>
      </c>
      <c r="K119" t="s">
        <v>660</v>
      </c>
      <c r="L119" t="s">
        <v>182</v>
      </c>
      <c r="M119" s="1" t="str">
        <f t="shared" si="7"/>
        <v>07B447</v>
      </c>
      <c r="N119" s="1" t="str">
        <f t="shared" si="8"/>
        <v>C/O</v>
      </c>
      <c r="O119" s="1" t="str">
        <f t="shared" si="9"/>
        <v>Water Pump Main</v>
      </c>
      <c r="P119" s="1" t="str">
        <f t="shared" si="10"/>
        <v>AP70</v>
      </c>
      <c r="Q119" s="2" t="str">
        <f t="shared" si="11"/>
        <v>AP70Water Pump Main</v>
      </c>
      <c r="R119" s="2" t="str">
        <f>New_Xref[[#This Row],[Serial Prefix]]&amp;IF(New_Xref[[#This Row],[Func Loc]]&lt;&gt;"",New_Xref[[#This Row],[Func Loc]],"NO MATCH")</f>
        <v>AP70ENGD .WAPU.WAPM</v>
      </c>
      <c r="S119" s="3" t="str">
        <f t="shared" si="12"/>
        <v>AP7020R1859Water Pump Main</v>
      </c>
      <c r="T119" s="3" t="s">
        <v>183</v>
      </c>
      <c r="U119" s="3" t="s">
        <v>34</v>
      </c>
      <c r="V119" t="str">
        <f t="shared" si="13"/>
        <v>136100</v>
      </c>
    </row>
    <row r="120" spans="1:22">
      <c r="A120" t="s">
        <v>643</v>
      </c>
      <c r="B120" t="s">
        <v>644</v>
      </c>
      <c r="H120" t="s">
        <v>661</v>
      </c>
      <c r="I120" t="s">
        <v>662</v>
      </c>
      <c r="J120" t="s">
        <v>663</v>
      </c>
      <c r="K120" t="s">
        <v>662</v>
      </c>
      <c r="L120" t="s">
        <v>72</v>
      </c>
      <c r="M120" s="1" t="str">
        <f t="shared" si="7"/>
        <v>07B447</v>
      </c>
      <c r="N120" s="1" t="str">
        <f t="shared" si="8"/>
        <v>C/O</v>
      </c>
      <c r="O120" s="1" t="str">
        <f t="shared" si="9"/>
        <v>Transmission</v>
      </c>
      <c r="P120" s="1" t="str">
        <f t="shared" si="10"/>
        <v>AP70</v>
      </c>
      <c r="Q120" s="2" t="str">
        <f t="shared" si="11"/>
        <v>AP70Transmission</v>
      </c>
      <c r="R120" s="2" t="str">
        <f>New_Xref[[#This Row],[Serial Prefix]]&amp;IF(New_Xref[[#This Row],[Func Loc]]&lt;&gt;"",New_Xref[[#This Row],[Func Loc]],"NO MATCH")</f>
        <v>AP70TRAN .TRAN</v>
      </c>
      <c r="S120" s="3" t="str">
        <f t="shared" si="12"/>
        <v>AP70Transmission</v>
      </c>
      <c r="T120" s="3" t="s">
        <v>73</v>
      </c>
      <c r="U120" s="3" t="s">
        <v>34</v>
      </c>
      <c r="V120" t="str">
        <f t="shared" si="13"/>
        <v>303000</v>
      </c>
    </row>
    <row r="121" spans="1:22">
      <c r="A121" t="s">
        <v>643</v>
      </c>
      <c r="B121" t="s">
        <v>644</v>
      </c>
      <c r="C121" t="s">
        <v>577</v>
      </c>
      <c r="D121" t="s">
        <v>578</v>
      </c>
      <c r="E121" t="s">
        <v>579</v>
      </c>
      <c r="F121" t="s">
        <v>27</v>
      </c>
      <c r="G121">
        <v>1</v>
      </c>
      <c r="H121" t="s">
        <v>664</v>
      </c>
      <c r="I121" t="s">
        <v>665</v>
      </c>
      <c r="J121" t="s">
        <v>666</v>
      </c>
      <c r="K121" t="s">
        <v>665</v>
      </c>
      <c r="L121" t="s">
        <v>583</v>
      </c>
      <c r="M121" s="1" t="str">
        <f t="shared" si="7"/>
        <v>07B447</v>
      </c>
      <c r="N121" s="1" t="str">
        <f t="shared" si="8"/>
        <v>C/O</v>
      </c>
      <c r="O121" s="1" t="str">
        <f t="shared" si="9"/>
        <v>Transmission Charge Pump</v>
      </c>
      <c r="P121" s="1" t="str">
        <f t="shared" si="10"/>
        <v>AP70</v>
      </c>
      <c r="Q121" s="2" t="str">
        <f t="shared" si="11"/>
        <v>AP70Transmission Charge Pump</v>
      </c>
      <c r="R121" s="2" t="str">
        <f>New_Xref[[#This Row],[Serial Prefix]]&amp;IF(New_Xref[[#This Row],[Func Loc]]&lt;&gt;"",New_Xref[[#This Row],[Func Loc]],"NO MATCH")</f>
        <v>AP70TRAN .PUMP.TRCP</v>
      </c>
      <c r="S121" s="3" t="str">
        <f t="shared" si="12"/>
        <v>AP7020R6497Transmission Charge Pump</v>
      </c>
      <c r="T121" s="3" t="s">
        <v>584</v>
      </c>
      <c r="U121" s="3" t="s">
        <v>34</v>
      </c>
      <c r="V121" t="str">
        <f t="shared" si="13"/>
        <v>306600</v>
      </c>
    </row>
    <row r="122" spans="1:22">
      <c r="A122" t="s">
        <v>643</v>
      </c>
      <c r="B122" t="s">
        <v>644</v>
      </c>
      <c r="C122" t="s">
        <v>667</v>
      </c>
      <c r="D122" t="s">
        <v>668</v>
      </c>
      <c r="E122" t="s">
        <v>669</v>
      </c>
      <c r="F122" t="s">
        <v>125</v>
      </c>
      <c r="G122">
        <v>1</v>
      </c>
      <c r="H122" t="s">
        <v>670</v>
      </c>
      <c r="I122" t="s">
        <v>671</v>
      </c>
      <c r="J122" t="s">
        <v>672</v>
      </c>
      <c r="K122" t="s">
        <v>673</v>
      </c>
      <c r="L122" t="s">
        <v>83</v>
      </c>
      <c r="M122" s="1" t="str">
        <f t="shared" si="7"/>
        <v>07B447</v>
      </c>
      <c r="N122" s="1" t="str">
        <f t="shared" si="8"/>
        <v>C/O</v>
      </c>
      <c r="O122" s="1" t="str">
        <f t="shared" si="9"/>
        <v>Driveshaft Centre</v>
      </c>
      <c r="P122" s="1" t="str">
        <f t="shared" si="10"/>
        <v>AP70</v>
      </c>
      <c r="Q122" s="2" t="str">
        <f t="shared" si="11"/>
        <v>AP70Driveshaft Centre</v>
      </c>
      <c r="R122" s="2" t="str">
        <f>New_Xref[[#This Row],[Serial Prefix]]&amp;IF(New_Xref[[#This Row],[Func Loc]]&lt;&gt;"",New_Xref[[#This Row],[Func Loc]],"NO MATCH")</f>
        <v>AP70NO MATCH</v>
      </c>
      <c r="S122" s="3" t="str">
        <f t="shared" si="12"/>
        <v>AP701681916Driveshaft Centre</v>
      </c>
      <c r="T122" s="3" t="s">
        <v>674</v>
      </c>
      <c r="U122" s="3" t="s">
        <v>34</v>
      </c>
      <c r="V122" t="str">
        <f t="shared" si="13"/>
        <v>325300</v>
      </c>
    </row>
    <row r="123" spans="1:22">
      <c r="A123" t="s">
        <v>643</v>
      </c>
      <c r="B123" t="s">
        <v>644</v>
      </c>
      <c r="H123" t="s">
        <v>675</v>
      </c>
      <c r="I123" t="s">
        <v>676</v>
      </c>
      <c r="J123" t="s">
        <v>677</v>
      </c>
      <c r="K123" t="s">
        <v>676</v>
      </c>
      <c r="L123" t="s">
        <v>678</v>
      </c>
      <c r="M123" s="1" t="str">
        <f t="shared" si="7"/>
        <v>07B447</v>
      </c>
      <c r="N123" s="1" t="str">
        <f t="shared" si="8"/>
        <v>C/O</v>
      </c>
      <c r="O123" s="1" t="str">
        <f t="shared" si="9"/>
        <v>Differential Front</v>
      </c>
      <c r="P123" s="1" t="str">
        <f t="shared" si="10"/>
        <v>AP70</v>
      </c>
      <c r="Q123" s="2" t="str">
        <f t="shared" si="11"/>
        <v>AP70Differential Front</v>
      </c>
      <c r="R123" s="2" t="str">
        <f>New_Xref[[#This Row],[Serial Prefix]]&amp;IF(New_Xref[[#This Row],[Func Loc]]&lt;&gt;"",New_Xref[[#This Row],[Func Loc]],"NO MATCH")</f>
        <v>AP70FDRV .AXAF.DIFF</v>
      </c>
      <c r="S123" s="3" t="str">
        <f t="shared" si="12"/>
        <v>AP70Differential Front</v>
      </c>
      <c r="T123" s="3" t="s">
        <v>464</v>
      </c>
      <c r="U123" s="3" t="s">
        <v>386</v>
      </c>
      <c r="V123" t="str">
        <f t="shared" si="13"/>
        <v>3258FR</v>
      </c>
    </row>
    <row r="124" spans="1:22">
      <c r="A124" t="s">
        <v>643</v>
      </c>
      <c r="B124" t="s">
        <v>644</v>
      </c>
      <c r="H124" t="s">
        <v>679</v>
      </c>
      <c r="I124" t="s">
        <v>680</v>
      </c>
      <c r="J124" t="s">
        <v>681</v>
      </c>
      <c r="K124" t="s">
        <v>680</v>
      </c>
      <c r="L124" t="s">
        <v>463</v>
      </c>
      <c r="M124" s="1" t="str">
        <f t="shared" si="7"/>
        <v>07B447</v>
      </c>
      <c r="N124" s="1" t="str">
        <f t="shared" si="8"/>
        <v>C/O</v>
      </c>
      <c r="O124" s="1" t="str">
        <f t="shared" si="9"/>
        <v>Differential Rear</v>
      </c>
      <c r="P124" s="1" t="str">
        <f t="shared" si="10"/>
        <v>AP70</v>
      </c>
      <c r="Q124" s="2" t="str">
        <f t="shared" si="11"/>
        <v>AP70Differential Rear</v>
      </c>
      <c r="R124" s="2" t="str">
        <f>New_Xref[[#This Row],[Serial Prefix]]&amp;IF(New_Xref[[#This Row],[Func Loc]]&lt;&gt;"",New_Xref[[#This Row],[Func Loc]],"NO MATCH")</f>
        <v>AP70FDRV .AXAR.DIFF</v>
      </c>
      <c r="S124" s="3" t="str">
        <f t="shared" si="12"/>
        <v>AP70Differential Rear</v>
      </c>
      <c r="T124" s="3" t="s">
        <v>464</v>
      </c>
      <c r="U124" s="3" t="s">
        <v>317</v>
      </c>
      <c r="V124" t="str">
        <f t="shared" si="13"/>
        <v>3258RE</v>
      </c>
    </row>
    <row r="125" spans="1:22">
      <c r="A125" t="s">
        <v>643</v>
      </c>
      <c r="B125" t="s">
        <v>644</v>
      </c>
      <c r="C125" t="s">
        <v>682</v>
      </c>
      <c r="D125" t="s">
        <v>683</v>
      </c>
      <c r="E125" t="s">
        <v>684</v>
      </c>
      <c r="F125" t="s">
        <v>27</v>
      </c>
      <c r="G125">
        <v>1</v>
      </c>
      <c r="H125" t="s">
        <v>685</v>
      </c>
      <c r="I125" t="s">
        <v>686</v>
      </c>
      <c r="J125" t="s">
        <v>687</v>
      </c>
      <c r="K125" t="s">
        <v>686</v>
      </c>
      <c r="L125" t="s">
        <v>688</v>
      </c>
      <c r="M125" s="1" t="str">
        <f t="shared" si="7"/>
        <v>07B447</v>
      </c>
      <c r="N125" s="1" t="str">
        <f t="shared" si="8"/>
        <v>C/O</v>
      </c>
      <c r="O125" s="1" t="str">
        <f t="shared" si="9"/>
        <v>Primary Brake Pump</v>
      </c>
      <c r="P125" s="1" t="str">
        <f t="shared" si="10"/>
        <v>AP70</v>
      </c>
      <c r="Q125" s="2" t="str">
        <f t="shared" si="11"/>
        <v>AP70Primary Brake Pump</v>
      </c>
      <c r="R125" s="2" t="str">
        <f>New_Xref[[#This Row],[Serial Prefix]]&amp;IF(New_Xref[[#This Row],[Func Loc]]&lt;&gt;"",New_Xref[[#This Row],[Func Loc]],"NO MATCH")</f>
        <v>AP70BRAK .PUMP.PRBP</v>
      </c>
      <c r="S125" s="3" t="str">
        <f t="shared" si="12"/>
        <v>AP7030R0120Primary Brake Pump</v>
      </c>
      <c r="T125" s="3" t="s">
        <v>689</v>
      </c>
      <c r="U125" s="3" t="s">
        <v>34</v>
      </c>
      <c r="V125" t="str">
        <f t="shared" si="13"/>
        <v>426800</v>
      </c>
    </row>
    <row r="126" spans="1:22">
      <c r="A126" t="s">
        <v>643</v>
      </c>
      <c r="B126" t="s">
        <v>644</v>
      </c>
      <c r="H126" t="s">
        <v>690</v>
      </c>
      <c r="I126" t="s">
        <v>691</v>
      </c>
      <c r="J126" t="s">
        <v>692</v>
      </c>
      <c r="K126" t="s">
        <v>691</v>
      </c>
      <c r="L126" t="s">
        <v>106</v>
      </c>
      <c r="M126" s="1" t="str">
        <f t="shared" si="7"/>
        <v>07B447</v>
      </c>
      <c r="N126" s="1" t="str">
        <f t="shared" si="8"/>
        <v>C/O</v>
      </c>
      <c r="O126" s="1" t="str">
        <f t="shared" si="9"/>
        <v>Steering Cylinder LH</v>
      </c>
      <c r="P126" s="1" t="str">
        <f t="shared" si="10"/>
        <v>AP70</v>
      </c>
      <c r="Q126" s="2" t="str">
        <f t="shared" si="11"/>
        <v>AP70Steering Cylinder LH</v>
      </c>
      <c r="R126" s="2" t="str">
        <f>New_Xref[[#This Row],[Serial Prefix]]&amp;IF(New_Xref[[#This Row],[Func Loc]]&lt;&gt;"",New_Xref[[#This Row],[Func Loc]],"NO MATCH")</f>
        <v>AP70STRG .CYLI.SCLH</v>
      </c>
      <c r="S126" s="3" t="str">
        <f t="shared" si="12"/>
        <v>AP70Steering Cylinder LH</v>
      </c>
      <c r="T126" s="3" t="s">
        <v>107</v>
      </c>
      <c r="U126" s="3" t="s">
        <v>108</v>
      </c>
      <c r="V126" t="str">
        <f t="shared" si="13"/>
        <v>4303LT</v>
      </c>
    </row>
    <row r="127" spans="1:22">
      <c r="A127" t="s">
        <v>643</v>
      </c>
      <c r="B127" t="s">
        <v>644</v>
      </c>
      <c r="H127" t="s">
        <v>690</v>
      </c>
      <c r="I127" t="s">
        <v>693</v>
      </c>
      <c r="J127" t="s">
        <v>694</v>
      </c>
      <c r="K127" t="s">
        <v>693</v>
      </c>
      <c r="L127" t="s">
        <v>114</v>
      </c>
      <c r="M127" s="1" t="str">
        <f t="shared" si="7"/>
        <v>07B447</v>
      </c>
      <c r="N127" s="1" t="str">
        <f t="shared" si="8"/>
        <v>C/O</v>
      </c>
      <c r="O127" s="1" t="str">
        <f t="shared" si="9"/>
        <v>Steering Cylinder RH</v>
      </c>
      <c r="P127" s="1" t="str">
        <f t="shared" si="10"/>
        <v>AP70</v>
      </c>
      <c r="Q127" s="2" t="str">
        <f t="shared" si="11"/>
        <v>AP70Steering Cylinder RH</v>
      </c>
      <c r="R127" s="2" t="str">
        <f>New_Xref[[#This Row],[Serial Prefix]]&amp;IF(New_Xref[[#This Row],[Func Loc]]&lt;&gt;"",New_Xref[[#This Row],[Func Loc]],"NO MATCH")</f>
        <v>AP70STRG .CYLI.SCRH</v>
      </c>
      <c r="S127" s="3" t="str">
        <f t="shared" si="12"/>
        <v>AP70Steering Cylinder RH</v>
      </c>
      <c r="T127" s="3" t="s">
        <v>107</v>
      </c>
      <c r="U127" s="3" t="s">
        <v>115</v>
      </c>
      <c r="V127" t="str">
        <f t="shared" si="13"/>
        <v>4303RI</v>
      </c>
    </row>
    <row r="128" spans="1:22">
      <c r="A128" t="s">
        <v>643</v>
      </c>
      <c r="B128" t="s">
        <v>695</v>
      </c>
      <c r="H128" t="s">
        <v>696</v>
      </c>
      <c r="I128" t="s">
        <v>697</v>
      </c>
      <c r="J128" t="s">
        <v>698</v>
      </c>
      <c r="K128" t="s">
        <v>697</v>
      </c>
      <c r="L128" t="s">
        <v>219</v>
      </c>
      <c r="M128" s="1" t="str">
        <f t="shared" si="7"/>
        <v>07H233</v>
      </c>
      <c r="N128" s="1" t="str">
        <f t="shared" si="8"/>
        <v>C/O</v>
      </c>
      <c r="O128" s="1" t="str">
        <f t="shared" si="9"/>
        <v>Main Hydraulic Pump</v>
      </c>
      <c r="P128" s="1" t="str">
        <f t="shared" si="10"/>
        <v>AP70</v>
      </c>
      <c r="Q128" s="2" t="str">
        <f t="shared" si="11"/>
        <v>AP70Main Hydraulic Pump</v>
      </c>
      <c r="R128" s="2" t="str">
        <f>New_Xref[[#This Row],[Serial Prefix]]&amp;IF(New_Xref[[#This Row],[Func Loc]]&lt;&gt;"",New_Xref[[#This Row],[Func Loc]],"NO MATCH")</f>
        <v>AP70MYHD .PUMP.MAHP</v>
      </c>
      <c r="S128" s="3" t="str">
        <f t="shared" si="12"/>
        <v>AP70Main Hydraulic Pump</v>
      </c>
      <c r="T128" s="3" t="s">
        <v>371</v>
      </c>
      <c r="U128" s="3" t="s">
        <v>108</v>
      </c>
      <c r="V128" t="str">
        <f t="shared" si="13"/>
        <v>5084LT</v>
      </c>
    </row>
    <row r="129" spans="1:22">
      <c r="A129" t="s">
        <v>643</v>
      </c>
      <c r="B129" t="s">
        <v>695</v>
      </c>
      <c r="H129" t="s">
        <v>699</v>
      </c>
      <c r="I129" t="s">
        <v>700</v>
      </c>
      <c r="J129" t="s">
        <v>701</v>
      </c>
      <c r="K129" t="s">
        <v>700</v>
      </c>
      <c r="L129" t="s">
        <v>626</v>
      </c>
      <c r="M129" s="1" t="str">
        <f t="shared" si="7"/>
        <v>07H233</v>
      </c>
      <c r="N129" s="1" t="str">
        <f t="shared" si="8"/>
        <v>C/O</v>
      </c>
      <c r="O129" s="1" t="str">
        <f t="shared" si="9"/>
        <v>Lift Cylinder LH</v>
      </c>
      <c r="P129" s="1" t="str">
        <f t="shared" si="10"/>
        <v>AP70</v>
      </c>
      <c r="Q129" s="2" t="str">
        <f t="shared" si="11"/>
        <v>AP70Lift Cylinder LH</v>
      </c>
      <c r="R129" s="2" t="str">
        <f>New_Xref[[#This Row],[Serial Prefix]]&amp;IF(New_Xref[[#This Row],[Func Loc]]&lt;&gt;"",New_Xref[[#This Row],[Func Loc]],"NO MATCH")</f>
        <v>AP70MYHD .CYLI.LIFL</v>
      </c>
      <c r="S129" s="3" t="str">
        <f t="shared" si="12"/>
        <v>AP70Lift Cylinder LH</v>
      </c>
      <c r="T129" s="3" t="s">
        <v>130</v>
      </c>
      <c r="U129" s="3" t="s">
        <v>108</v>
      </c>
      <c r="V129" t="str">
        <f t="shared" si="13"/>
        <v>5102LT</v>
      </c>
    </row>
    <row r="130" spans="1:22">
      <c r="A130" t="s">
        <v>643</v>
      </c>
      <c r="B130" t="s">
        <v>695</v>
      </c>
      <c r="H130" t="s">
        <v>699</v>
      </c>
      <c r="I130" t="s">
        <v>702</v>
      </c>
      <c r="J130" t="s">
        <v>703</v>
      </c>
      <c r="K130" t="s">
        <v>702</v>
      </c>
      <c r="L130" t="s">
        <v>633</v>
      </c>
      <c r="M130" s="1" t="str">
        <f t="shared" ref="M130:M193" si="14">LEFT(K130,FIND(" ",K130,1)-1)</f>
        <v>07H233</v>
      </c>
      <c r="N130" s="1" t="str">
        <f t="shared" ref="N130:N193" si="15">MID(K130,LEN(M130)+2,FIND(" ",K130,LEN(M130)+2)-LEN(M130)-2)</f>
        <v>C/O</v>
      </c>
      <c r="O130" s="1" t="str">
        <f t="shared" ref="O130:O193" si="16">MID(K130,FIND(N130,K130,1)+LEN(N130)+1, 150)</f>
        <v>Lift Cylinder RH</v>
      </c>
      <c r="P130" s="1" t="str">
        <f t="shared" ref="P130:P193" si="17">LEFT(B130,4)</f>
        <v>AP70</v>
      </c>
      <c r="Q130" s="2" t="str">
        <f t="shared" ref="Q130:Q193" si="18">P130&amp;O130</f>
        <v>AP70Lift Cylinder RH</v>
      </c>
      <c r="R130" s="2" t="str">
        <f>New_Xref[[#This Row],[Serial Prefix]]&amp;IF(New_Xref[[#This Row],[Func Loc]]&lt;&gt;"",New_Xref[[#This Row],[Func Loc]],"NO MATCH")</f>
        <v>AP70MYHD .CYLI.LIFR</v>
      </c>
      <c r="S130" s="3" t="str">
        <f t="shared" ref="S130:S193" si="19">P130&amp;D130&amp;O130</f>
        <v>AP70Lift Cylinder RH</v>
      </c>
      <c r="T130" s="3" t="s">
        <v>130</v>
      </c>
      <c r="U130" s="3" t="s">
        <v>115</v>
      </c>
      <c r="V130" t="str">
        <f t="shared" ref="V130:V193" si="20">LEFT(T130,FIND(" -",T130,1)-1)&amp;LEFT(U130,FIND(" -",U130,1)-1)</f>
        <v>5102RI</v>
      </c>
    </row>
    <row r="131" spans="1:22">
      <c r="A131" t="s">
        <v>643</v>
      </c>
      <c r="B131" t="s">
        <v>695</v>
      </c>
      <c r="H131" t="s">
        <v>704</v>
      </c>
      <c r="I131" t="s">
        <v>705</v>
      </c>
      <c r="J131" t="s">
        <v>706</v>
      </c>
      <c r="K131" t="s">
        <v>705</v>
      </c>
      <c r="L131" t="s">
        <v>707</v>
      </c>
      <c r="M131" s="1" t="str">
        <f t="shared" si="14"/>
        <v>07H233</v>
      </c>
      <c r="N131" s="1" t="str">
        <f t="shared" si="15"/>
        <v>C/O</v>
      </c>
      <c r="O131" s="1" t="str">
        <f t="shared" si="16"/>
        <v>Tilt Cylinder</v>
      </c>
      <c r="P131" s="1" t="str">
        <f t="shared" si="17"/>
        <v>AP70</v>
      </c>
      <c r="Q131" s="2" t="str">
        <f t="shared" si="18"/>
        <v>AP70Tilt Cylinder</v>
      </c>
      <c r="R131" s="2" t="str">
        <f>New_Xref[[#This Row],[Serial Prefix]]&amp;IF(New_Xref[[#This Row],[Func Loc]]&lt;&gt;"",New_Xref[[#This Row],[Func Loc]],"NO MATCH")</f>
        <v>AP70MYHD .CYLI.TILT</v>
      </c>
      <c r="S131" s="3" t="str">
        <f t="shared" si="19"/>
        <v>AP70Tilt Cylinder</v>
      </c>
      <c r="T131" s="3" t="s">
        <v>638</v>
      </c>
      <c r="U131" s="3" t="s">
        <v>34</v>
      </c>
      <c r="V131" t="str">
        <f t="shared" si="20"/>
        <v>510400</v>
      </c>
    </row>
    <row r="132" spans="1:22">
      <c r="A132" t="s">
        <v>708</v>
      </c>
      <c r="B132" t="s">
        <v>709</v>
      </c>
      <c r="F132" t="s">
        <v>27</v>
      </c>
      <c r="G132">
        <v>1</v>
      </c>
      <c r="H132" t="s">
        <v>710</v>
      </c>
      <c r="I132" t="s">
        <v>711</v>
      </c>
      <c r="J132" t="s">
        <v>712</v>
      </c>
      <c r="K132" t="s">
        <v>713</v>
      </c>
      <c r="L132" t="s">
        <v>32</v>
      </c>
      <c r="M132" s="1" t="str">
        <f t="shared" si="14"/>
        <v>06D54</v>
      </c>
      <c r="N132" s="1" t="str">
        <f t="shared" si="15"/>
        <v>C/O</v>
      </c>
      <c r="O132" s="1" t="str">
        <f t="shared" si="16"/>
        <v>Engine</v>
      </c>
      <c r="P132" s="1" t="str">
        <f t="shared" si="17"/>
        <v>KZ00</v>
      </c>
      <c r="Q132" s="2" t="str">
        <f t="shared" si="18"/>
        <v>KZ00Engine</v>
      </c>
      <c r="R132" s="2" t="str">
        <f>New_Xref[[#This Row],[Serial Prefix]]&amp;IF(New_Xref[[#This Row],[Func Loc]]&lt;&gt;"",New_Xref[[#This Row],[Func Loc]],"NO MATCH")</f>
        <v>KZ00ENGD</v>
      </c>
      <c r="S132" s="3" t="str">
        <f t="shared" si="19"/>
        <v>KZ00Engine</v>
      </c>
      <c r="T132" s="3" t="s">
        <v>33</v>
      </c>
      <c r="U132" s="3" t="s">
        <v>34</v>
      </c>
      <c r="V132" t="str">
        <f t="shared" si="20"/>
        <v>100000</v>
      </c>
    </row>
    <row r="133" spans="1:22">
      <c r="A133" t="s">
        <v>708</v>
      </c>
      <c r="B133" t="s">
        <v>709</v>
      </c>
      <c r="C133" t="s">
        <v>714</v>
      </c>
      <c r="D133" t="s">
        <v>715</v>
      </c>
      <c r="E133" t="s">
        <v>263</v>
      </c>
      <c r="F133" t="s">
        <v>27</v>
      </c>
      <c r="G133">
        <v>1</v>
      </c>
      <c r="H133" t="s">
        <v>716</v>
      </c>
      <c r="I133" t="s">
        <v>711</v>
      </c>
      <c r="J133" t="s">
        <v>717</v>
      </c>
      <c r="K133" t="s">
        <v>718</v>
      </c>
      <c r="L133" t="s">
        <v>719</v>
      </c>
      <c r="M133" s="1" t="str">
        <f t="shared" si="14"/>
        <v>06D54</v>
      </c>
      <c r="N133" s="1" t="str">
        <f t="shared" si="15"/>
        <v>C/O</v>
      </c>
      <c r="O133" s="1" t="str">
        <f t="shared" si="16"/>
        <v>Turbocharger LH</v>
      </c>
      <c r="P133" s="1" t="str">
        <f t="shared" si="17"/>
        <v>KZ00</v>
      </c>
      <c r="Q133" s="2" t="str">
        <f t="shared" si="18"/>
        <v>KZ00Turbocharger LH</v>
      </c>
      <c r="R133" s="2" t="str">
        <f>New_Xref[[#This Row],[Serial Prefix]]&amp;IF(New_Xref[[#This Row],[Func Loc]]&lt;&gt;"",New_Xref[[#This Row],[Func Loc]],"NO MATCH")</f>
        <v>KZ00ENGD .TURB.TC01</v>
      </c>
      <c r="S133" s="3" t="str">
        <f t="shared" si="19"/>
        <v>KZ0010R2038Turbocharger LH</v>
      </c>
      <c r="T133" s="3" t="s">
        <v>47</v>
      </c>
      <c r="U133" s="3" t="s">
        <v>108</v>
      </c>
      <c r="V133" t="str">
        <f t="shared" si="20"/>
        <v>1052LT</v>
      </c>
    </row>
    <row r="134" spans="1:22">
      <c r="A134" t="s">
        <v>708</v>
      </c>
      <c r="B134" t="s">
        <v>709</v>
      </c>
      <c r="C134" t="s">
        <v>714</v>
      </c>
      <c r="D134" t="s">
        <v>715</v>
      </c>
      <c r="E134" t="s">
        <v>263</v>
      </c>
      <c r="F134" t="s">
        <v>27</v>
      </c>
      <c r="G134">
        <v>1</v>
      </c>
      <c r="H134" t="s">
        <v>716</v>
      </c>
      <c r="I134" t="s">
        <v>711</v>
      </c>
      <c r="J134" t="s">
        <v>720</v>
      </c>
      <c r="K134" t="s">
        <v>721</v>
      </c>
      <c r="L134" t="s">
        <v>722</v>
      </c>
      <c r="M134" s="1" t="str">
        <f t="shared" si="14"/>
        <v>06D54</v>
      </c>
      <c r="N134" s="1" t="str">
        <f t="shared" si="15"/>
        <v>C/O</v>
      </c>
      <c r="O134" s="1" t="str">
        <f t="shared" si="16"/>
        <v>Turbocharger RH</v>
      </c>
      <c r="P134" s="1" t="str">
        <f t="shared" si="17"/>
        <v>KZ00</v>
      </c>
      <c r="Q134" s="2" t="str">
        <f t="shared" si="18"/>
        <v>KZ00Turbocharger RH</v>
      </c>
      <c r="R134" s="2" t="str">
        <f>New_Xref[[#This Row],[Serial Prefix]]&amp;IF(New_Xref[[#This Row],[Func Loc]]&lt;&gt;"",New_Xref[[#This Row],[Func Loc]],"NO MATCH")</f>
        <v>KZ00ENGD .TURB.TC02</v>
      </c>
      <c r="S134" s="3" t="str">
        <f t="shared" si="19"/>
        <v>KZ0010R2038Turbocharger RH</v>
      </c>
      <c r="T134" s="3" t="s">
        <v>47</v>
      </c>
      <c r="U134" s="3" t="s">
        <v>115</v>
      </c>
      <c r="V134" t="str">
        <f t="shared" si="20"/>
        <v>1052RI</v>
      </c>
    </row>
    <row r="135" spans="1:22">
      <c r="A135" t="s">
        <v>708</v>
      </c>
      <c r="B135" t="s">
        <v>709</v>
      </c>
      <c r="C135" t="s">
        <v>274</v>
      </c>
      <c r="D135" t="s">
        <v>275</v>
      </c>
      <c r="E135" t="s">
        <v>276</v>
      </c>
      <c r="F135" t="s">
        <v>27</v>
      </c>
      <c r="G135">
        <v>12</v>
      </c>
      <c r="H135" t="s">
        <v>723</v>
      </c>
      <c r="I135" t="s">
        <v>711</v>
      </c>
      <c r="J135" t="s">
        <v>724</v>
      </c>
      <c r="K135" t="s">
        <v>725</v>
      </c>
      <c r="L135" t="s">
        <v>62</v>
      </c>
      <c r="M135" s="1" t="str">
        <f t="shared" si="14"/>
        <v>06D54</v>
      </c>
      <c r="N135" s="1" t="str">
        <f t="shared" si="15"/>
        <v>C/O</v>
      </c>
      <c r="O135" s="1" t="str">
        <f t="shared" si="16"/>
        <v>Fuel Injectors</v>
      </c>
      <c r="P135" s="1" t="str">
        <f t="shared" si="17"/>
        <v>KZ00</v>
      </c>
      <c r="Q135" s="2" t="str">
        <f t="shared" si="18"/>
        <v>KZ00Fuel Injectors</v>
      </c>
      <c r="R135" s="2" t="str">
        <f>New_Xref[[#This Row],[Serial Prefix]]&amp;IF(New_Xref[[#This Row],[Func Loc]]&lt;&gt;"",New_Xref[[#This Row],[Func Loc]],"NO MATCH")</f>
        <v>KZ00ENGD .FUEL.INJE</v>
      </c>
      <c r="S135" s="3" t="str">
        <f t="shared" si="19"/>
        <v>KZ006470751Fuel Injectors</v>
      </c>
      <c r="T135" s="3" t="s">
        <v>63</v>
      </c>
      <c r="U135" s="3" t="s">
        <v>34</v>
      </c>
      <c r="V135" t="str">
        <f t="shared" si="20"/>
        <v>125100</v>
      </c>
    </row>
    <row r="136" spans="1:22">
      <c r="A136" t="s">
        <v>708</v>
      </c>
      <c r="B136" t="s">
        <v>726</v>
      </c>
      <c r="C136" t="s">
        <v>727</v>
      </c>
      <c r="D136" t="s">
        <v>728</v>
      </c>
      <c r="E136" t="s">
        <v>729</v>
      </c>
      <c r="F136" t="s">
        <v>27</v>
      </c>
      <c r="G136">
        <v>1</v>
      </c>
      <c r="H136" t="s">
        <v>730</v>
      </c>
      <c r="I136" t="s">
        <v>731</v>
      </c>
      <c r="J136" t="s">
        <v>732</v>
      </c>
      <c r="K136" t="s">
        <v>731</v>
      </c>
      <c r="L136" t="s">
        <v>67</v>
      </c>
      <c r="M136" s="1" t="str">
        <f t="shared" si="14"/>
        <v>06H184</v>
      </c>
      <c r="N136" s="1" t="str">
        <f t="shared" si="15"/>
        <v>C/O</v>
      </c>
      <c r="O136" s="1" t="str">
        <f t="shared" si="16"/>
        <v>Engine Radiator</v>
      </c>
      <c r="P136" s="1" t="str">
        <f t="shared" si="17"/>
        <v>KZ00</v>
      </c>
      <c r="Q136" s="2" t="str">
        <f t="shared" si="18"/>
        <v>KZ00Engine Radiator</v>
      </c>
      <c r="R136" s="2" t="str">
        <f>New_Xref[[#This Row],[Serial Prefix]]&amp;IF(New_Xref[[#This Row],[Func Loc]]&lt;&gt;"",New_Xref[[#This Row],[Func Loc]],"NO MATCH")</f>
        <v>KZ00ENGD .ENCS.RADI</v>
      </c>
      <c r="S136" s="3" t="str">
        <f t="shared" si="19"/>
        <v>KZ002513588FEngine Radiator</v>
      </c>
      <c r="T136" s="3" t="s">
        <v>68</v>
      </c>
      <c r="U136" s="3" t="s">
        <v>34</v>
      </c>
      <c r="V136" t="str">
        <f t="shared" si="20"/>
        <v>135300</v>
      </c>
    </row>
    <row r="137" spans="1:22">
      <c r="A137" t="s">
        <v>708</v>
      </c>
      <c r="B137" t="s">
        <v>709</v>
      </c>
      <c r="C137" t="s">
        <v>733</v>
      </c>
      <c r="D137" t="s">
        <v>734</v>
      </c>
      <c r="E137" t="s">
        <v>735</v>
      </c>
      <c r="F137" t="s">
        <v>27</v>
      </c>
      <c r="G137">
        <v>1</v>
      </c>
      <c r="H137" t="s">
        <v>736</v>
      </c>
      <c r="I137" t="s">
        <v>711</v>
      </c>
      <c r="J137" t="s">
        <v>737</v>
      </c>
      <c r="K137" t="s">
        <v>738</v>
      </c>
      <c r="L137" t="s">
        <v>739</v>
      </c>
      <c r="M137" s="1" t="str">
        <f t="shared" si="14"/>
        <v>06D54</v>
      </c>
      <c r="N137" s="1" t="str">
        <f t="shared" si="15"/>
        <v>C/O</v>
      </c>
      <c r="O137" s="1" t="str">
        <f t="shared" si="16"/>
        <v>Water Pump Main</v>
      </c>
      <c r="P137" s="1" t="str">
        <f t="shared" si="17"/>
        <v>KZ00</v>
      </c>
      <c r="Q137" s="2" t="str">
        <f t="shared" si="18"/>
        <v>KZ00Water Pump Main</v>
      </c>
      <c r="R137" s="2" t="str">
        <f>New_Xref[[#This Row],[Serial Prefix]]&amp;IF(New_Xref[[#This Row],[Func Loc]]&lt;&gt;"",New_Xref[[#This Row],[Func Loc]],"NO MATCH")</f>
        <v>KZ00ENGD .WAPU.WP01</v>
      </c>
      <c r="S137" s="3" t="str">
        <f t="shared" si="19"/>
        <v>KZ000R4680Water Pump Main</v>
      </c>
      <c r="T137" s="3" t="s">
        <v>183</v>
      </c>
      <c r="U137" s="3" t="s">
        <v>34</v>
      </c>
      <c r="V137" t="str">
        <f t="shared" si="20"/>
        <v>136100</v>
      </c>
    </row>
    <row r="138" spans="1:22">
      <c r="A138" t="s">
        <v>708</v>
      </c>
      <c r="B138" t="s">
        <v>740</v>
      </c>
      <c r="C138" t="s">
        <v>741</v>
      </c>
      <c r="D138" t="s">
        <v>742</v>
      </c>
      <c r="E138" t="s">
        <v>191</v>
      </c>
      <c r="F138" t="s">
        <v>27</v>
      </c>
      <c r="G138">
        <v>1</v>
      </c>
      <c r="H138" t="s">
        <v>743</v>
      </c>
      <c r="I138" t="s">
        <v>744</v>
      </c>
      <c r="J138" t="s">
        <v>745</v>
      </c>
      <c r="K138" t="s">
        <v>744</v>
      </c>
      <c r="L138" t="s">
        <v>72</v>
      </c>
      <c r="M138" s="1" t="str">
        <f t="shared" si="14"/>
        <v>11R1141</v>
      </c>
      <c r="N138" s="1" t="str">
        <f t="shared" si="15"/>
        <v>C/O</v>
      </c>
      <c r="O138" s="1" t="str">
        <f t="shared" si="16"/>
        <v>Transmission</v>
      </c>
      <c r="P138" s="1" t="str">
        <f t="shared" si="17"/>
        <v>KZ00</v>
      </c>
      <c r="Q138" s="2" t="str">
        <f t="shared" si="18"/>
        <v>KZ00Transmission</v>
      </c>
      <c r="R138" s="2" t="str">
        <f>New_Xref[[#This Row],[Serial Prefix]]&amp;IF(New_Xref[[#This Row],[Func Loc]]&lt;&gt;"",New_Xref[[#This Row],[Func Loc]],"NO MATCH")</f>
        <v>KZ00TRAN .TRAN</v>
      </c>
      <c r="S138" s="3" t="str">
        <f t="shared" si="19"/>
        <v>KZ00HM05505XTransmission</v>
      </c>
      <c r="T138" s="3" t="s">
        <v>73</v>
      </c>
      <c r="U138" s="3" t="s">
        <v>34</v>
      </c>
      <c r="V138" t="str">
        <f t="shared" si="20"/>
        <v>303000</v>
      </c>
    </row>
    <row r="139" spans="1:22">
      <c r="A139" t="s">
        <v>708</v>
      </c>
      <c r="B139" t="s">
        <v>740</v>
      </c>
      <c r="H139" t="s">
        <v>746</v>
      </c>
      <c r="I139" t="s">
        <v>747</v>
      </c>
      <c r="J139" t="s">
        <v>748</v>
      </c>
      <c r="K139" t="s">
        <v>747</v>
      </c>
      <c r="L139" t="s">
        <v>304</v>
      </c>
      <c r="M139" s="1" t="str">
        <f t="shared" si="14"/>
        <v>11R1141</v>
      </c>
      <c r="N139" s="1" t="str">
        <f t="shared" si="15"/>
        <v>C/O</v>
      </c>
      <c r="O139" s="1" t="str">
        <f t="shared" si="16"/>
        <v>Torque Converter</v>
      </c>
      <c r="P139" s="1" t="str">
        <f t="shared" si="17"/>
        <v>KZ00</v>
      </c>
      <c r="Q139" s="2" t="str">
        <f t="shared" si="18"/>
        <v>KZ00Torque Converter</v>
      </c>
      <c r="R139" s="2" t="str">
        <f>New_Xref[[#This Row],[Serial Prefix]]&amp;IF(New_Xref[[#This Row],[Func Loc]]&lt;&gt;"",New_Xref[[#This Row],[Func Loc]],"NO MATCH")</f>
        <v>KZ00TRAN .TOCO</v>
      </c>
      <c r="S139" s="3" t="str">
        <f t="shared" si="19"/>
        <v>KZ00Torque Converter</v>
      </c>
      <c r="T139" s="3" t="s">
        <v>305</v>
      </c>
      <c r="U139" s="3" t="s">
        <v>34</v>
      </c>
      <c r="V139" t="str">
        <f t="shared" si="20"/>
        <v>310100</v>
      </c>
    </row>
    <row r="140" spans="1:22">
      <c r="A140" t="s">
        <v>708</v>
      </c>
      <c r="B140" t="s">
        <v>749</v>
      </c>
      <c r="C140" t="s">
        <v>750</v>
      </c>
      <c r="D140" t="s">
        <v>751</v>
      </c>
      <c r="E140" t="s">
        <v>752</v>
      </c>
      <c r="F140" t="s">
        <v>27</v>
      </c>
      <c r="G140">
        <v>1</v>
      </c>
      <c r="H140" t="s">
        <v>753</v>
      </c>
      <c r="I140" t="s">
        <v>754</v>
      </c>
      <c r="J140" t="s">
        <v>755</v>
      </c>
      <c r="K140" t="s">
        <v>756</v>
      </c>
      <c r="L140" t="s">
        <v>757</v>
      </c>
      <c r="M140" s="1" t="str">
        <f t="shared" si="14"/>
        <v>06H554</v>
      </c>
      <c r="N140" s="1" t="str">
        <f t="shared" si="15"/>
        <v>C/O</v>
      </c>
      <c r="O140" s="1" t="str">
        <f t="shared" si="16"/>
        <v>Hub &amp; Spindle RH</v>
      </c>
      <c r="P140" s="1" t="str">
        <f t="shared" si="17"/>
        <v>KZ00</v>
      </c>
      <c r="Q140" s="2" t="str">
        <f t="shared" si="18"/>
        <v>KZ00Hub &amp; Spindle RH</v>
      </c>
      <c r="R140" s="2" t="str">
        <f>New_Xref[[#This Row],[Serial Prefix]]&amp;IF(New_Xref[[#This Row],[Func Loc]]&lt;&gt;"",New_Xref[[#This Row],[Func Loc]],"NO MATCH")</f>
        <v>KZ00FDRV .AXAF.HASR</v>
      </c>
      <c r="S140" s="3" t="str">
        <f t="shared" si="19"/>
        <v>KZ002610649FHub &amp; Spindle RH</v>
      </c>
      <c r="T140" t="s">
        <v>88</v>
      </c>
      <c r="U140" t="s">
        <v>92</v>
      </c>
      <c r="V140" t="str">
        <f t="shared" si="20"/>
        <v>4006RF</v>
      </c>
    </row>
    <row r="141" spans="1:22">
      <c r="A141" t="s">
        <v>708</v>
      </c>
      <c r="B141" t="s">
        <v>749</v>
      </c>
      <c r="C141" t="s">
        <v>750</v>
      </c>
      <c r="D141" t="s">
        <v>751</v>
      </c>
      <c r="E141" t="s">
        <v>752</v>
      </c>
      <c r="F141" t="s">
        <v>27</v>
      </c>
      <c r="G141">
        <v>1</v>
      </c>
      <c r="H141" t="s">
        <v>753</v>
      </c>
      <c r="I141" t="s">
        <v>758</v>
      </c>
      <c r="J141" t="s">
        <v>759</v>
      </c>
      <c r="K141" t="s">
        <v>760</v>
      </c>
      <c r="L141" t="s">
        <v>761</v>
      </c>
      <c r="M141" s="1" t="str">
        <f t="shared" si="14"/>
        <v>06H554</v>
      </c>
      <c r="N141" s="1" t="str">
        <f t="shared" si="15"/>
        <v>C/O</v>
      </c>
      <c r="O141" s="1" t="str">
        <f t="shared" si="16"/>
        <v>Hub &amp; Spindle LH</v>
      </c>
      <c r="P141" s="1" t="str">
        <f t="shared" si="17"/>
        <v>KZ00</v>
      </c>
      <c r="Q141" s="2" t="str">
        <f t="shared" si="18"/>
        <v>KZ00Hub &amp; Spindle LH</v>
      </c>
      <c r="R141" s="2" t="str">
        <f>New_Xref[[#This Row],[Serial Prefix]]&amp;IF(New_Xref[[#This Row],[Func Loc]]&lt;&gt;"",New_Xref[[#This Row],[Func Loc]],"NO MATCH")</f>
        <v>KZ00FDRV .AXAF.HASL</v>
      </c>
      <c r="S141" s="3" t="str">
        <f t="shared" si="19"/>
        <v>KZ002610649FHub &amp; Spindle LH</v>
      </c>
      <c r="T141" t="s">
        <v>88</v>
      </c>
      <c r="U141" t="s">
        <v>89</v>
      </c>
      <c r="V141" t="str">
        <f t="shared" si="20"/>
        <v>4006LF</v>
      </c>
    </row>
    <row r="142" spans="1:22">
      <c r="A142" t="s">
        <v>708</v>
      </c>
      <c r="B142" t="s">
        <v>726</v>
      </c>
      <c r="C142" t="s">
        <v>762</v>
      </c>
      <c r="D142" t="s">
        <v>763</v>
      </c>
      <c r="E142" t="s">
        <v>593</v>
      </c>
      <c r="F142" t="s">
        <v>27</v>
      </c>
      <c r="G142">
        <v>1</v>
      </c>
      <c r="H142" t="s">
        <v>764</v>
      </c>
      <c r="I142" t="s">
        <v>765</v>
      </c>
      <c r="J142" t="s">
        <v>766</v>
      </c>
      <c r="K142" t="s">
        <v>765</v>
      </c>
      <c r="L142" t="s">
        <v>767</v>
      </c>
      <c r="M142" s="1" t="str">
        <f t="shared" si="14"/>
        <v>06H184</v>
      </c>
      <c r="N142" s="1" t="str">
        <f t="shared" si="15"/>
        <v>C/O</v>
      </c>
      <c r="O142" s="1" t="str">
        <f t="shared" si="16"/>
        <v>Steering Cylinder LH</v>
      </c>
      <c r="P142" s="1" t="str">
        <f t="shared" si="17"/>
        <v>KZ00</v>
      </c>
      <c r="Q142" s="2" t="str">
        <f t="shared" si="18"/>
        <v>KZ00Steering Cylinder LH</v>
      </c>
      <c r="R142" s="2" t="str">
        <f>New_Xref[[#This Row],[Serial Prefix]]&amp;IF(New_Xref[[#This Row],[Func Loc]]&lt;&gt;"",New_Xref[[#This Row],[Func Loc]],"NO MATCH")</f>
        <v>KZ00STRG .CYLI.SC01</v>
      </c>
      <c r="S142" s="3" t="str">
        <f t="shared" si="19"/>
        <v>KZ004172643Steering Cylinder LH</v>
      </c>
      <c r="T142" s="3" t="s">
        <v>107</v>
      </c>
      <c r="U142" s="3" t="s">
        <v>108</v>
      </c>
      <c r="V142" t="str">
        <f t="shared" si="20"/>
        <v>4303LT</v>
      </c>
    </row>
    <row r="143" spans="1:22">
      <c r="A143" t="s">
        <v>708</v>
      </c>
      <c r="B143" t="s">
        <v>726</v>
      </c>
      <c r="C143" t="s">
        <v>762</v>
      </c>
      <c r="D143" t="s">
        <v>763</v>
      </c>
      <c r="E143" t="s">
        <v>593</v>
      </c>
      <c r="F143" t="s">
        <v>27</v>
      </c>
      <c r="G143">
        <v>1</v>
      </c>
      <c r="H143" t="s">
        <v>764</v>
      </c>
      <c r="I143" t="s">
        <v>768</v>
      </c>
      <c r="J143" t="s">
        <v>769</v>
      </c>
      <c r="K143" t="s">
        <v>768</v>
      </c>
      <c r="L143" t="s">
        <v>770</v>
      </c>
      <c r="M143" s="1" t="str">
        <f t="shared" si="14"/>
        <v>06H184</v>
      </c>
      <c r="N143" s="1" t="str">
        <f t="shared" si="15"/>
        <v>C/O</v>
      </c>
      <c r="O143" s="1" t="str">
        <f t="shared" si="16"/>
        <v>Steering Cylinder RH</v>
      </c>
      <c r="P143" s="1" t="str">
        <f t="shared" si="17"/>
        <v>KZ00</v>
      </c>
      <c r="Q143" s="2" t="str">
        <f t="shared" si="18"/>
        <v>KZ00Steering Cylinder RH</v>
      </c>
      <c r="R143" s="2" t="str">
        <f>New_Xref[[#This Row],[Serial Prefix]]&amp;IF(New_Xref[[#This Row],[Func Loc]]&lt;&gt;"",New_Xref[[#This Row],[Func Loc]],"NO MATCH")</f>
        <v>KZ00STRG .CYLI.SC02</v>
      </c>
      <c r="S143" s="3" t="str">
        <f t="shared" si="19"/>
        <v>KZ004172643Steering Cylinder RH</v>
      </c>
      <c r="T143" s="3" t="s">
        <v>107</v>
      </c>
      <c r="U143" s="3" t="s">
        <v>115</v>
      </c>
      <c r="V143" t="str">
        <f t="shared" si="20"/>
        <v>4303RI</v>
      </c>
    </row>
    <row r="144" spans="1:22">
      <c r="A144" t="s">
        <v>708</v>
      </c>
      <c r="B144" t="s">
        <v>771</v>
      </c>
      <c r="C144" t="s">
        <v>772</v>
      </c>
      <c r="D144" t="s">
        <v>773</v>
      </c>
      <c r="E144" t="s">
        <v>774</v>
      </c>
      <c r="F144" t="s">
        <v>27</v>
      </c>
      <c r="G144">
        <v>1</v>
      </c>
      <c r="H144" t="s">
        <v>775</v>
      </c>
      <c r="I144" t="s">
        <v>776</v>
      </c>
      <c r="J144" t="s">
        <v>777</v>
      </c>
      <c r="K144" t="s">
        <v>776</v>
      </c>
      <c r="L144" t="s">
        <v>778</v>
      </c>
      <c r="M144" s="1" t="str">
        <f t="shared" si="14"/>
        <v>06H508</v>
      </c>
      <c r="N144" s="1" t="str">
        <f t="shared" si="15"/>
        <v>C/O</v>
      </c>
      <c r="O144" s="1" t="str">
        <f t="shared" si="16"/>
        <v>Suspension LHF</v>
      </c>
      <c r="P144" s="1" t="str">
        <f t="shared" si="17"/>
        <v>KZ00</v>
      </c>
      <c r="Q144" s="2" t="str">
        <f t="shared" si="18"/>
        <v>KZ00Suspension LHF</v>
      </c>
      <c r="R144" s="2" t="str">
        <f>New_Xref[[#This Row],[Serial Prefix]]&amp;IF(New_Xref[[#This Row],[Func Loc]]&lt;&gt;"",New_Xref[[#This Row],[Func Loc]],"NO MATCH")</f>
        <v>KZ00STRU .SUGR.SG01</v>
      </c>
      <c r="S144" s="3" t="str">
        <f t="shared" si="19"/>
        <v>KZ002997984XSuspension LHF</v>
      </c>
      <c r="T144" s="3" t="s">
        <v>511</v>
      </c>
      <c r="U144" s="3" t="s">
        <v>89</v>
      </c>
      <c r="V144" t="str">
        <f t="shared" si="20"/>
        <v>7201LF</v>
      </c>
    </row>
    <row r="145" spans="1:22">
      <c r="A145" t="s">
        <v>708</v>
      </c>
      <c r="B145" t="s">
        <v>771</v>
      </c>
      <c r="C145" t="s">
        <v>772</v>
      </c>
      <c r="D145" t="s">
        <v>773</v>
      </c>
      <c r="E145" t="s">
        <v>774</v>
      </c>
      <c r="F145" t="s">
        <v>27</v>
      </c>
      <c r="G145">
        <v>1</v>
      </c>
      <c r="H145" t="s">
        <v>775</v>
      </c>
      <c r="I145" t="s">
        <v>779</v>
      </c>
      <c r="J145" t="s">
        <v>780</v>
      </c>
      <c r="K145" t="s">
        <v>779</v>
      </c>
      <c r="L145" t="s">
        <v>781</v>
      </c>
      <c r="M145" s="1" t="str">
        <f t="shared" si="14"/>
        <v>06H508</v>
      </c>
      <c r="N145" s="1" t="str">
        <f t="shared" si="15"/>
        <v>C/O</v>
      </c>
      <c r="O145" s="1" t="str">
        <f t="shared" si="16"/>
        <v>Suspension RHF</v>
      </c>
      <c r="P145" s="1" t="str">
        <f t="shared" si="17"/>
        <v>KZ00</v>
      </c>
      <c r="Q145" s="2" t="str">
        <f t="shared" si="18"/>
        <v>KZ00Suspension RHF</v>
      </c>
      <c r="R145" s="2" t="str">
        <f>New_Xref[[#This Row],[Serial Prefix]]&amp;IF(New_Xref[[#This Row],[Func Loc]]&lt;&gt;"",New_Xref[[#This Row],[Func Loc]],"NO MATCH")</f>
        <v>KZ00STRU .SUGR.SG02</v>
      </c>
      <c r="S145" s="3" t="str">
        <f t="shared" si="19"/>
        <v>KZ002997984XSuspension RHF</v>
      </c>
      <c r="T145" s="3" t="s">
        <v>511</v>
      </c>
      <c r="U145" s="3" t="s">
        <v>92</v>
      </c>
      <c r="V145" t="str">
        <f t="shared" si="20"/>
        <v>7201RF</v>
      </c>
    </row>
    <row r="146" spans="1:22">
      <c r="A146" t="s">
        <v>708</v>
      </c>
      <c r="B146" t="s">
        <v>771</v>
      </c>
      <c r="C146" t="s">
        <v>782</v>
      </c>
      <c r="D146" t="s">
        <v>783</v>
      </c>
      <c r="E146" t="s">
        <v>784</v>
      </c>
      <c r="F146" t="s">
        <v>27</v>
      </c>
      <c r="G146">
        <v>1</v>
      </c>
      <c r="H146" t="s">
        <v>785</v>
      </c>
      <c r="I146" t="s">
        <v>786</v>
      </c>
      <c r="J146" t="s">
        <v>787</v>
      </c>
      <c r="K146" t="s">
        <v>786</v>
      </c>
      <c r="L146" t="s">
        <v>788</v>
      </c>
      <c r="M146" s="1" t="str">
        <f t="shared" si="14"/>
        <v>06H508</v>
      </c>
      <c r="N146" s="1" t="str">
        <f t="shared" si="15"/>
        <v>C/O</v>
      </c>
      <c r="O146" s="1" t="str">
        <f t="shared" si="16"/>
        <v>Suspension LH Centre</v>
      </c>
      <c r="P146" s="1" t="str">
        <f t="shared" si="17"/>
        <v>KZ00</v>
      </c>
      <c r="Q146" s="2" t="str">
        <f t="shared" si="18"/>
        <v>KZ00Suspension LH Centre</v>
      </c>
      <c r="R146" s="2" t="str">
        <f>New_Xref[[#This Row],[Serial Prefix]]&amp;IF(New_Xref[[#This Row],[Func Loc]]&lt;&gt;"",New_Xref[[#This Row],[Func Loc]],"NO MATCH")</f>
        <v>KZ00STRU .SUGR.SG03</v>
      </c>
      <c r="S146" s="3" t="str">
        <f t="shared" si="19"/>
        <v>KZ002660341XSuspension LH Centre</v>
      </c>
      <c r="T146" s="3" t="s">
        <v>521</v>
      </c>
      <c r="U146" s="3" t="s">
        <v>89</v>
      </c>
      <c r="V146" t="str">
        <f t="shared" si="20"/>
        <v>7213LF</v>
      </c>
    </row>
    <row r="147" spans="1:22">
      <c r="A147" t="s">
        <v>708</v>
      </c>
      <c r="B147" t="s">
        <v>771</v>
      </c>
      <c r="C147" t="s">
        <v>782</v>
      </c>
      <c r="D147" t="s">
        <v>783</v>
      </c>
      <c r="E147" t="s">
        <v>784</v>
      </c>
      <c r="F147" t="s">
        <v>27</v>
      </c>
      <c r="G147">
        <v>1</v>
      </c>
      <c r="H147" t="s">
        <v>785</v>
      </c>
      <c r="I147" t="s">
        <v>789</v>
      </c>
      <c r="J147" t="s">
        <v>790</v>
      </c>
      <c r="K147" t="s">
        <v>789</v>
      </c>
      <c r="L147" t="s">
        <v>791</v>
      </c>
      <c r="M147" s="1" t="str">
        <f t="shared" si="14"/>
        <v>06H508</v>
      </c>
      <c r="N147" s="1" t="str">
        <f t="shared" si="15"/>
        <v>C/O</v>
      </c>
      <c r="O147" s="1" t="str">
        <f t="shared" si="16"/>
        <v>Suspension RH Centre</v>
      </c>
      <c r="P147" s="1" t="str">
        <f t="shared" si="17"/>
        <v>KZ00</v>
      </c>
      <c r="Q147" s="2" t="str">
        <f t="shared" si="18"/>
        <v>KZ00Suspension RH Centre</v>
      </c>
      <c r="R147" s="2" t="str">
        <f>New_Xref[[#This Row],[Serial Prefix]]&amp;IF(New_Xref[[#This Row],[Func Loc]]&lt;&gt;"",New_Xref[[#This Row],[Func Loc]],"NO MATCH")</f>
        <v>KZ00STRU .SUGR.SG04</v>
      </c>
      <c r="S147" s="3" t="str">
        <f t="shared" si="19"/>
        <v>KZ002660341XSuspension RH Centre</v>
      </c>
      <c r="T147" s="3" t="s">
        <v>521</v>
      </c>
      <c r="U147" s="3" t="s">
        <v>92</v>
      </c>
      <c r="V147" t="str">
        <f t="shared" si="20"/>
        <v>7213RF</v>
      </c>
    </row>
    <row r="148" spans="1:22">
      <c r="A148" t="s">
        <v>708</v>
      </c>
      <c r="B148" t="s">
        <v>771</v>
      </c>
      <c r="C148" t="s">
        <v>782</v>
      </c>
      <c r="D148" t="s">
        <v>783</v>
      </c>
      <c r="E148" t="s">
        <v>784</v>
      </c>
      <c r="F148" t="s">
        <v>27</v>
      </c>
      <c r="G148">
        <v>1</v>
      </c>
      <c r="H148" t="s">
        <v>785</v>
      </c>
      <c r="I148" t="s">
        <v>792</v>
      </c>
      <c r="J148" t="s">
        <v>793</v>
      </c>
      <c r="K148" t="s">
        <v>792</v>
      </c>
      <c r="L148" t="s">
        <v>794</v>
      </c>
      <c r="M148" s="1" t="str">
        <f t="shared" si="14"/>
        <v>06H508</v>
      </c>
      <c r="N148" s="1" t="str">
        <f t="shared" si="15"/>
        <v>C/O</v>
      </c>
      <c r="O148" s="1" t="str">
        <f t="shared" si="16"/>
        <v>Suspension RHR</v>
      </c>
      <c r="P148" s="1" t="str">
        <f t="shared" si="17"/>
        <v>KZ00</v>
      </c>
      <c r="Q148" s="2" t="str">
        <f t="shared" si="18"/>
        <v>KZ00Suspension RHR</v>
      </c>
      <c r="R148" s="2" t="str">
        <f>New_Xref[[#This Row],[Serial Prefix]]&amp;IF(New_Xref[[#This Row],[Func Loc]]&lt;&gt;"",New_Xref[[#This Row],[Func Loc]],"NO MATCH")</f>
        <v>KZ00STRU .SUGR.SG06</v>
      </c>
      <c r="S148" s="3" t="str">
        <f t="shared" si="19"/>
        <v>KZ002660341XSuspension RHR</v>
      </c>
      <c r="T148" s="3" t="s">
        <v>521</v>
      </c>
      <c r="U148" s="3" t="s">
        <v>99</v>
      </c>
      <c r="V148" t="str">
        <f t="shared" si="20"/>
        <v>7213RR</v>
      </c>
    </row>
    <row r="149" spans="1:22">
      <c r="A149" t="s">
        <v>708</v>
      </c>
      <c r="B149" t="s">
        <v>795</v>
      </c>
      <c r="C149" t="s">
        <v>782</v>
      </c>
      <c r="D149" t="s">
        <v>783</v>
      </c>
      <c r="E149" t="s">
        <v>784</v>
      </c>
      <c r="F149" t="s">
        <v>27</v>
      </c>
      <c r="G149">
        <v>1</v>
      </c>
      <c r="H149" t="s">
        <v>785</v>
      </c>
      <c r="I149" t="s">
        <v>796</v>
      </c>
      <c r="J149" t="s">
        <v>797</v>
      </c>
      <c r="K149" t="s">
        <v>796</v>
      </c>
      <c r="L149" t="s">
        <v>798</v>
      </c>
      <c r="M149" s="1" t="str">
        <f t="shared" si="14"/>
        <v>06H524</v>
      </c>
      <c r="N149" s="1" t="str">
        <f t="shared" si="15"/>
        <v>C/O</v>
      </c>
      <c r="O149" s="1" t="str">
        <f t="shared" si="16"/>
        <v>Suspension LHR</v>
      </c>
      <c r="P149" s="1" t="str">
        <f t="shared" si="17"/>
        <v>KZ00</v>
      </c>
      <c r="Q149" s="2" t="str">
        <f t="shared" si="18"/>
        <v>KZ00Suspension LHR</v>
      </c>
      <c r="R149" s="2" t="str">
        <f>New_Xref[[#This Row],[Serial Prefix]]&amp;IF(New_Xref[[#This Row],[Func Loc]]&lt;&gt;"",New_Xref[[#This Row],[Func Loc]],"NO MATCH")</f>
        <v>KZ00STRU .SUGR.SG05</v>
      </c>
      <c r="S149" s="3" t="str">
        <f t="shared" si="19"/>
        <v>KZ002660341XSuspension LHR</v>
      </c>
      <c r="T149" s="3" t="s">
        <v>521</v>
      </c>
      <c r="U149" s="3" t="s">
        <v>96</v>
      </c>
      <c r="V149" t="str">
        <f t="shared" si="20"/>
        <v>7213LR</v>
      </c>
    </row>
    <row r="150" spans="1:22">
      <c r="A150" t="s">
        <v>799</v>
      </c>
      <c r="B150" t="s">
        <v>800</v>
      </c>
      <c r="C150" t="s">
        <v>801</v>
      </c>
      <c r="D150" t="s">
        <v>802</v>
      </c>
      <c r="E150" t="s">
        <v>803</v>
      </c>
      <c r="F150" t="s">
        <v>27</v>
      </c>
      <c r="G150">
        <v>1</v>
      </c>
      <c r="H150" t="s">
        <v>804</v>
      </c>
      <c r="I150" t="s">
        <v>805</v>
      </c>
      <c r="J150" t="s">
        <v>806</v>
      </c>
      <c r="K150" t="s">
        <v>807</v>
      </c>
      <c r="L150" t="s">
        <v>808</v>
      </c>
      <c r="M150" s="1" t="str">
        <f t="shared" si="14"/>
        <v>15B289</v>
      </c>
      <c r="N150" s="1" t="str">
        <f t="shared" si="15"/>
        <v>C/O</v>
      </c>
      <c r="O150" s="1" t="str">
        <f t="shared" si="16"/>
        <v>Engine LH</v>
      </c>
      <c r="P150" s="1" t="str">
        <f t="shared" si="17"/>
        <v>ELZ0</v>
      </c>
      <c r="Q150" s="2" t="str">
        <f t="shared" si="18"/>
        <v>ELZ0Engine LH</v>
      </c>
      <c r="R150" s="2" t="str">
        <f>New_Xref[[#This Row],[Serial Prefix]]&amp;IF(New_Xref[[#This Row],[Func Loc]]&lt;&gt;"",New_Xref[[#This Row],[Func Loc]],"NO MATCH")</f>
        <v>ELZ0ENG1</v>
      </c>
      <c r="S150" s="3" t="str">
        <f t="shared" si="19"/>
        <v>ELZ05633285XEngine LH</v>
      </c>
      <c r="T150" s="3" t="s">
        <v>33</v>
      </c>
      <c r="U150" s="3" t="s">
        <v>108</v>
      </c>
      <c r="V150" t="str">
        <f t="shared" si="20"/>
        <v>1000LT</v>
      </c>
    </row>
    <row r="151" spans="1:22">
      <c r="A151" t="s">
        <v>799</v>
      </c>
      <c r="B151" t="s">
        <v>800</v>
      </c>
      <c r="C151" t="s">
        <v>801</v>
      </c>
      <c r="D151" t="s">
        <v>802</v>
      </c>
      <c r="E151" t="s">
        <v>803</v>
      </c>
      <c r="F151" t="s">
        <v>27</v>
      </c>
      <c r="G151">
        <v>1</v>
      </c>
      <c r="H151" t="s">
        <v>809</v>
      </c>
      <c r="I151" t="s">
        <v>805</v>
      </c>
      <c r="J151" t="s">
        <v>810</v>
      </c>
      <c r="K151" t="s">
        <v>811</v>
      </c>
      <c r="L151" t="s">
        <v>812</v>
      </c>
      <c r="M151" s="1" t="str">
        <f t="shared" si="14"/>
        <v>15B289</v>
      </c>
      <c r="N151" s="1" t="str">
        <f t="shared" si="15"/>
        <v>C/O</v>
      </c>
      <c r="O151" s="1" t="str">
        <f t="shared" si="16"/>
        <v>Engine RH</v>
      </c>
      <c r="P151" s="1" t="str">
        <f t="shared" si="17"/>
        <v>ELZ0</v>
      </c>
      <c r="Q151" s="2" t="str">
        <f t="shared" si="18"/>
        <v>ELZ0Engine RH</v>
      </c>
      <c r="R151" s="2" t="str">
        <f>New_Xref[[#This Row],[Serial Prefix]]&amp;IF(New_Xref[[#This Row],[Func Loc]]&lt;&gt;"",New_Xref[[#This Row],[Func Loc]],"NO MATCH")</f>
        <v>ELZ0ENG2</v>
      </c>
      <c r="S151" s="3" t="str">
        <f t="shared" si="19"/>
        <v>ELZ05633285XEngine RH</v>
      </c>
      <c r="T151" s="3" t="s">
        <v>33</v>
      </c>
      <c r="U151" s="3" t="s">
        <v>115</v>
      </c>
      <c r="V151" t="str">
        <f t="shared" si="20"/>
        <v>1000RI</v>
      </c>
    </row>
    <row r="152" spans="1:22">
      <c r="A152" t="s">
        <v>799</v>
      </c>
      <c r="B152" t="s">
        <v>800</v>
      </c>
      <c r="C152" t="s">
        <v>431</v>
      </c>
      <c r="D152" t="s">
        <v>432</v>
      </c>
      <c r="E152" t="s">
        <v>276</v>
      </c>
      <c r="F152" t="s">
        <v>27</v>
      </c>
      <c r="G152">
        <v>12</v>
      </c>
      <c r="H152" t="s">
        <v>813</v>
      </c>
      <c r="I152" t="s">
        <v>805</v>
      </c>
      <c r="J152" t="s">
        <v>814</v>
      </c>
      <c r="K152" t="s">
        <v>815</v>
      </c>
      <c r="L152" t="s">
        <v>816</v>
      </c>
      <c r="M152" s="1" t="str">
        <f t="shared" si="14"/>
        <v>15B289</v>
      </c>
      <c r="N152" s="1" t="str">
        <f t="shared" si="15"/>
        <v>C/O</v>
      </c>
      <c r="O152" s="1" t="str">
        <f t="shared" si="16"/>
        <v>Engine LH Fuel Injectors</v>
      </c>
      <c r="P152" s="1" t="str">
        <f t="shared" si="17"/>
        <v>ELZ0</v>
      </c>
      <c r="Q152" s="2" t="str">
        <f t="shared" si="18"/>
        <v>ELZ0Engine LH Fuel Injectors</v>
      </c>
      <c r="R152" s="2" t="str">
        <f>New_Xref[[#This Row],[Serial Prefix]]&amp;IF(New_Xref[[#This Row],[Func Loc]]&lt;&gt;"",New_Xref[[#This Row],[Func Loc]],"NO MATCH")</f>
        <v>ELZ0ENG1 .FUEL.INJE</v>
      </c>
      <c r="S152" s="3" t="str">
        <f t="shared" si="19"/>
        <v>ELZ06470750Engine LH Fuel Injectors</v>
      </c>
      <c r="T152" s="3" t="s">
        <v>63</v>
      </c>
      <c r="U152" s="3" t="s">
        <v>108</v>
      </c>
      <c r="V152" t="str">
        <f t="shared" si="20"/>
        <v>1251LT</v>
      </c>
    </row>
    <row r="153" spans="1:22">
      <c r="A153" t="s">
        <v>799</v>
      </c>
      <c r="B153" t="s">
        <v>800</v>
      </c>
      <c r="C153" t="s">
        <v>431</v>
      </c>
      <c r="D153" t="s">
        <v>432</v>
      </c>
      <c r="E153" t="s">
        <v>276</v>
      </c>
      <c r="F153" t="s">
        <v>27</v>
      </c>
      <c r="G153">
        <v>12</v>
      </c>
      <c r="H153" t="s">
        <v>813</v>
      </c>
      <c r="I153" t="s">
        <v>805</v>
      </c>
      <c r="J153" t="s">
        <v>817</v>
      </c>
      <c r="K153" t="s">
        <v>818</v>
      </c>
      <c r="L153" t="s">
        <v>819</v>
      </c>
      <c r="M153" s="1" t="str">
        <f t="shared" si="14"/>
        <v>15B289</v>
      </c>
      <c r="N153" s="1" t="str">
        <f t="shared" si="15"/>
        <v>C/O</v>
      </c>
      <c r="O153" s="1" t="str">
        <f t="shared" si="16"/>
        <v>Engine RH Fuel Injectors</v>
      </c>
      <c r="P153" s="1" t="str">
        <f t="shared" si="17"/>
        <v>ELZ0</v>
      </c>
      <c r="Q153" s="2" t="str">
        <f t="shared" si="18"/>
        <v>ELZ0Engine RH Fuel Injectors</v>
      </c>
      <c r="R153" s="2" t="str">
        <f>New_Xref[[#This Row],[Serial Prefix]]&amp;IF(New_Xref[[#This Row],[Func Loc]]&lt;&gt;"",New_Xref[[#This Row],[Func Loc]],"NO MATCH")</f>
        <v>ELZ0ENG2 .FUEL.INJE</v>
      </c>
      <c r="S153" s="3" t="str">
        <f t="shared" si="19"/>
        <v>ELZ06470750Engine RH Fuel Injectors</v>
      </c>
      <c r="T153" s="3" t="s">
        <v>63</v>
      </c>
      <c r="U153" s="3" t="s">
        <v>115</v>
      </c>
      <c r="V153" t="str">
        <f t="shared" si="20"/>
        <v>1251RI</v>
      </c>
    </row>
    <row r="154" spans="1:22">
      <c r="A154" t="s">
        <v>799</v>
      </c>
      <c r="B154" t="s">
        <v>800</v>
      </c>
      <c r="C154" t="s">
        <v>820</v>
      </c>
      <c r="D154" t="s">
        <v>821</v>
      </c>
      <c r="E154" t="s">
        <v>822</v>
      </c>
      <c r="F154" t="s">
        <v>27</v>
      </c>
      <c r="G154">
        <v>1</v>
      </c>
      <c r="H154" t="s">
        <v>823</v>
      </c>
      <c r="I154" t="s">
        <v>824</v>
      </c>
      <c r="J154" t="s">
        <v>825</v>
      </c>
      <c r="K154" t="s">
        <v>824</v>
      </c>
      <c r="L154" t="s">
        <v>826</v>
      </c>
      <c r="M154" s="1" t="str">
        <f t="shared" si="14"/>
        <v>15B289</v>
      </c>
      <c r="N154" s="1" t="str">
        <f t="shared" si="15"/>
        <v>C/O</v>
      </c>
      <c r="O154" s="1" t="str">
        <f t="shared" si="16"/>
        <v>Engine LH Radiator</v>
      </c>
      <c r="P154" s="1" t="str">
        <f t="shared" si="17"/>
        <v>ELZ0</v>
      </c>
      <c r="Q154" s="2" t="str">
        <f t="shared" si="18"/>
        <v>ELZ0Engine LH Radiator</v>
      </c>
      <c r="R154" s="2" t="str">
        <f>New_Xref[[#This Row],[Serial Prefix]]&amp;IF(New_Xref[[#This Row],[Func Loc]]&lt;&gt;"",New_Xref[[#This Row],[Func Loc]],"NO MATCH")</f>
        <v>ELZ0ENG1 .ENCS.RADI</v>
      </c>
      <c r="S154" s="3" t="str">
        <f t="shared" si="19"/>
        <v>ELZ05726189Engine LH Radiator</v>
      </c>
      <c r="T154" s="3" t="s">
        <v>68</v>
      </c>
      <c r="U154" s="3" t="s">
        <v>108</v>
      </c>
      <c r="V154" t="str">
        <f t="shared" si="20"/>
        <v>1353LT</v>
      </c>
    </row>
    <row r="155" spans="1:22">
      <c r="A155" t="s">
        <v>799</v>
      </c>
      <c r="B155" t="s">
        <v>800</v>
      </c>
      <c r="C155" t="s">
        <v>820</v>
      </c>
      <c r="D155" t="s">
        <v>821</v>
      </c>
      <c r="E155" t="s">
        <v>822</v>
      </c>
      <c r="F155" t="s">
        <v>27</v>
      </c>
      <c r="G155">
        <v>1</v>
      </c>
      <c r="H155" t="s">
        <v>823</v>
      </c>
      <c r="I155" t="s">
        <v>827</v>
      </c>
      <c r="J155" t="s">
        <v>828</v>
      </c>
      <c r="K155" t="s">
        <v>827</v>
      </c>
      <c r="L155" t="s">
        <v>829</v>
      </c>
      <c r="M155" s="1" t="str">
        <f t="shared" si="14"/>
        <v>15B289</v>
      </c>
      <c r="N155" s="1" t="str">
        <f t="shared" si="15"/>
        <v>C/O</v>
      </c>
      <c r="O155" s="1" t="str">
        <f t="shared" si="16"/>
        <v>Engine RH Radiator</v>
      </c>
      <c r="P155" s="1" t="str">
        <f t="shared" si="17"/>
        <v>ELZ0</v>
      </c>
      <c r="Q155" s="2" t="str">
        <f t="shared" si="18"/>
        <v>ELZ0Engine RH Radiator</v>
      </c>
      <c r="R155" s="2" t="str">
        <f>New_Xref[[#This Row],[Serial Prefix]]&amp;IF(New_Xref[[#This Row],[Func Loc]]&lt;&gt;"",New_Xref[[#This Row],[Func Loc]],"NO MATCH")</f>
        <v>ELZ0ENG2 .ENCS.RADI</v>
      </c>
      <c r="S155" s="3" t="str">
        <f t="shared" si="19"/>
        <v>ELZ05726189Engine RH Radiator</v>
      </c>
      <c r="T155" s="3" t="s">
        <v>68</v>
      </c>
      <c r="U155" s="3" t="s">
        <v>115</v>
      </c>
      <c r="V155" t="str">
        <f t="shared" si="20"/>
        <v>1353RI</v>
      </c>
    </row>
    <row r="156" spans="1:22">
      <c r="A156" t="s">
        <v>799</v>
      </c>
      <c r="B156" t="s">
        <v>800</v>
      </c>
      <c r="C156" t="s">
        <v>830</v>
      </c>
      <c r="D156" t="s">
        <v>831</v>
      </c>
      <c r="E156" t="s">
        <v>832</v>
      </c>
      <c r="F156" t="s">
        <v>27</v>
      </c>
      <c r="G156">
        <v>1</v>
      </c>
      <c r="H156" t="s">
        <v>833</v>
      </c>
      <c r="I156" t="s">
        <v>805</v>
      </c>
      <c r="J156" t="s">
        <v>834</v>
      </c>
      <c r="K156" t="s">
        <v>835</v>
      </c>
      <c r="L156" t="s">
        <v>836</v>
      </c>
      <c r="M156" s="1" t="str">
        <f t="shared" si="14"/>
        <v>15B289</v>
      </c>
      <c r="N156" s="1" t="str">
        <f t="shared" si="15"/>
        <v>C/O</v>
      </c>
      <c r="O156" s="1" t="str">
        <f t="shared" si="16"/>
        <v>Engine LH Water Pump Main</v>
      </c>
      <c r="P156" s="1" t="str">
        <f t="shared" si="17"/>
        <v>ELZ0</v>
      </c>
      <c r="Q156" s="2" t="str">
        <f t="shared" si="18"/>
        <v>ELZ0Engine LH Water Pump Main</v>
      </c>
      <c r="R156" s="2" t="str">
        <f>New_Xref[[#This Row],[Serial Prefix]]&amp;IF(New_Xref[[#This Row],[Func Loc]]&lt;&gt;"",New_Xref[[#This Row],[Func Loc]],"NO MATCH")</f>
        <v>ELZ0ENG1 .WAPU.WP01</v>
      </c>
      <c r="S156" s="3" t="str">
        <f t="shared" si="19"/>
        <v>ELZ010R6400Engine LH Water Pump Main</v>
      </c>
      <c r="T156" s="3" t="s">
        <v>183</v>
      </c>
      <c r="U156" s="3" t="s">
        <v>108</v>
      </c>
      <c r="V156" t="str">
        <f t="shared" si="20"/>
        <v>1361LT</v>
      </c>
    </row>
    <row r="157" spans="1:22">
      <c r="A157" t="s">
        <v>799</v>
      </c>
      <c r="B157" t="s">
        <v>800</v>
      </c>
      <c r="C157" t="s">
        <v>837</v>
      </c>
      <c r="D157" t="s">
        <v>838</v>
      </c>
      <c r="E157" t="s">
        <v>839</v>
      </c>
      <c r="F157" t="s">
        <v>27</v>
      </c>
      <c r="G157">
        <v>1</v>
      </c>
      <c r="H157" t="s">
        <v>840</v>
      </c>
      <c r="I157" t="s">
        <v>841</v>
      </c>
      <c r="J157" t="s">
        <v>842</v>
      </c>
      <c r="K157" t="s">
        <v>843</v>
      </c>
      <c r="L157" t="s">
        <v>844</v>
      </c>
      <c r="M157" s="1" t="str">
        <f t="shared" si="14"/>
        <v>15B289</v>
      </c>
      <c r="N157" s="1" t="str">
        <f t="shared" si="15"/>
        <v>C/O</v>
      </c>
      <c r="O157" s="1" t="str">
        <f t="shared" si="16"/>
        <v>Hyd Oil Cooler Rear</v>
      </c>
      <c r="P157" s="1" t="str">
        <f t="shared" si="17"/>
        <v>ELZ0</v>
      </c>
      <c r="Q157" s="2" t="str">
        <f t="shared" si="18"/>
        <v>ELZ0Hyd Oil Cooler Rear</v>
      </c>
      <c r="R157" s="2" t="str">
        <f>New_Xref[[#This Row],[Serial Prefix]]&amp;IF(New_Xref[[#This Row],[Func Loc]]&lt;&gt;"",New_Xref[[#This Row],[Func Loc]],"NO MATCH")</f>
        <v>ELZ0MYHD .OICO.HOCR</v>
      </c>
      <c r="S157" s="3" t="str">
        <f t="shared" si="19"/>
        <v>ELZ05354973Hyd Oil Cooler Rear</v>
      </c>
      <c r="T157" s="3" t="s">
        <v>845</v>
      </c>
      <c r="U157" s="3" t="s">
        <v>317</v>
      </c>
      <c r="V157" t="str">
        <f t="shared" si="20"/>
        <v>1374RE</v>
      </c>
    </row>
    <row r="158" spans="1:22">
      <c r="A158" t="s">
        <v>799</v>
      </c>
      <c r="B158" t="s">
        <v>800</v>
      </c>
      <c r="C158" t="s">
        <v>837</v>
      </c>
      <c r="D158" t="s">
        <v>838</v>
      </c>
      <c r="E158" t="s">
        <v>839</v>
      </c>
      <c r="F158" t="s">
        <v>27</v>
      </c>
      <c r="G158">
        <v>1</v>
      </c>
      <c r="H158" t="s">
        <v>840</v>
      </c>
      <c r="I158" t="s">
        <v>846</v>
      </c>
      <c r="J158" t="s">
        <v>847</v>
      </c>
      <c r="K158" t="s">
        <v>848</v>
      </c>
      <c r="L158" t="s">
        <v>849</v>
      </c>
      <c r="M158" s="1" t="str">
        <f t="shared" si="14"/>
        <v>15B289</v>
      </c>
      <c r="N158" s="1" t="str">
        <f t="shared" si="15"/>
        <v>C/O</v>
      </c>
      <c r="O158" s="1" t="str">
        <f t="shared" si="16"/>
        <v>Hyd Oil Cooler Front</v>
      </c>
      <c r="P158" s="1" t="str">
        <f t="shared" si="17"/>
        <v>ELZ0</v>
      </c>
      <c r="Q158" s="2" t="str">
        <f t="shared" si="18"/>
        <v>ELZ0Hyd Oil Cooler Front</v>
      </c>
      <c r="R158" s="2" t="str">
        <f>New_Xref[[#This Row],[Serial Prefix]]&amp;IF(New_Xref[[#This Row],[Func Loc]]&lt;&gt;"",New_Xref[[#This Row],[Func Loc]],"NO MATCH")</f>
        <v>ELZ0MYHD .OICO.HOCF</v>
      </c>
      <c r="S158" s="3" t="str">
        <f t="shared" si="19"/>
        <v>ELZ05354973Hyd Oil Cooler Front</v>
      </c>
      <c r="T158" s="3" t="s">
        <v>845</v>
      </c>
      <c r="U158" s="3" t="s">
        <v>386</v>
      </c>
      <c r="V158" t="str">
        <f t="shared" si="20"/>
        <v>1374FR</v>
      </c>
    </row>
    <row r="159" spans="1:22">
      <c r="A159" t="s">
        <v>799</v>
      </c>
      <c r="B159" t="s">
        <v>800</v>
      </c>
      <c r="C159" t="s">
        <v>850</v>
      </c>
      <c r="D159" t="s">
        <v>851</v>
      </c>
      <c r="E159" t="s">
        <v>852</v>
      </c>
      <c r="F159" t="s">
        <v>27</v>
      </c>
      <c r="G159">
        <v>1</v>
      </c>
      <c r="H159" t="s">
        <v>853</v>
      </c>
      <c r="I159" t="s">
        <v>854</v>
      </c>
      <c r="J159" t="s">
        <v>855</v>
      </c>
      <c r="K159" t="s">
        <v>854</v>
      </c>
      <c r="L159" t="s">
        <v>856</v>
      </c>
      <c r="M159" s="1" t="str">
        <f t="shared" si="14"/>
        <v>15B289</v>
      </c>
      <c r="N159" s="1" t="str">
        <f t="shared" si="15"/>
        <v>C/O</v>
      </c>
      <c r="O159" s="1" t="str">
        <f t="shared" si="16"/>
        <v>Engine LH Cooling Fan Motor</v>
      </c>
      <c r="P159" s="1" t="str">
        <f t="shared" si="17"/>
        <v>ELZ0</v>
      </c>
      <c r="Q159" s="2" t="str">
        <f t="shared" si="18"/>
        <v>ELZ0Engine LH Cooling Fan Motor</v>
      </c>
      <c r="R159" s="2" t="str">
        <f>New_Xref[[#This Row],[Serial Prefix]]&amp;IF(New_Xref[[#This Row],[Func Loc]]&lt;&gt;"",New_Xref[[#This Row],[Func Loc]],"NO MATCH")</f>
        <v>ELZ0MYHD .MOTO.EFML</v>
      </c>
      <c r="S159" s="3" t="str">
        <f t="shared" si="19"/>
        <v>ELZ04682695Engine LH Cooling Fan Motor</v>
      </c>
      <c r="T159" s="3" t="s">
        <v>188</v>
      </c>
      <c r="U159" s="3" t="s">
        <v>108</v>
      </c>
      <c r="V159" t="str">
        <f t="shared" si="20"/>
        <v>1386LT</v>
      </c>
    </row>
    <row r="160" spans="1:22">
      <c r="A160" t="s">
        <v>799</v>
      </c>
      <c r="B160" t="s">
        <v>800</v>
      </c>
      <c r="C160" t="s">
        <v>850</v>
      </c>
      <c r="D160" t="s">
        <v>851</v>
      </c>
      <c r="E160" t="s">
        <v>852</v>
      </c>
      <c r="F160" t="s">
        <v>27</v>
      </c>
      <c r="G160">
        <v>1</v>
      </c>
      <c r="H160" t="s">
        <v>853</v>
      </c>
      <c r="I160" t="s">
        <v>857</v>
      </c>
      <c r="J160" t="s">
        <v>858</v>
      </c>
      <c r="K160" t="s">
        <v>857</v>
      </c>
      <c r="L160" t="s">
        <v>859</v>
      </c>
      <c r="M160" s="1" t="str">
        <f t="shared" si="14"/>
        <v>15B289</v>
      </c>
      <c r="N160" s="1" t="str">
        <f t="shared" si="15"/>
        <v>C/O</v>
      </c>
      <c r="O160" s="1" t="str">
        <f t="shared" si="16"/>
        <v>Engine RH Cooling Fan Motor</v>
      </c>
      <c r="P160" s="1" t="str">
        <f t="shared" si="17"/>
        <v>ELZ0</v>
      </c>
      <c r="Q160" s="2" t="str">
        <f t="shared" si="18"/>
        <v>ELZ0Engine RH Cooling Fan Motor</v>
      </c>
      <c r="R160" s="2" t="str">
        <f>New_Xref[[#This Row],[Serial Prefix]]&amp;IF(New_Xref[[#This Row],[Func Loc]]&lt;&gt;"",New_Xref[[#This Row],[Func Loc]],"NO MATCH")</f>
        <v>ELZ0MYHD .MOTO.EFMR</v>
      </c>
      <c r="S160" s="3" t="str">
        <f t="shared" si="19"/>
        <v>ELZ04682695Engine RH Cooling Fan Motor</v>
      </c>
      <c r="T160" s="3" t="s">
        <v>188</v>
      </c>
      <c r="U160" s="3" t="s">
        <v>115</v>
      </c>
      <c r="V160" t="str">
        <f t="shared" si="20"/>
        <v>1386RI</v>
      </c>
    </row>
    <row r="161" spans="1:22">
      <c r="A161" t="s">
        <v>799</v>
      </c>
      <c r="B161" t="s">
        <v>800</v>
      </c>
      <c r="C161" t="s">
        <v>850</v>
      </c>
      <c r="D161" t="s">
        <v>851</v>
      </c>
      <c r="E161" t="s">
        <v>852</v>
      </c>
      <c r="F161" t="s">
        <v>27</v>
      </c>
      <c r="G161">
        <v>1</v>
      </c>
      <c r="H161" t="s">
        <v>860</v>
      </c>
      <c r="I161" t="s">
        <v>861</v>
      </c>
      <c r="J161" t="s">
        <v>862</v>
      </c>
      <c r="K161" t="s">
        <v>861</v>
      </c>
      <c r="L161" t="s">
        <v>83</v>
      </c>
      <c r="M161" s="1" t="str">
        <f t="shared" si="14"/>
        <v>15B289</v>
      </c>
      <c r="N161" s="1" t="str">
        <f t="shared" si="15"/>
        <v>C/O</v>
      </c>
      <c r="O161" s="1" t="str">
        <f t="shared" si="16"/>
        <v>Hyd Cooling Fan Motor Front</v>
      </c>
      <c r="P161" s="1" t="str">
        <f t="shared" si="17"/>
        <v>ELZ0</v>
      </c>
      <c r="Q161" s="2" t="str">
        <f t="shared" si="18"/>
        <v>ELZ0Hyd Cooling Fan Motor Front</v>
      </c>
      <c r="R161" s="2" t="str">
        <f>New_Xref[[#This Row],[Serial Prefix]]&amp;IF(New_Xref[[#This Row],[Func Loc]]&lt;&gt;"",New_Xref[[#This Row],[Func Loc]],"NO MATCH")</f>
        <v>ELZ0NO MATCH</v>
      </c>
      <c r="S161" s="3" t="str">
        <f t="shared" si="19"/>
        <v>ELZ04682695Hyd Cooling Fan Motor Front</v>
      </c>
      <c r="T161" s="3" t="s">
        <v>188</v>
      </c>
      <c r="U161" s="3" t="s">
        <v>386</v>
      </c>
      <c r="V161" t="str">
        <f t="shared" si="20"/>
        <v>1386FR</v>
      </c>
    </row>
    <row r="162" spans="1:22">
      <c r="A162" t="s">
        <v>799</v>
      </c>
      <c r="B162" t="s">
        <v>800</v>
      </c>
      <c r="C162" t="s">
        <v>850</v>
      </c>
      <c r="D162" t="s">
        <v>851</v>
      </c>
      <c r="E162" t="s">
        <v>852</v>
      </c>
      <c r="F162" t="s">
        <v>27</v>
      </c>
      <c r="G162">
        <v>1</v>
      </c>
      <c r="H162" t="s">
        <v>860</v>
      </c>
      <c r="I162" t="s">
        <v>863</v>
      </c>
      <c r="J162" t="s">
        <v>864</v>
      </c>
      <c r="K162" t="s">
        <v>863</v>
      </c>
      <c r="L162" t="s">
        <v>83</v>
      </c>
      <c r="M162" s="1" t="str">
        <f t="shared" si="14"/>
        <v>15B289</v>
      </c>
      <c r="N162" s="1" t="str">
        <f t="shared" si="15"/>
        <v>C/O</v>
      </c>
      <c r="O162" s="1" t="str">
        <f t="shared" si="16"/>
        <v>Hyd Cooling Fan Motor Rear</v>
      </c>
      <c r="P162" s="1" t="str">
        <f t="shared" si="17"/>
        <v>ELZ0</v>
      </c>
      <c r="Q162" s="2" t="str">
        <f t="shared" si="18"/>
        <v>ELZ0Hyd Cooling Fan Motor Rear</v>
      </c>
      <c r="R162" s="2" t="str">
        <f>New_Xref[[#This Row],[Serial Prefix]]&amp;IF(New_Xref[[#This Row],[Func Loc]]&lt;&gt;"",New_Xref[[#This Row],[Func Loc]],"NO MATCH")</f>
        <v>ELZ0NO MATCH</v>
      </c>
      <c r="S162" s="3" t="str">
        <f t="shared" si="19"/>
        <v>ELZ04682695Hyd Cooling Fan Motor Rear</v>
      </c>
      <c r="T162" s="3" t="s">
        <v>188</v>
      </c>
      <c r="U162" s="3" t="s">
        <v>317</v>
      </c>
      <c r="V162" t="str">
        <f t="shared" si="20"/>
        <v>1386RE</v>
      </c>
    </row>
    <row r="163" spans="1:22">
      <c r="A163" t="s">
        <v>799</v>
      </c>
      <c r="B163" t="s">
        <v>800</v>
      </c>
      <c r="H163" t="s">
        <v>865</v>
      </c>
      <c r="I163" t="s">
        <v>866</v>
      </c>
      <c r="J163" t="s">
        <v>867</v>
      </c>
      <c r="K163" t="s">
        <v>866</v>
      </c>
      <c r="L163" t="s">
        <v>868</v>
      </c>
      <c r="M163" s="1" t="str">
        <f t="shared" si="14"/>
        <v>15B289</v>
      </c>
      <c r="N163" s="1" t="str">
        <f t="shared" si="15"/>
        <v>C/O</v>
      </c>
      <c r="O163" s="1" t="str">
        <f t="shared" si="16"/>
        <v>Engine LH Cooling Fan Drive</v>
      </c>
      <c r="P163" s="1" t="str">
        <f t="shared" si="17"/>
        <v>ELZ0</v>
      </c>
      <c r="Q163" s="2" t="str">
        <f t="shared" si="18"/>
        <v>ELZ0Engine LH Cooling Fan Drive</v>
      </c>
      <c r="R163" s="2" t="str">
        <f>New_Xref[[#This Row],[Serial Prefix]]&amp;IF(New_Xref[[#This Row],[Func Loc]]&lt;&gt;"",New_Xref[[#This Row],[Func Loc]],"NO MATCH")</f>
        <v>ELZ0ENG1 .ENCS.CFDR</v>
      </c>
      <c r="S163" s="3" t="str">
        <f t="shared" si="19"/>
        <v>ELZ0Engine LH Cooling Fan Drive</v>
      </c>
      <c r="T163" s="3" t="s">
        <v>869</v>
      </c>
      <c r="U163" s="3" t="s">
        <v>870</v>
      </c>
      <c r="V163" t="str">
        <f t="shared" si="20"/>
        <v>1387P01</v>
      </c>
    </row>
    <row r="164" spans="1:22">
      <c r="A164" t="s">
        <v>799</v>
      </c>
      <c r="B164" t="s">
        <v>800</v>
      </c>
      <c r="H164" t="s">
        <v>865</v>
      </c>
      <c r="I164" t="s">
        <v>871</v>
      </c>
      <c r="J164" t="s">
        <v>872</v>
      </c>
      <c r="K164" t="s">
        <v>871</v>
      </c>
      <c r="L164" t="s">
        <v>873</v>
      </c>
      <c r="M164" s="1" t="str">
        <f t="shared" si="14"/>
        <v>15B289</v>
      </c>
      <c r="N164" s="1" t="str">
        <f t="shared" si="15"/>
        <v>C/O</v>
      </c>
      <c r="O164" s="1" t="str">
        <f t="shared" si="16"/>
        <v>Engine RH Cooling Fan Drive</v>
      </c>
      <c r="P164" s="1" t="str">
        <f t="shared" si="17"/>
        <v>ELZ0</v>
      </c>
      <c r="Q164" s="2" t="str">
        <f t="shared" si="18"/>
        <v>ELZ0Engine RH Cooling Fan Drive</v>
      </c>
      <c r="R164" s="2" t="str">
        <f>New_Xref[[#This Row],[Serial Prefix]]&amp;IF(New_Xref[[#This Row],[Func Loc]]&lt;&gt;"",New_Xref[[#This Row],[Func Loc]],"NO MATCH")</f>
        <v>ELZ0ENG2 .ENCS.CFDR</v>
      </c>
      <c r="S164" s="3" t="str">
        <f t="shared" si="19"/>
        <v>ELZ0Engine RH Cooling Fan Drive</v>
      </c>
      <c r="T164" s="3" t="s">
        <v>869</v>
      </c>
      <c r="U164" s="3" t="s">
        <v>874</v>
      </c>
      <c r="V164" t="str">
        <f t="shared" si="20"/>
        <v>1387P02</v>
      </c>
    </row>
    <row r="165" spans="1:22">
      <c r="A165" t="s">
        <v>799</v>
      </c>
      <c r="B165" t="s">
        <v>800</v>
      </c>
      <c r="C165" t="s">
        <v>875</v>
      </c>
      <c r="D165" t="s">
        <v>876</v>
      </c>
      <c r="E165" t="s">
        <v>877</v>
      </c>
      <c r="F165" t="s">
        <v>27</v>
      </c>
      <c r="G165">
        <v>1</v>
      </c>
      <c r="H165" t="s">
        <v>878</v>
      </c>
      <c r="I165" t="s">
        <v>805</v>
      </c>
      <c r="J165" t="s">
        <v>879</v>
      </c>
      <c r="K165" t="s">
        <v>880</v>
      </c>
      <c r="L165" t="s">
        <v>83</v>
      </c>
      <c r="M165" s="1" t="str">
        <f t="shared" si="14"/>
        <v>15B289</v>
      </c>
      <c r="N165" s="1" t="str">
        <f t="shared" si="15"/>
        <v>C/O</v>
      </c>
      <c r="O165" s="1" t="str">
        <f t="shared" si="16"/>
        <v>Engine LH Starter Motor LH</v>
      </c>
      <c r="P165" s="1" t="str">
        <f t="shared" si="17"/>
        <v>ELZ0</v>
      </c>
      <c r="Q165" s="2" t="str">
        <f t="shared" si="18"/>
        <v>ELZ0Engine LH Starter Motor LH</v>
      </c>
      <c r="R165" s="2" t="str">
        <f>New_Xref[[#This Row],[Serial Prefix]]&amp;IF(New_Xref[[#This Row],[Func Loc]]&lt;&gt;"",New_Xref[[#This Row],[Func Loc]],"NO MATCH")</f>
        <v>ELZ0NO MATCH</v>
      </c>
      <c r="S165" s="3" t="str">
        <f t="shared" si="19"/>
        <v>ELZ020R1312Engine LH Starter Motor LH</v>
      </c>
      <c r="T165" s="3" t="s">
        <v>881</v>
      </c>
      <c r="U165" s="3" t="s">
        <v>34</v>
      </c>
      <c r="V165" t="str">
        <f t="shared" si="20"/>
        <v>145300</v>
      </c>
    </row>
    <row r="166" spans="1:22">
      <c r="A166" t="s">
        <v>799</v>
      </c>
      <c r="B166" t="s">
        <v>800</v>
      </c>
      <c r="C166" t="s">
        <v>875</v>
      </c>
      <c r="D166" t="s">
        <v>876</v>
      </c>
      <c r="E166" t="s">
        <v>877</v>
      </c>
      <c r="F166" t="s">
        <v>27</v>
      </c>
      <c r="G166">
        <v>1</v>
      </c>
      <c r="H166" t="s">
        <v>878</v>
      </c>
      <c r="I166" t="s">
        <v>805</v>
      </c>
      <c r="J166" t="s">
        <v>882</v>
      </c>
      <c r="K166" t="s">
        <v>883</v>
      </c>
      <c r="L166" t="s">
        <v>83</v>
      </c>
      <c r="M166" s="1" t="str">
        <f t="shared" si="14"/>
        <v>15B289</v>
      </c>
      <c r="N166" s="1" t="str">
        <f t="shared" si="15"/>
        <v>C/O</v>
      </c>
      <c r="O166" s="1" t="str">
        <f t="shared" si="16"/>
        <v>Engine LH Starter Motor RH</v>
      </c>
      <c r="P166" s="1" t="str">
        <f t="shared" si="17"/>
        <v>ELZ0</v>
      </c>
      <c r="Q166" s="2" t="str">
        <f t="shared" si="18"/>
        <v>ELZ0Engine LH Starter Motor RH</v>
      </c>
      <c r="R166" s="2" t="str">
        <f>New_Xref[[#This Row],[Serial Prefix]]&amp;IF(New_Xref[[#This Row],[Func Loc]]&lt;&gt;"",New_Xref[[#This Row],[Func Loc]],"NO MATCH")</f>
        <v>ELZ0NO MATCH</v>
      </c>
      <c r="S166" s="3" t="str">
        <f t="shared" si="19"/>
        <v>ELZ020R1312Engine LH Starter Motor RH</v>
      </c>
      <c r="T166" s="3" t="s">
        <v>881</v>
      </c>
      <c r="U166" s="3" t="s">
        <v>34</v>
      </c>
      <c r="V166" t="str">
        <f t="shared" si="20"/>
        <v>145300</v>
      </c>
    </row>
    <row r="167" spans="1:22">
      <c r="A167" t="s">
        <v>799</v>
      </c>
      <c r="B167" t="s">
        <v>800</v>
      </c>
      <c r="C167" t="s">
        <v>875</v>
      </c>
      <c r="D167" t="s">
        <v>876</v>
      </c>
      <c r="E167" t="s">
        <v>877</v>
      </c>
      <c r="F167" t="s">
        <v>27</v>
      </c>
      <c r="G167">
        <v>1</v>
      </c>
      <c r="H167" t="s">
        <v>878</v>
      </c>
      <c r="I167" t="s">
        <v>805</v>
      </c>
      <c r="J167" t="s">
        <v>884</v>
      </c>
      <c r="K167" t="s">
        <v>885</v>
      </c>
      <c r="L167" t="s">
        <v>83</v>
      </c>
      <c r="M167" s="1" t="str">
        <f t="shared" si="14"/>
        <v>15B289</v>
      </c>
      <c r="N167" s="1" t="str">
        <f t="shared" si="15"/>
        <v>C/O</v>
      </c>
      <c r="O167" s="1" t="str">
        <f t="shared" si="16"/>
        <v>Engine RH Starter Motor LH</v>
      </c>
      <c r="P167" s="1" t="str">
        <f t="shared" si="17"/>
        <v>ELZ0</v>
      </c>
      <c r="Q167" s="2" t="str">
        <f t="shared" si="18"/>
        <v>ELZ0Engine RH Starter Motor LH</v>
      </c>
      <c r="R167" s="2" t="str">
        <f>New_Xref[[#This Row],[Serial Prefix]]&amp;IF(New_Xref[[#This Row],[Func Loc]]&lt;&gt;"",New_Xref[[#This Row],[Func Loc]],"NO MATCH")</f>
        <v>ELZ0NO MATCH</v>
      </c>
      <c r="S167" s="3" t="str">
        <f t="shared" si="19"/>
        <v>ELZ020R1312Engine RH Starter Motor LH</v>
      </c>
      <c r="T167" s="3" t="s">
        <v>881</v>
      </c>
      <c r="U167" s="3" t="s">
        <v>34</v>
      </c>
      <c r="V167" t="str">
        <f t="shared" si="20"/>
        <v>145300</v>
      </c>
    </row>
    <row r="168" spans="1:22">
      <c r="A168" t="s">
        <v>799</v>
      </c>
      <c r="B168" t="s">
        <v>800</v>
      </c>
      <c r="C168" t="s">
        <v>875</v>
      </c>
      <c r="D168" t="s">
        <v>876</v>
      </c>
      <c r="E168" t="s">
        <v>877</v>
      </c>
      <c r="F168" t="s">
        <v>27</v>
      </c>
      <c r="G168">
        <v>1</v>
      </c>
      <c r="H168" t="s">
        <v>878</v>
      </c>
      <c r="I168" t="s">
        <v>805</v>
      </c>
      <c r="J168" t="s">
        <v>886</v>
      </c>
      <c r="K168" t="s">
        <v>887</v>
      </c>
      <c r="L168" t="s">
        <v>83</v>
      </c>
      <c r="M168" s="1" t="str">
        <f t="shared" si="14"/>
        <v>15B289</v>
      </c>
      <c r="N168" s="1" t="str">
        <f t="shared" si="15"/>
        <v>C/O</v>
      </c>
      <c r="O168" s="1" t="str">
        <f t="shared" si="16"/>
        <v>Engine RH Starter Motor RH</v>
      </c>
      <c r="P168" s="1" t="str">
        <f t="shared" si="17"/>
        <v>ELZ0</v>
      </c>
      <c r="Q168" s="2" t="str">
        <f t="shared" si="18"/>
        <v>ELZ0Engine RH Starter Motor RH</v>
      </c>
      <c r="R168" s="2" t="str">
        <f>New_Xref[[#This Row],[Serial Prefix]]&amp;IF(New_Xref[[#This Row],[Func Loc]]&lt;&gt;"",New_Xref[[#This Row],[Func Loc]],"NO MATCH")</f>
        <v>ELZ0NO MATCH</v>
      </c>
      <c r="S168" s="3" t="str">
        <f t="shared" si="19"/>
        <v>ELZ020R1312Engine RH Starter Motor RH</v>
      </c>
      <c r="T168" s="3" t="s">
        <v>881</v>
      </c>
      <c r="U168" s="3" t="s">
        <v>34</v>
      </c>
      <c r="V168" t="str">
        <f t="shared" si="20"/>
        <v>145300</v>
      </c>
    </row>
    <row r="169" spans="1:22">
      <c r="A169" t="s">
        <v>799</v>
      </c>
      <c r="B169" t="s">
        <v>800</v>
      </c>
      <c r="C169" t="s">
        <v>888</v>
      </c>
      <c r="D169" t="s">
        <v>889</v>
      </c>
      <c r="E169" t="s">
        <v>890</v>
      </c>
      <c r="F169" t="s">
        <v>27</v>
      </c>
      <c r="G169">
        <v>1</v>
      </c>
      <c r="H169" t="s">
        <v>891</v>
      </c>
      <c r="I169" t="s">
        <v>892</v>
      </c>
      <c r="J169" t="s">
        <v>893</v>
      </c>
      <c r="K169" t="s">
        <v>894</v>
      </c>
      <c r="L169" t="s">
        <v>895</v>
      </c>
      <c r="M169" s="1" t="str">
        <f t="shared" si="14"/>
        <v>15B289</v>
      </c>
      <c r="N169" s="1" t="str">
        <f t="shared" si="15"/>
        <v>C/O</v>
      </c>
      <c r="O169" s="1" t="str">
        <f t="shared" si="16"/>
        <v>Swing Replenishing Pump LH</v>
      </c>
      <c r="P169" s="1" t="str">
        <f t="shared" si="17"/>
        <v>ELZ0</v>
      </c>
      <c r="Q169" s="2" t="str">
        <f t="shared" si="18"/>
        <v>ELZ0Swing Replenishing Pump LH</v>
      </c>
      <c r="R169" s="2" t="str">
        <f>New_Xref[[#This Row],[Serial Prefix]]&amp;IF(New_Xref[[#This Row],[Func Loc]]&lt;&gt;"",New_Xref[[#This Row],[Func Loc]],"NO MATCH")</f>
        <v>ELZ0MYHD .PUMP.SRP1</v>
      </c>
      <c r="S169" s="3" t="str">
        <f t="shared" si="19"/>
        <v>ELZ04715775Swing Replenishing Pump LH</v>
      </c>
      <c r="T169" s="3" t="s">
        <v>896</v>
      </c>
      <c r="U169" s="3" t="s">
        <v>108</v>
      </c>
      <c r="V169" t="str">
        <f t="shared" si="20"/>
        <v>3204LT</v>
      </c>
    </row>
    <row r="170" spans="1:22">
      <c r="A170" t="s">
        <v>799</v>
      </c>
      <c r="B170" t="s">
        <v>800</v>
      </c>
      <c r="C170" t="s">
        <v>888</v>
      </c>
      <c r="D170" t="s">
        <v>889</v>
      </c>
      <c r="E170" t="s">
        <v>890</v>
      </c>
      <c r="F170" t="s">
        <v>27</v>
      </c>
      <c r="G170">
        <v>1</v>
      </c>
      <c r="H170" t="s">
        <v>891</v>
      </c>
      <c r="I170" t="s">
        <v>897</v>
      </c>
      <c r="J170" t="s">
        <v>898</v>
      </c>
      <c r="K170" t="s">
        <v>899</v>
      </c>
      <c r="L170" t="s">
        <v>900</v>
      </c>
      <c r="M170" s="1" t="str">
        <f t="shared" si="14"/>
        <v>15B289</v>
      </c>
      <c r="N170" s="1" t="str">
        <f t="shared" si="15"/>
        <v>C/O</v>
      </c>
      <c r="O170" s="1" t="str">
        <f t="shared" si="16"/>
        <v>Swing Replenishing Pump RH</v>
      </c>
      <c r="P170" s="1" t="str">
        <f t="shared" si="17"/>
        <v>ELZ0</v>
      </c>
      <c r="Q170" s="2" t="str">
        <f t="shared" si="18"/>
        <v>ELZ0Swing Replenishing Pump RH</v>
      </c>
      <c r="R170" s="2" t="str">
        <f>New_Xref[[#This Row],[Serial Prefix]]&amp;IF(New_Xref[[#This Row],[Func Loc]]&lt;&gt;"",New_Xref[[#This Row],[Func Loc]],"NO MATCH")</f>
        <v>ELZ0MYHD .PUMP.SRP2</v>
      </c>
      <c r="S170" s="3" t="str">
        <f t="shared" si="19"/>
        <v>ELZ04715775Swing Replenishing Pump RH</v>
      </c>
      <c r="T170" s="3" t="s">
        <v>896</v>
      </c>
      <c r="U170" s="3" t="s">
        <v>115</v>
      </c>
      <c r="V170" t="str">
        <f t="shared" si="20"/>
        <v>3204RI</v>
      </c>
    </row>
    <row r="171" spans="1:22">
      <c r="A171" t="s">
        <v>799</v>
      </c>
      <c r="B171" t="s">
        <v>800</v>
      </c>
      <c r="C171" t="s">
        <v>901</v>
      </c>
      <c r="D171" t="s">
        <v>902</v>
      </c>
      <c r="E171" t="s">
        <v>903</v>
      </c>
      <c r="F171" t="s">
        <v>27</v>
      </c>
      <c r="G171">
        <v>1</v>
      </c>
      <c r="H171" t="s">
        <v>904</v>
      </c>
      <c r="I171" t="s">
        <v>905</v>
      </c>
      <c r="J171" t="s">
        <v>906</v>
      </c>
      <c r="K171" t="s">
        <v>905</v>
      </c>
      <c r="L171" t="s">
        <v>907</v>
      </c>
      <c r="M171" s="1" t="str">
        <f t="shared" si="14"/>
        <v>15B289</v>
      </c>
      <c r="N171" s="1" t="str">
        <f t="shared" si="15"/>
        <v>C/O</v>
      </c>
      <c r="O171" s="1" t="str">
        <f t="shared" si="16"/>
        <v>Final Drive LH</v>
      </c>
      <c r="P171" s="1" t="str">
        <f t="shared" si="17"/>
        <v>ELZ0</v>
      </c>
      <c r="Q171" s="2" t="str">
        <f t="shared" si="18"/>
        <v>ELZ0Final Drive LH</v>
      </c>
      <c r="R171" s="2" t="str">
        <f>New_Xref[[#This Row],[Serial Prefix]]&amp;IF(New_Xref[[#This Row],[Func Loc]]&lt;&gt;"",New_Xref[[#This Row],[Func Loc]],"NO MATCH")</f>
        <v>ELZ0FDRV .FIDR.FDLH</v>
      </c>
      <c r="S171" s="3" t="str">
        <f t="shared" si="19"/>
        <v>ELZ04846333XFinal Drive LH</v>
      </c>
      <c r="T171" s="3" t="s">
        <v>908</v>
      </c>
      <c r="U171" s="3" t="s">
        <v>108</v>
      </c>
      <c r="V171" t="str">
        <f t="shared" si="20"/>
        <v>4050LT</v>
      </c>
    </row>
    <row r="172" spans="1:22">
      <c r="A172" t="s">
        <v>799</v>
      </c>
      <c r="B172" t="s">
        <v>800</v>
      </c>
      <c r="C172" t="s">
        <v>901</v>
      </c>
      <c r="D172" t="s">
        <v>902</v>
      </c>
      <c r="E172" t="s">
        <v>903</v>
      </c>
      <c r="F172" t="s">
        <v>27</v>
      </c>
      <c r="G172">
        <v>1</v>
      </c>
      <c r="H172" t="s">
        <v>904</v>
      </c>
      <c r="I172" t="s">
        <v>909</v>
      </c>
      <c r="J172" t="s">
        <v>910</v>
      </c>
      <c r="K172" t="s">
        <v>909</v>
      </c>
      <c r="L172" t="s">
        <v>911</v>
      </c>
      <c r="M172" s="1" t="str">
        <f t="shared" si="14"/>
        <v>15B289</v>
      </c>
      <c r="N172" s="1" t="str">
        <f t="shared" si="15"/>
        <v>C/O</v>
      </c>
      <c r="O172" s="1" t="str">
        <f t="shared" si="16"/>
        <v>Final Drive RH</v>
      </c>
      <c r="P172" s="1" t="str">
        <f t="shared" si="17"/>
        <v>ELZ0</v>
      </c>
      <c r="Q172" s="2" t="str">
        <f t="shared" si="18"/>
        <v>ELZ0Final Drive RH</v>
      </c>
      <c r="R172" s="2" t="str">
        <f>New_Xref[[#This Row],[Serial Prefix]]&amp;IF(New_Xref[[#This Row],[Func Loc]]&lt;&gt;"",New_Xref[[#This Row],[Func Loc]],"NO MATCH")</f>
        <v>ELZ0FDRV .FIDR.FDRH</v>
      </c>
      <c r="S172" s="3" t="str">
        <f t="shared" si="19"/>
        <v>ELZ04846333XFinal Drive RH</v>
      </c>
      <c r="T172" s="3" t="s">
        <v>908</v>
      </c>
      <c r="U172" s="3" t="s">
        <v>115</v>
      </c>
      <c r="V172" t="str">
        <f t="shared" si="20"/>
        <v>4050RI</v>
      </c>
    </row>
    <row r="173" spans="1:22">
      <c r="A173" t="s">
        <v>799</v>
      </c>
      <c r="B173" t="s">
        <v>800</v>
      </c>
      <c r="C173" t="s">
        <v>912</v>
      </c>
      <c r="D173" t="s">
        <v>913</v>
      </c>
      <c r="E173" t="s">
        <v>914</v>
      </c>
      <c r="F173" t="s">
        <v>27</v>
      </c>
      <c r="G173">
        <v>2</v>
      </c>
      <c r="H173" t="s">
        <v>915</v>
      </c>
      <c r="I173" t="s">
        <v>916</v>
      </c>
      <c r="J173" t="s">
        <v>917</v>
      </c>
      <c r="K173" t="s">
        <v>916</v>
      </c>
      <c r="L173" t="s">
        <v>918</v>
      </c>
      <c r="M173" s="1" t="str">
        <f t="shared" si="14"/>
        <v>15B289</v>
      </c>
      <c r="N173" s="1" t="str">
        <f t="shared" si="15"/>
        <v>C/O</v>
      </c>
      <c r="O173" s="1" t="str">
        <f t="shared" si="16"/>
        <v>Carrier Rollers LH</v>
      </c>
      <c r="P173" s="1" t="str">
        <f t="shared" si="17"/>
        <v>ELZ0</v>
      </c>
      <c r="Q173" s="2" t="str">
        <f t="shared" si="18"/>
        <v>ELZ0Carrier Rollers LH</v>
      </c>
      <c r="R173" s="2" t="str">
        <f>New_Xref[[#This Row],[Serial Prefix]]&amp;IF(New_Xref[[#This Row],[Func Loc]]&lt;&gt;"",New_Xref[[#This Row],[Func Loc]],"NO MATCH")</f>
        <v>ELZ0STRU .TFLH.CARO</v>
      </c>
      <c r="S173" s="3" t="str">
        <f t="shared" si="19"/>
        <v>ELZ011R0082Carrier Rollers LH</v>
      </c>
      <c r="T173" s="3" t="s">
        <v>919</v>
      </c>
      <c r="U173" s="3" t="s">
        <v>108</v>
      </c>
      <c r="V173" t="str">
        <f t="shared" si="20"/>
        <v>4154LT</v>
      </c>
    </row>
    <row r="174" spans="1:22">
      <c r="A174" t="s">
        <v>799</v>
      </c>
      <c r="B174" t="s">
        <v>800</v>
      </c>
      <c r="C174" t="s">
        <v>912</v>
      </c>
      <c r="D174" t="s">
        <v>913</v>
      </c>
      <c r="E174" t="s">
        <v>914</v>
      </c>
      <c r="F174" t="s">
        <v>27</v>
      </c>
      <c r="G174">
        <v>2</v>
      </c>
      <c r="H174" t="s">
        <v>915</v>
      </c>
      <c r="I174" t="s">
        <v>920</v>
      </c>
      <c r="J174" t="s">
        <v>921</v>
      </c>
      <c r="K174" t="s">
        <v>920</v>
      </c>
      <c r="L174" t="s">
        <v>922</v>
      </c>
      <c r="M174" s="1" t="str">
        <f t="shared" si="14"/>
        <v>15B289</v>
      </c>
      <c r="N174" s="1" t="str">
        <f t="shared" si="15"/>
        <v>C/O</v>
      </c>
      <c r="O174" s="1" t="str">
        <f t="shared" si="16"/>
        <v>Carrier Rollers RH</v>
      </c>
      <c r="P174" s="1" t="str">
        <f t="shared" si="17"/>
        <v>ELZ0</v>
      </c>
      <c r="Q174" s="2" t="str">
        <f t="shared" si="18"/>
        <v>ELZ0Carrier Rollers RH</v>
      </c>
      <c r="R174" s="2" t="str">
        <f>New_Xref[[#This Row],[Serial Prefix]]&amp;IF(New_Xref[[#This Row],[Func Loc]]&lt;&gt;"",New_Xref[[#This Row],[Func Loc]],"NO MATCH")</f>
        <v>ELZ0STRU .TFRH.CARO</v>
      </c>
      <c r="S174" s="3" t="str">
        <f t="shared" si="19"/>
        <v>ELZ011R0082Carrier Rollers RH</v>
      </c>
      <c r="T174" s="3" t="s">
        <v>919</v>
      </c>
      <c r="U174" s="3" t="s">
        <v>115</v>
      </c>
      <c r="V174" t="str">
        <f t="shared" si="20"/>
        <v>4154RI</v>
      </c>
    </row>
    <row r="175" spans="1:22">
      <c r="A175" t="s">
        <v>799</v>
      </c>
      <c r="B175" t="s">
        <v>800</v>
      </c>
      <c r="C175" t="s">
        <v>923</v>
      </c>
      <c r="D175" t="s">
        <v>924</v>
      </c>
      <c r="E175" t="s">
        <v>925</v>
      </c>
      <c r="F175" t="s">
        <v>27</v>
      </c>
      <c r="G175">
        <v>1</v>
      </c>
      <c r="H175" t="s">
        <v>926</v>
      </c>
      <c r="I175" t="s">
        <v>927</v>
      </c>
      <c r="J175" t="s">
        <v>928</v>
      </c>
      <c r="K175" t="s">
        <v>927</v>
      </c>
      <c r="L175" t="s">
        <v>929</v>
      </c>
      <c r="M175" s="1" t="str">
        <f t="shared" si="14"/>
        <v>15B289</v>
      </c>
      <c r="N175" s="1" t="str">
        <f t="shared" si="15"/>
        <v>C/O</v>
      </c>
      <c r="O175" s="1" t="str">
        <f t="shared" si="16"/>
        <v>Track Adjuster LH</v>
      </c>
      <c r="P175" s="1" t="str">
        <f t="shared" si="17"/>
        <v>ELZ0</v>
      </c>
      <c r="Q175" s="2" t="str">
        <f t="shared" si="18"/>
        <v>ELZ0Track Adjuster LH</v>
      </c>
      <c r="R175" s="2" t="str">
        <f>New_Xref[[#This Row],[Serial Prefix]]&amp;IF(New_Xref[[#This Row],[Func Loc]]&lt;&gt;"",New_Xref[[#This Row],[Func Loc]],"NO MATCH")</f>
        <v>ELZ0STRU .TFLH.TRAD</v>
      </c>
      <c r="S175" s="3" t="str">
        <f t="shared" si="19"/>
        <v>ELZ04671669Track Adjuster LH</v>
      </c>
      <c r="T175" s="3" t="s">
        <v>930</v>
      </c>
      <c r="U175" s="3" t="s">
        <v>108</v>
      </c>
      <c r="V175" t="str">
        <f t="shared" si="20"/>
        <v>4157LT</v>
      </c>
    </row>
    <row r="176" spans="1:22">
      <c r="A176" t="s">
        <v>799</v>
      </c>
      <c r="B176" t="s">
        <v>800</v>
      </c>
      <c r="C176" t="s">
        <v>923</v>
      </c>
      <c r="D176" t="s">
        <v>924</v>
      </c>
      <c r="E176" t="s">
        <v>925</v>
      </c>
      <c r="F176" t="s">
        <v>27</v>
      </c>
      <c r="G176">
        <v>1</v>
      </c>
      <c r="H176" t="s">
        <v>926</v>
      </c>
      <c r="I176" t="s">
        <v>931</v>
      </c>
      <c r="J176" t="s">
        <v>932</v>
      </c>
      <c r="K176" t="s">
        <v>931</v>
      </c>
      <c r="L176" t="s">
        <v>933</v>
      </c>
      <c r="M176" s="1" t="str">
        <f t="shared" si="14"/>
        <v>15B289</v>
      </c>
      <c r="N176" s="1" t="str">
        <f t="shared" si="15"/>
        <v>C/O</v>
      </c>
      <c r="O176" s="1" t="str">
        <f t="shared" si="16"/>
        <v>Track Adjuster RH</v>
      </c>
      <c r="P176" s="1" t="str">
        <f t="shared" si="17"/>
        <v>ELZ0</v>
      </c>
      <c r="Q176" s="2" t="str">
        <f t="shared" si="18"/>
        <v>ELZ0Track Adjuster RH</v>
      </c>
      <c r="R176" s="2" t="str">
        <f>New_Xref[[#This Row],[Serial Prefix]]&amp;IF(New_Xref[[#This Row],[Func Loc]]&lt;&gt;"",New_Xref[[#This Row],[Func Loc]],"NO MATCH")</f>
        <v>ELZ0STRU .TFRH.TRAD</v>
      </c>
      <c r="S176" s="3" t="str">
        <f t="shared" si="19"/>
        <v>ELZ04671669Track Adjuster RH</v>
      </c>
      <c r="T176" s="3" t="s">
        <v>930</v>
      </c>
      <c r="U176" s="3" t="s">
        <v>115</v>
      </c>
      <c r="V176" t="str">
        <f t="shared" si="20"/>
        <v>4157RI</v>
      </c>
    </row>
    <row r="177" spans="1:22">
      <c r="A177" t="s">
        <v>799</v>
      </c>
      <c r="B177" t="s">
        <v>800</v>
      </c>
      <c r="C177" t="s">
        <v>934</v>
      </c>
      <c r="D177" t="s">
        <v>935</v>
      </c>
      <c r="E177" t="s">
        <v>936</v>
      </c>
      <c r="F177" t="s">
        <v>27</v>
      </c>
      <c r="G177">
        <v>1</v>
      </c>
      <c r="H177" t="s">
        <v>937</v>
      </c>
      <c r="I177" t="s">
        <v>938</v>
      </c>
      <c r="J177" t="s">
        <v>939</v>
      </c>
      <c r="K177" t="s">
        <v>938</v>
      </c>
      <c r="L177" t="s">
        <v>940</v>
      </c>
      <c r="M177" s="1" t="str">
        <f t="shared" si="14"/>
        <v>15B289</v>
      </c>
      <c r="N177" s="1" t="str">
        <f t="shared" si="15"/>
        <v>C/O</v>
      </c>
      <c r="O177" s="1" t="str">
        <f t="shared" si="16"/>
        <v>Front Idler LH</v>
      </c>
      <c r="P177" s="1" t="str">
        <f t="shared" si="17"/>
        <v>ELZ0</v>
      </c>
      <c r="Q177" s="2" t="str">
        <f t="shared" si="18"/>
        <v>ELZ0Front Idler LH</v>
      </c>
      <c r="R177" s="2" t="str">
        <f>New_Xref[[#This Row],[Serial Prefix]]&amp;IF(New_Xref[[#This Row],[Func Loc]]&lt;&gt;"",New_Xref[[#This Row],[Func Loc]],"NO MATCH")</f>
        <v>ELZ0STRU .TFLH.IDLF</v>
      </c>
      <c r="S177" s="3" t="str">
        <f t="shared" si="19"/>
        <v>ELZ020R8905Front Idler LH</v>
      </c>
      <c r="T177" s="3" t="s">
        <v>941</v>
      </c>
      <c r="U177" s="3" t="s">
        <v>108</v>
      </c>
      <c r="V177" t="str">
        <f t="shared" si="20"/>
        <v>4159LT</v>
      </c>
    </row>
    <row r="178" spans="1:22">
      <c r="A178" t="s">
        <v>799</v>
      </c>
      <c r="B178" t="s">
        <v>800</v>
      </c>
      <c r="C178" t="s">
        <v>934</v>
      </c>
      <c r="D178" t="s">
        <v>935</v>
      </c>
      <c r="E178" t="s">
        <v>936</v>
      </c>
      <c r="F178" t="s">
        <v>27</v>
      </c>
      <c r="G178">
        <v>1</v>
      </c>
      <c r="H178" t="s">
        <v>937</v>
      </c>
      <c r="I178" t="s">
        <v>942</v>
      </c>
      <c r="J178" t="s">
        <v>943</v>
      </c>
      <c r="K178" t="s">
        <v>942</v>
      </c>
      <c r="L178" t="s">
        <v>944</v>
      </c>
      <c r="M178" s="1" t="str">
        <f t="shared" si="14"/>
        <v>15B289</v>
      </c>
      <c r="N178" s="1" t="str">
        <f t="shared" si="15"/>
        <v>C/O</v>
      </c>
      <c r="O178" s="1" t="str">
        <f t="shared" si="16"/>
        <v>Front Idler RH</v>
      </c>
      <c r="P178" s="1" t="str">
        <f t="shared" si="17"/>
        <v>ELZ0</v>
      </c>
      <c r="Q178" s="2" t="str">
        <f t="shared" si="18"/>
        <v>ELZ0Front Idler RH</v>
      </c>
      <c r="R178" s="2" t="str">
        <f>New_Xref[[#This Row],[Serial Prefix]]&amp;IF(New_Xref[[#This Row],[Func Loc]]&lt;&gt;"",New_Xref[[#This Row],[Func Loc]],"NO MATCH")</f>
        <v>ELZ0STRU .TFRH.IDLF</v>
      </c>
      <c r="S178" s="3" t="str">
        <f t="shared" si="19"/>
        <v>ELZ020R8905Front Idler RH</v>
      </c>
      <c r="T178" s="3" t="s">
        <v>941</v>
      </c>
      <c r="U178" s="3" t="s">
        <v>115</v>
      </c>
      <c r="V178" t="str">
        <f t="shared" si="20"/>
        <v>4159RI</v>
      </c>
    </row>
    <row r="179" spans="1:22">
      <c r="A179" t="s">
        <v>799</v>
      </c>
      <c r="B179" t="s">
        <v>800</v>
      </c>
      <c r="C179" t="s">
        <v>945</v>
      </c>
      <c r="D179" t="s">
        <v>946</v>
      </c>
      <c r="E179" t="s">
        <v>947</v>
      </c>
      <c r="F179" t="s">
        <v>27</v>
      </c>
      <c r="G179">
        <v>7</v>
      </c>
      <c r="H179" t="s">
        <v>948</v>
      </c>
      <c r="I179" t="s">
        <v>949</v>
      </c>
      <c r="J179" t="s">
        <v>950</v>
      </c>
      <c r="K179" t="s">
        <v>949</v>
      </c>
      <c r="L179" t="s">
        <v>951</v>
      </c>
      <c r="M179" s="1" t="str">
        <f t="shared" si="14"/>
        <v>15B289</v>
      </c>
      <c r="N179" s="1" t="str">
        <f t="shared" si="15"/>
        <v>C/O</v>
      </c>
      <c r="O179" s="1" t="str">
        <f t="shared" si="16"/>
        <v>Load Rollers LH</v>
      </c>
      <c r="P179" s="1" t="str">
        <f t="shared" si="17"/>
        <v>ELZ0</v>
      </c>
      <c r="Q179" s="2" t="str">
        <f t="shared" si="18"/>
        <v>ELZ0Load Rollers LH</v>
      </c>
      <c r="R179" s="2" t="str">
        <f>New_Xref[[#This Row],[Serial Prefix]]&amp;IF(New_Xref[[#This Row],[Func Loc]]&lt;&gt;"",New_Xref[[#This Row],[Func Loc]],"NO MATCH")</f>
        <v>ELZ0STRU .TFLH.LORO</v>
      </c>
      <c r="S179" s="3" t="str">
        <f t="shared" si="19"/>
        <v>ELZ011R-0083Load Rollers LH</v>
      </c>
      <c r="T179" s="3" t="s">
        <v>952</v>
      </c>
      <c r="U179" s="3" t="s">
        <v>953</v>
      </c>
      <c r="V179" t="str">
        <f t="shared" si="20"/>
        <v>4180L01</v>
      </c>
    </row>
    <row r="180" spans="1:22">
      <c r="A180" t="s">
        <v>799</v>
      </c>
      <c r="B180" t="s">
        <v>800</v>
      </c>
      <c r="C180" t="s">
        <v>945</v>
      </c>
      <c r="D180" t="s">
        <v>946</v>
      </c>
      <c r="E180" t="s">
        <v>947</v>
      </c>
      <c r="F180" t="s">
        <v>27</v>
      </c>
      <c r="G180">
        <v>7</v>
      </c>
      <c r="H180" t="s">
        <v>948</v>
      </c>
      <c r="I180" t="s">
        <v>954</v>
      </c>
      <c r="J180" t="s">
        <v>955</v>
      </c>
      <c r="K180" t="s">
        <v>954</v>
      </c>
      <c r="L180" t="s">
        <v>956</v>
      </c>
      <c r="M180" s="1" t="str">
        <f t="shared" si="14"/>
        <v>15B289</v>
      </c>
      <c r="N180" s="1" t="str">
        <f t="shared" si="15"/>
        <v>C/O</v>
      </c>
      <c r="O180" s="1" t="str">
        <f t="shared" si="16"/>
        <v>Load Rollers RH</v>
      </c>
      <c r="P180" s="1" t="str">
        <f t="shared" si="17"/>
        <v>ELZ0</v>
      </c>
      <c r="Q180" s="2" t="str">
        <f t="shared" si="18"/>
        <v>ELZ0Load Rollers RH</v>
      </c>
      <c r="R180" s="2" t="str">
        <f>New_Xref[[#This Row],[Serial Prefix]]&amp;IF(New_Xref[[#This Row],[Func Loc]]&lt;&gt;"",New_Xref[[#This Row],[Func Loc]],"NO MATCH")</f>
        <v>ELZ0STRU .TFRH.LORO</v>
      </c>
      <c r="S180" s="3" t="str">
        <f t="shared" si="19"/>
        <v>ELZ011R-0083Load Rollers RH</v>
      </c>
      <c r="T180" s="3" t="s">
        <v>952</v>
      </c>
      <c r="U180" s="3" t="s">
        <v>957</v>
      </c>
      <c r="V180" t="str">
        <f t="shared" si="20"/>
        <v>4180R01</v>
      </c>
    </row>
    <row r="181" spans="1:22">
      <c r="A181" t="s">
        <v>799</v>
      </c>
      <c r="B181" t="s">
        <v>800</v>
      </c>
      <c r="C181" t="s">
        <v>958</v>
      </c>
      <c r="D181" t="s">
        <v>959</v>
      </c>
      <c r="E181" t="s">
        <v>852</v>
      </c>
      <c r="F181" t="s">
        <v>27</v>
      </c>
      <c r="G181">
        <v>2</v>
      </c>
      <c r="H181" t="s">
        <v>960</v>
      </c>
      <c r="I181" t="s">
        <v>961</v>
      </c>
      <c r="J181" t="s">
        <v>962</v>
      </c>
      <c r="K181" t="s">
        <v>961</v>
      </c>
      <c r="L181" t="s">
        <v>963</v>
      </c>
      <c r="M181" s="1" t="str">
        <f t="shared" si="14"/>
        <v>15B289</v>
      </c>
      <c r="N181" s="1" t="str">
        <f t="shared" si="15"/>
        <v>C/O</v>
      </c>
      <c r="O181" s="1" t="str">
        <f t="shared" si="16"/>
        <v>Travel Motor LHF</v>
      </c>
      <c r="P181" s="1" t="str">
        <f t="shared" si="17"/>
        <v>ELZ0</v>
      </c>
      <c r="Q181" s="2" t="str">
        <f t="shared" si="18"/>
        <v>ELZ0Travel Motor LHF</v>
      </c>
      <c r="R181" s="2" t="str">
        <f>New_Xref[[#This Row],[Serial Prefix]]&amp;IF(New_Xref[[#This Row],[Func Loc]]&lt;&gt;"",New_Xref[[#This Row],[Func Loc]],"NO MATCH")</f>
        <v>ELZ0MYHD .MOTO.TMLF</v>
      </c>
      <c r="S181" s="3" t="str">
        <f t="shared" si="19"/>
        <v>ELZ020R2021Travel Motor LHF</v>
      </c>
      <c r="T181" s="3" t="s">
        <v>964</v>
      </c>
      <c r="U181" s="3" t="s">
        <v>89</v>
      </c>
      <c r="V181" t="str">
        <f t="shared" si="20"/>
        <v>4351LF</v>
      </c>
    </row>
    <row r="182" spans="1:22">
      <c r="A182" t="s">
        <v>799</v>
      </c>
      <c r="B182" t="s">
        <v>800</v>
      </c>
      <c r="C182" t="s">
        <v>958</v>
      </c>
      <c r="D182" t="s">
        <v>959</v>
      </c>
      <c r="E182" t="s">
        <v>852</v>
      </c>
      <c r="F182" t="s">
        <v>27</v>
      </c>
      <c r="G182">
        <v>2</v>
      </c>
      <c r="H182" t="s">
        <v>960</v>
      </c>
      <c r="I182" t="s">
        <v>965</v>
      </c>
      <c r="J182" t="s">
        <v>966</v>
      </c>
      <c r="K182" t="s">
        <v>965</v>
      </c>
      <c r="L182" t="s">
        <v>967</v>
      </c>
      <c r="M182" s="1" t="str">
        <f t="shared" si="14"/>
        <v>15B289</v>
      </c>
      <c r="N182" s="1" t="str">
        <f t="shared" si="15"/>
        <v>C/O</v>
      </c>
      <c r="O182" s="1" t="str">
        <f t="shared" si="16"/>
        <v>Travel Motor LHR</v>
      </c>
      <c r="P182" s="1" t="str">
        <f t="shared" si="17"/>
        <v>ELZ0</v>
      </c>
      <c r="Q182" s="2" t="str">
        <f t="shared" si="18"/>
        <v>ELZ0Travel Motor LHR</v>
      </c>
      <c r="R182" s="2" t="str">
        <f>New_Xref[[#This Row],[Serial Prefix]]&amp;IF(New_Xref[[#This Row],[Func Loc]]&lt;&gt;"",New_Xref[[#This Row],[Func Loc]],"NO MATCH")</f>
        <v>ELZ0MYHD .MOTO.TMLR</v>
      </c>
      <c r="S182" s="3" t="str">
        <f t="shared" si="19"/>
        <v>ELZ020R2021Travel Motor LHR</v>
      </c>
      <c r="T182" s="3" t="s">
        <v>964</v>
      </c>
      <c r="U182" s="3" t="s">
        <v>96</v>
      </c>
      <c r="V182" t="str">
        <f t="shared" si="20"/>
        <v>4351LR</v>
      </c>
    </row>
    <row r="183" spans="1:22">
      <c r="A183" t="s">
        <v>799</v>
      </c>
      <c r="B183" t="s">
        <v>800</v>
      </c>
      <c r="C183" t="s">
        <v>958</v>
      </c>
      <c r="D183" t="s">
        <v>959</v>
      </c>
      <c r="E183" t="s">
        <v>852</v>
      </c>
      <c r="F183" t="s">
        <v>27</v>
      </c>
      <c r="G183">
        <v>2</v>
      </c>
      <c r="H183" t="s">
        <v>960</v>
      </c>
      <c r="I183" t="s">
        <v>968</v>
      </c>
      <c r="J183" t="s">
        <v>969</v>
      </c>
      <c r="K183" t="s">
        <v>968</v>
      </c>
      <c r="L183" t="s">
        <v>970</v>
      </c>
      <c r="M183" s="1" t="str">
        <f t="shared" si="14"/>
        <v>15B289</v>
      </c>
      <c r="N183" s="1" t="str">
        <f t="shared" si="15"/>
        <v>C/O</v>
      </c>
      <c r="O183" s="1" t="str">
        <f t="shared" si="16"/>
        <v>Travel Motor RHF</v>
      </c>
      <c r="P183" s="1" t="str">
        <f t="shared" si="17"/>
        <v>ELZ0</v>
      </c>
      <c r="Q183" s="2" t="str">
        <f t="shared" si="18"/>
        <v>ELZ0Travel Motor RHF</v>
      </c>
      <c r="R183" s="2" t="str">
        <f>New_Xref[[#This Row],[Serial Prefix]]&amp;IF(New_Xref[[#This Row],[Func Loc]]&lt;&gt;"",New_Xref[[#This Row],[Func Loc]],"NO MATCH")</f>
        <v>ELZ0MYHD .MOTO.TMRF</v>
      </c>
      <c r="S183" s="3" t="str">
        <f t="shared" si="19"/>
        <v>ELZ020R2021Travel Motor RHF</v>
      </c>
      <c r="T183" s="3" t="s">
        <v>964</v>
      </c>
      <c r="U183" s="3" t="s">
        <v>92</v>
      </c>
      <c r="V183" t="str">
        <f t="shared" si="20"/>
        <v>4351RF</v>
      </c>
    </row>
    <row r="184" spans="1:22">
      <c r="A184" t="s">
        <v>799</v>
      </c>
      <c r="B184" t="s">
        <v>800</v>
      </c>
      <c r="C184" t="s">
        <v>958</v>
      </c>
      <c r="D184" t="s">
        <v>959</v>
      </c>
      <c r="E184" t="s">
        <v>852</v>
      </c>
      <c r="F184" t="s">
        <v>27</v>
      </c>
      <c r="G184">
        <v>2</v>
      </c>
      <c r="H184" t="s">
        <v>960</v>
      </c>
      <c r="I184" t="s">
        <v>971</v>
      </c>
      <c r="J184" t="s">
        <v>972</v>
      </c>
      <c r="K184" t="s">
        <v>971</v>
      </c>
      <c r="L184" t="s">
        <v>973</v>
      </c>
      <c r="M184" s="1" t="str">
        <f t="shared" si="14"/>
        <v>15B289</v>
      </c>
      <c r="N184" s="1" t="str">
        <f t="shared" si="15"/>
        <v>C/O</v>
      </c>
      <c r="O184" s="1" t="str">
        <f t="shared" si="16"/>
        <v>Travel Motor RHR</v>
      </c>
      <c r="P184" s="1" t="str">
        <f t="shared" si="17"/>
        <v>ELZ0</v>
      </c>
      <c r="Q184" s="2" t="str">
        <f t="shared" si="18"/>
        <v>ELZ0Travel Motor RHR</v>
      </c>
      <c r="R184" s="2" t="str">
        <f>New_Xref[[#This Row],[Serial Prefix]]&amp;IF(New_Xref[[#This Row],[Func Loc]]&lt;&gt;"",New_Xref[[#This Row],[Func Loc]],"NO MATCH")</f>
        <v>ELZ0MYHD .MOTO.TMRR</v>
      </c>
      <c r="S184" s="3" t="str">
        <f t="shared" si="19"/>
        <v>ELZ020R2021Travel Motor RHR</v>
      </c>
      <c r="T184" s="3" t="s">
        <v>964</v>
      </c>
      <c r="U184" s="3" t="s">
        <v>99</v>
      </c>
      <c r="V184" t="str">
        <f t="shared" si="20"/>
        <v>4351RR</v>
      </c>
    </row>
    <row r="185" spans="1:22">
      <c r="A185" t="s">
        <v>799</v>
      </c>
      <c r="B185" t="s">
        <v>800</v>
      </c>
      <c r="C185" t="s">
        <v>974</v>
      </c>
      <c r="D185" t="s">
        <v>975</v>
      </c>
      <c r="E185" t="s">
        <v>976</v>
      </c>
      <c r="F185" t="s">
        <v>27</v>
      </c>
      <c r="G185">
        <v>1</v>
      </c>
      <c r="H185" t="s">
        <v>977</v>
      </c>
      <c r="I185" t="s">
        <v>978</v>
      </c>
      <c r="J185" t="s">
        <v>979</v>
      </c>
      <c r="K185" t="s">
        <v>978</v>
      </c>
      <c r="L185" t="s">
        <v>83</v>
      </c>
      <c r="M185" s="1" t="str">
        <f t="shared" si="14"/>
        <v>15B289</v>
      </c>
      <c r="N185" s="1" t="str">
        <f t="shared" si="15"/>
        <v>C/O</v>
      </c>
      <c r="O185" s="1" t="str">
        <f t="shared" si="16"/>
        <v>Main Pump 1 (LH Engine LH)</v>
      </c>
      <c r="P185" s="1" t="str">
        <f t="shared" si="17"/>
        <v>ELZ0</v>
      </c>
      <c r="Q185" s="2" t="str">
        <f t="shared" si="18"/>
        <v>ELZ0Main Pump 1 (LH Engine LH)</v>
      </c>
      <c r="R185" s="2" t="str">
        <f>New_Xref[[#This Row],[Serial Prefix]]&amp;IF(New_Xref[[#This Row],[Func Loc]]&lt;&gt;"",New_Xref[[#This Row],[Func Loc]],"NO MATCH")</f>
        <v>ELZ0NO MATCH</v>
      </c>
      <c r="S185" s="3" t="str">
        <f t="shared" si="19"/>
        <v>ELZ020R2013Main Pump 1 (LH Engine LH)</v>
      </c>
      <c r="T185" s="3" t="s">
        <v>371</v>
      </c>
      <c r="U185" s="3" t="s">
        <v>89</v>
      </c>
      <c r="V185" t="str">
        <f t="shared" si="20"/>
        <v>5084LF</v>
      </c>
    </row>
    <row r="186" spans="1:22">
      <c r="A186" t="s">
        <v>799</v>
      </c>
      <c r="B186" t="s">
        <v>800</v>
      </c>
      <c r="C186" t="s">
        <v>974</v>
      </c>
      <c r="D186" t="s">
        <v>975</v>
      </c>
      <c r="E186" t="s">
        <v>976</v>
      </c>
      <c r="F186" t="s">
        <v>27</v>
      </c>
      <c r="G186">
        <v>1</v>
      </c>
      <c r="H186" t="s">
        <v>977</v>
      </c>
      <c r="I186" t="s">
        <v>980</v>
      </c>
      <c r="J186" t="s">
        <v>981</v>
      </c>
      <c r="K186" t="s">
        <v>980</v>
      </c>
      <c r="L186" t="s">
        <v>83</v>
      </c>
      <c r="M186" s="1" t="str">
        <f t="shared" si="14"/>
        <v>15B289</v>
      </c>
      <c r="N186" s="1" t="str">
        <f t="shared" si="15"/>
        <v>C/O</v>
      </c>
      <c r="O186" s="1" t="str">
        <f t="shared" si="16"/>
        <v>Main Pump 2 (LH Engine RH)</v>
      </c>
      <c r="P186" s="1" t="str">
        <f t="shared" si="17"/>
        <v>ELZ0</v>
      </c>
      <c r="Q186" s="2" t="str">
        <f t="shared" si="18"/>
        <v>ELZ0Main Pump 2 (LH Engine RH)</v>
      </c>
      <c r="R186" s="2" t="str">
        <f>New_Xref[[#This Row],[Serial Prefix]]&amp;IF(New_Xref[[#This Row],[Func Loc]]&lt;&gt;"",New_Xref[[#This Row],[Func Loc]],"NO MATCH")</f>
        <v>ELZ0NO MATCH</v>
      </c>
      <c r="S186" s="3" t="str">
        <f t="shared" si="19"/>
        <v>ELZ020R2013Main Pump 2 (LH Engine RH)</v>
      </c>
      <c r="T186" s="3" t="s">
        <v>371</v>
      </c>
      <c r="U186" s="3" t="s">
        <v>92</v>
      </c>
      <c r="V186" t="str">
        <f t="shared" si="20"/>
        <v>5084RF</v>
      </c>
    </row>
    <row r="187" spans="1:22">
      <c r="A187" t="s">
        <v>799</v>
      </c>
      <c r="B187" t="s">
        <v>800</v>
      </c>
      <c r="C187" t="s">
        <v>974</v>
      </c>
      <c r="D187" t="s">
        <v>975</v>
      </c>
      <c r="E187" t="s">
        <v>976</v>
      </c>
      <c r="F187" t="s">
        <v>27</v>
      </c>
      <c r="G187">
        <v>1</v>
      </c>
      <c r="H187" t="s">
        <v>977</v>
      </c>
      <c r="I187" t="s">
        <v>982</v>
      </c>
      <c r="J187" t="s">
        <v>983</v>
      </c>
      <c r="K187" t="s">
        <v>982</v>
      </c>
      <c r="L187" t="s">
        <v>83</v>
      </c>
      <c r="M187" s="1" t="str">
        <f t="shared" si="14"/>
        <v>15B289</v>
      </c>
      <c r="N187" s="1" t="str">
        <f t="shared" si="15"/>
        <v>C/O</v>
      </c>
      <c r="O187" s="1" t="str">
        <f t="shared" si="16"/>
        <v>Main Pump 3 (RH Engine LH)</v>
      </c>
      <c r="P187" s="1" t="str">
        <f t="shared" si="17"/>
        <v>ELZ0</v>
      </c>
      <c r="Q187" s="2" t="str">
        <f t="shared" si="18"/>
        <v>ELZ0Main Pump 3 (RH Engine LH)</v>
      </c>
      <c r="R187" s="2" t="str">
        <f>New_Xref[[#This Row],[Serial Prefix]]&amp;IF(New_Xref[[#This Row],[Func Loc]]&lt;&gt;"",New_Xref[[#This Row],[Func Loc]],"NO MATCH")</f>
        <v>ELZ0NO MATCH</v>
      </c>
      <c r="S187" s="3" t="str">
        <f t="shared" si="19"/>
        <v>ELZ020R2013Main Pump 3 (RH Engine LH)</v>
      </c>
      <c r="T187" s="3" t="s">
        <v>371</v>
      </c>
      <c r="U187" s="3" t="s">
        <v>96</v>
      </c>
      <c r="V187" t="str">
        <f t="shared" si="20"/>
        <v>5084LR</v>
      </c>
    </row>
    <row r="188" spans="1:22">
      <c r="A188" t="s">
        <v>799</v>
      </c>
      <c r="B188" t="s">
        <v>800</v>
      </c>
      <c r="C188" t="s">
        <v>974</v>
      </c>
      <c r="D188" t="s">
        <v>975</v>
      </c>
      <c r="E188" t="s">
        <v>976</v>
      </c>
      <c r="F188" t="s">
        <v>27</v>
      </c>
      <c r="G188">
        <v>1</v>
      </c>
      <c r="H188" t="s">
        <v>977</v>
      </c>
      <c r="I188" t="s">
        <v>984</v>
      </c>
      <c r="J188" t="s">
        <v>985</v>
      </c>
      <c r="K188" t="s">
        <v>984</v>
      </c>
      <c r="L188" t="s">
        <v>83</v>
      </c>
      <c r="M188" s="1" t="str">
        <f t="shared" si="14"/>
        <v>15B289</v>
      </c>
      <c r="N188" s="1" t="str">
        <f t="shared" si="15"/>
        <v>C/O</v>
      </c>
      <c r="O188" s="1" t="str">
        <f t="shared" si="16"/>
        <v>Main Pump 4 (RH Engine RH)</v>
      </c>
      <c r="P188" s="1" t="str">
        <f t="shared" si="17"/>
        <v>ELZ0</v>
      </c>
      <c r="Q188" s="2" t="str">
        <f t="shared" si="18"/>
        <v>ELZ0Main Pump 4 (RH Engine RH)</v>
      </c>
      <c r="R188" s="2" t="str">
        <f>New_Xref[[#This Row],[Serial Prefix]]&amp;IF(New_Xref[[#This Row],[Func Loc]]&lt;&gt;"",New_Xref[[#This Row],[Func Loc]],"NO MATCH")</f>
        <v>ELZ0NO MATCH</v>
      </c>
      <c r="S188" s="3" t="str">
        <f t="shared" si="19"/>
        <v>ELZ020R2013Main Pump 4 (RH Engine RH)</v>
      </c>
      <c r="T188" s="3" t="s">
        <v>371</v>
      </c>
      <c r="U188" s="3" t="s">
        <v>99</v>
      </c>
      <c r="V188" t="str">
        <f t="shared" si="20"/>
        <v>5084RR</v>
      </c>
    </row>
    <row r="189" spans="1:22">
      <c r="A189" t="s">
        <v>799</v>
      </c>
      <c r="B189" t="s">
        <v>800</v>
      </c>
      <c r="C189" t="s">
        <v>986</v>
      </c>
      <c r="D189" t="s">
        <v>987</v>
      </c>
      <c r="E189" t="s">
        <v>988</v>
      </c>
      <c r="F189" t="s">
        <v>27</v>
      </c>
      <c r="G189">
        <v>1</v>
      </c>
      <c r="H189" t="s">
        <v>989</v>
      </c>
      <c r="I189" t="s">
        <v>990</v>
      </c>
      <c r="J189" t="s">
        <v>991</v>
      </c>
      <c r="K189" t="s">
        <v>990</v>
      </c>
      <c r="L189" t="s">
        <v>992</v>
      </c>
      <c r="M189" s="1" t="str">
        <f t="shared" si="14"/>
        <v>15B289</v>
      </c>
      <c r="N189" s="1" t="str">
        <f t="shared" si="15"/>
        <v>C/O</v>
      </c>
      <c r="O189" s="1" t="str">
        <f t="shared" si="16"/>
        <v>Pilot Hydraulic Pump LH</v>
      </c>
      <c r="P189" s="1" t="str">
        <f t="shared" si="17"/>
        <v>ELZ0</v>
      </c>
      <c r="Q189" s="2" t="str">
        <f t="shared" si="18"/>
        <v>ELZ0Pilot Hydraulic Pump LH</v>
      </c>
      <c r="R189" s="2" t="str">
        <f>New_Xref[[#This Row],[Serial Prefix]]&amp;IF(New_Xref[[#This Row],[Func Loc]]&lt;&gt;"",New_Xref[[#This Row],[Func Loc]],"NO MATCH")</f>
        <v>ELZ0MYHD .PUMP.PPL1</v>
      </c>
      <c r="S189" s="3" t="str">
        <f t="shared" si="19"/>
        <v>ELZ020R9386Pilot Hydraulic Pump LH</v>
      </c>
      <c r="T189" s="3" t="s">
        <v>993</v>
      </c>
      <c r="U189" s="3" t="s">
        <v>108</v>
      </c>
      <c r="V189" t="str">
        <f t="shared" si="20"/>
        <v>5085LT</v>
      </c>
    </row>
    <row r="190" spans="1:22">
      <c r="A190" t="s">
        <v>799</v>
      </c>
      <c r="B190" t="s">
        <v>800</v>
      </c>
      <c r="C190" t="s">
        <v>986</v>
      </c>
      <c r="D190" t="s">
        <v>987</v>
      </c>
      <c r="E190" t="s">
        <v>988</v>
      </c>
      <c r="F190" t="s">
        <v>27</v>
      </c>
      <c r="G190">
        <v>1</v>
      </c>
      <c r="H190" t="s">
        <v>989</v>
      </c>
      <c r="I190" t="s">
        <v>994</v>
      </c>
      <c r="J190" t="s">
        <v>995</v>
      </c>
      <c r="K190" t="s">
        <v>994</v>
      </c>
      <c r="L190" t="s">
        <v>996</v>
      </c>
      <c r="M190" s="1" t="str">
        <f t="shared" si="14"/>
        <v>15B289</v>
      </c>
      <c r="N190" s="1" t="str">
        <f t="shared" si="15"/>
        <v>C/O</v>
      </c>
      <c r="O190" s="1" t="str">
        <f t="shared" si="16"/>
        <v>Pilot Hydraulic Pump RH</v>
      </c>
      <c r="P190" s="1" t="str">
        <f t="shared" si="17"/>
        <v>ELZ0</v>
      </c>
      <c r="Q190" s="2" t="str">
        <f t="shared" si="18"/>
        <v>ELZ0Pilot Hydraulic Pump RH</v>
      </c>
      <c r="R190" s="2" t="str">
        <f>New_Xref[[#This Row],[Serial Prefix]]&amp;IF(New_Xref[[#This Row],[Func Loc]]&lt;&gt;"",New_Xref[[#This Row],[Func Loc]],"NO MATCH")</f>
        <v>ELZ0MYHD .PUMP.PPR1</v>
      </c>
      <c r="S190" s="3" t="str">
        <f t="shared" si="19"/>
        <v>ELZ020R9386Pilot Hydraulic Pump RH</v>
      </c>
      <c r="T190" s="3" t="s">
        <v>993</v>
      </c>
      <c r="U190" s="3" t="s">
        <v>115</v>
      </c>
      <c r="V190" t="str">
        <f t="shared" si="20"/>
        <v>5085RI</v>
      </c>
    </row>
    <row r="191" spans="1:22">
      <c r="A191" t="s">
        <v>799</v>
      </c>
      <c r="B191" t="s">
        <v>800</v>
      </c>
      <c r="C191" t="s">
        <v>997</v>
      </c>
      <c r="D191" t="s">
        <v>998</v>
      </c>
      <c r="E191" t="s">
        <v>999</v>
      </c>
      <c r="F191" t="s">
        <v>27</v>
      </c>
      <c r="G191">
        <v>1</v>
      </c>
      <c r="H191" t="s">
        <v>1000</v>
      </c>
      <c r="I191" t="s">
        <v>1001</v>
      </c>
      <c r="J191" t="s">
        <v>1002</v>
      </c>
      <c r="K191" t="s">
        <v>1003</v>
      </c>
      <c r="L191" t="s">
        <v>83</v>
      </c>
      <c r="M191" s="1" t="str">
        <f t="shared" si="14"/>
        <v>15B289</v>
      </c>
      <c r="N191" s="1" t="str">
        <f t="shared" si="15"/>
        <v>C/O</v>
      </c>
      <c r="O191" s="1" t="str">
        <f t="shared" si="16"/>
        <v>Pump Drive Lube Pump LH</v>
      </c>
      <c r="P191" s="1" t="str">
        <f t="shared" si="17"/>
        <v>ELZ0</v>
      </c>
      <c r="Q191" s="2" t="str">
        <f t="shared" si="18"/>
        <v>ELZ0Pump Drive Lube Pump LH</v>
      </c>
      <c r="R191" s="2" t="str">
        <f>New_Xref[[#This Row],[Serial Prefix]]&amp;IF(New_Xref[[#This Row],[Func Loc]]&lt;&gt;"",New_Xref[[#This Row],[Func Loc]],"NO MATCH")</f>
        <v>ELZ0NO MATCH</v>
      </c>
      <c r="S191" s="3" t="str">
        <f t="shared" si="19"/>
        <v>ELZ04682693Pump Drive Lube Pump LH</v>
      </c>
      <c r="T191" s="3" t="s">
        <v>1004</v>
      </c>
      <c r="U191" s="3" t="s">
        <v>34</v>
      </c>
      <c r="V191" t="str">
        <f t="shared" si="20"/>
        <v>508C00</v>
      </c>
    </row>
    <row r="192" spans="1:22">
      <c r="A192" t="s">
        <v>799</v>
      </c>
      <c r="B192" t="s">
        <v>800</v>
      </c>
      <c r="C192" t="s">
        <v>997</v>
      </c>
      <c r="D192" t="s">
        <v>998</v>
      </c>
      <c r="E192" t="s">
        <v>999</v>
      </c>
      <c r="F192" t="s">
        <v>27</v>
      </c>
      <c r="G192">
        <v>1</v>
      </c>
      <c r="H192" t="s">
        <v>1000</v>
      </c>
      <c r="I192" t="s">
        <v>1005</v>
      </c>
      <c r="J192" t="s">
        <v>1006</v>
      </c>
      <c r="K192" t="s">
        <v>1007</v>
      </c>
      <c r="L192" t="s">
        <v>83</v>
      </c>
      <c r="M192" s="1" t="str">
        <f t="shared" si="14"/>
        <v>15B289</v>
      </c>
      <c r="N192" s="1" t="str">
        <f t="shared" si="15"/>
        <v>C/O</v>
      </c>
      <c r="O192" s="1" t="str">
        <f t="shared" si="16"/>
        <v>Pump Drive Lube Pump RH</v>
      </c>
      <c r="P192" s="1" t="str">
        <f t="shared" si="17"/>
        <v>ELZ0</v>
      </c>
      <c r="Q192" s="2" t="str">
        <f t="shared" si="18"/>
        <v>ELZ0Pump Drive Lube Pump RH</v>
      </c>
      <c r="R192" s="2" t="str">
        <f>New_Xref[[#This Row],[Serial Prefix]]&amp;IF(New_Xref[[#This Row],[Func Loc]]&lt;&gt;"",New_Xref[[#This Row],[Func Loc]],"NO MATCH")</f>
        <v>ELZ0NO MATCH</v>
      </c>
      <c r="S192" s="3" t="str">
        <f t="shared" si="19"/>
        <v>ELZ04682693Pump Drive Lube Pump RH</v>
      </c>
      <c r="T192" s="3" t="s">
        <v>1004</v>
      </c>
      <c r="U192" s="3" t="s">
        <v>34</v>
      </c>
      <c r="V192" t="str">
        <f t="shared" si="20"/>
        <v>508C00</v>
      </c>
    </row>
    <row r="193" spans="1:22">
      <c r="A193" t="s">
        <v>799</v>
      </c>
      <c r="B193" t="s">
        <v>800</v>
      </c>
      <c r="C193" t="s">
        <v>1008</v>
      </c>
      <c r="D193" t="s">
        <v>1009</v>
      </c>
      <c r="E193" t="s">
        <v>1010</v>
      </c>
      <c r="F193" t="s">
        <v>27</v>
      </c>
      <c r="G193">
        <v>1</v>
      </c>
      <c r="H193" t="s">
        <v>1011</v>
      </c>
      <c r="I193" t="s">
        <v>1012</v>
      </c>
      <c r="J193" t="s">
        <v>1013</v>
      </c>
      <c r="K193" t="s">
        <v>1012</v>
      </c>
      <c r="L193" t="s">
        <v>1014</v>
      </c>
      <c r="M193" s="1" t="str">
        <f t="shared" si="14"/>
        <v>15B289</v>
      </c>
      <c r="N193" s="1" t="str">
        <f t="shared" si="15"/>
        <v>C/O</v>
      </c>
      <c r="O193" s="1" t="str">
        <f t="shared" si="16"/>
        <v>Boom Cylinder LH</v>
      </c>
      <c r="P193" s="1" t="str">
        <f t="shared" si="17"/>
        <v>ELZ0</v>
      </c>
      <c r="Q193" s="2" t="str">
        <f t="shared" si="18"/>
        <v>ELZ0Boom Cylinder LH</v>
      </c>
      <c r="R193" s="2" t="str">
        <f>New_Xref[[#This Row],[Serial Prefix]]&amp;IF(New_Xref[[#This Row],[Func Loc]]&lt;&gt;"",New_Xref[[#This Row],[Func Loc]],"NO MATCH")</f>
        <v>ELZ0MYHD .CYLI.BOOL</v>
      </c>
      <c r="S193" s="3" t="str">
        <f t="shared" si="19"/>
        <v>ELZ04658707XBoom Cylinder LH</v>
      </c>
      <c r="T193" s="3" t="s">
        <v>1015</v>
      </c>
      <c r="U193" s="3" t="s">
        <v>108</v>
      </c>
      <c r="V193" t="str">
        <f t="shared" si="20"/>
        <v>5456LT</v>
      </c>
    </row>
    <row r="194" spans="1:22">
      <c r="A194" t="s">
        <v>799</v>
      </c>
      <c r="B194" t="s">
        <v>800</v>
      </c>
      <c r="C194" t="s">
        <v>1008</v>
      </c>
      <c r="D194" t="s">
        <v>1009</v>
      </c>
      <c r="E194" t="s">
        <v>1010</v>
      </c>
      <c r="F194" t="s">
        <v>27</v>
      </c>
      <c r="G194">
        <v>1</v>
      </c>
      <c r="H194" t="s">
        <v>1011</v>
      </c>
      <c r="I194" t="s">
        <v>1016</v>
      </c>
      <c r="J194" t="s">
        <v>1017</v>
      </c>
      <c r="K194" t="s">
        <v>1016</v>
      </c>
      <c r="L194" t="s">
        <v>1018</v>
      </c>
      <c r="M194" s="1" t="str">
        <f t="shared" ref="M194:M257" si="21">LEFT(K194,FIND(" ",K194,1)-1)</f>
        <v>15B289</v>
      </c>
      <c r="N194" s="1" t="str">
        <f t="shared" ref="N194:N257" si="22">MID(K194,LEN(M194)+2,FIND(" ",K194,LEN(M194)+2)-LEN(M194)-2)</f>
        <v>C/O</v>
      </c>
      <c r="O194" s="1" t="str">
        <f t="shared" ref="O194:O257" si="23">MID(K194,FIND(N194,K194,1)+LEN(N194)+1, 150)</f>
        <v>Boom Cylinder RH</v>
      </c>
      <c r="P194" s="1" t="str">
        <f t="shared" ref="P194:P257" si="24">LEFT(B194,4)</f>
        <v>ELZ0</v>
      </c>
      <c r="Q194" s="2" t="str">
        <f t="shared" ref="Q194:Q257" si="25">P194&amp;O194</f>
        <v>ELZ0Boom Cylinder RH</v>
      </c>
      <c r="R194" s="2" t="str">
        <f>New_Xref[[#This Row],[Serial Prefix]]&amp;IF(New_Xref[[#This Row],[Func Loc]]&lt;&gt;"",New_Xref[[#This Row],[Func Loc]],"NO MATCH")</f>
        <v>ELZ0MYHD .CYLI.BOOR</v>
      </c>
      <c r="S194" s="3" t="str">
        <f t="shared" ref="S194:S257" si="26">P194&amp;D194&amp;O194</f>
        <v>ELZ04658707XBoom Cylinder RH</v>
      </c>
      <c r="T194" s="3" t="s">
        <v>1015</v>
      </c>
      <c r="U194" s="3" t="s">
        <v>115</v>
      </c>
      <c r="V194" t="str">
        <f t="shared" ref="V194:V257" si="27">LEFT(T194,FIND(" -",T194,1)-1)&amp;LEFT(U194,FIND(" -",U194,1)-1)</f>
        <v>5456RI</v>
      </c>
    </row>
    <row r="195" spans="1:22">
      <c r="A195" t="s">
        <v>799</v>
      </c>
      <c r="B195" t="s">
        <v>800</v>
      </c>
      <c r="C195" t="s">
        <v>1019</v>
      </c>
      <c r="D195" t="s">
        <v>1020</v>
      </c>
      <c r="E195" t="s">
        <v>1021</v>
      </c>
      <c r="F195" t="s">
        <v>27</v>
      </c>
      <c r="G195">
        <v>1</v>
      </c>
      <c r="H195" t="s">
        <v>1022</v>
      </c>
      <c r="I195" t="s">
        <v>1023</v>
      </c>
      <c r="J195" t="s">
        <v>1024</v>
      </c>
      <c r="K195" t="s">
        <v>1023</v>
      </c>
      <c r="L195" t="s">
        <v>1025</v>
      </c>
      <c r="M195" s="1" t="str">
        <f t="shared" si="21"/>
        <v>15B289</v>
      </c>
      <c r="N195" s="1" t="str">
        <f t="shared" si="22"/>
        <v>C/O</v>
      </c>
      <c r="O195" s="1" t="str">
        <f t="shared" si="23"/>
        <v>Bucket Cylinder LH</v>
      </c>
      <c r="P195" s="1" t="str">
        <f t="shared" si="24"/>
        <v>ELZ0</v>
      </c>
      <c r="Q195" s="2" t="str">
        <f t="shared" si="25"/>
        <v>ELZ0Bucket Cylinder LH</v>
      </c>
      <c r="R195" s="2" t="str">
        <f>New_Xref[[#This Row],[Serial Prefix]]&amp;IF(New_Xref[[#This Row],[Func Loc]]&lt;&gt;"",New_Xref[[#This Row],[Func Loc]],"NO MATCH")</f>
        <v>ELZ0MYHD .CYLI.BUCL</v>
      </c>
      <c r="S195" s="3" t="str">
        <f t="shared" si="26"/>
        <v>ELZ05889645XBucket Cylinder LH</v>
      </c>
      <c r="T195" s="3" t="s">
        <v>1026</v>
      </c>
      <c r="U195" s="3" t="s">
        <v>108</v>
      </c>
      <c r="V195" t="str">
        <f t="shared" si="27"/>
        <v>5457LT</v>
      </c>
    </row>
    <row r="196" spans="1:22">
      <c r="A196" t="s">
        <v>799</v>
      </c>
      <c r="B196" t="s">
        <v>800</v>
      </c>
      <c r="C196" t="s">
        <v>1019</v>
      </c>
      <c r="D196" t="s">
        <v>1020</v>
      </c>
      <c r="E196" t="s">
        <v>1021</v>
      </c>
      <c r="F196" t="s">
        <v>27</v>
      </c>
      <c r="G196">
        <v>1</v>
      </c>
      <c r="H196" t="s">
        <v>1022</v>
      </c>
      <c r="I196" t="s">
        <v>1027</v>
      </c>
      <c r="J196" t="s">
        <v>1028</v>
      </c>
      <c r="K196" t="s">
        <v>1027</v>
      </c>
      <c r="L196" t="s">
        <v>1029</v>
      </c>
      <c r="M196" s="1" t="str">
        <f t="shared" si="21"/>
        <v>15B289</v>
      </c>
      <c r="N196" s="1" t="str">
        <f t="shared" si="22"/>
        <v>C/O</v>
      </c>
      <c r="O196" s="1" t="str">
        <f t="shared" si="23"/>
        <v>Bucket Cylinder RH</v>
      </c>
      <c r="P196" s="1" t="str">
        <f t="shared" si="24"/>
        <v>ELZ0</v>
      </c>
      <c r="Q196" s="2" t="str">
        <f t="shared" si="25"/>
        <v>ELZ0Bucket Cylinder RH</v>
      </c>
      <c r="R196" s="2" t="str">
        <f>New_Xref[[#This Row],[Serial Prefix]]&amp;IF(New_Xref[[#This Row],[Func Loc]]&lt;&gt;"",New_Xref[[#This Row],[Func Loc]],"NO MATCH")</f>
        <v>ELZ0MYHD .CYLI.BUCR</v>
      </c>
      <c r="S196" s="3" t="str">
        <f t="shared" si="26"/>
        <v>ELZ05889645XBucket Cylinder RH</v>
      </c>
      <c r="T196" s="3" t="s">
        <v>1026</v>
      </c>
      <c r="U196" s="3" t="s">
        <v>115</v>
      </c>
      <c r="V196" t="str">
        <f t="shared" si="27"/>
        <v>5457RI</v>
      </c>
    </row>
    <row r="197" spans="1:22">
      <c r="A197" t="s">
        <v>799</v>
      </c>
      <c r="B197" t="s">
        <v>800</v>
      </c>
      <c r="C197" t="s">
        <v>1030</v>
      </c>
      <c r="D197" t="s">
        <v>1031</v>
      </c>
      <c r="E197" t="s">
        <v>1032</v>
      </c>
      <c r="F197" t="s">
        <v>27</v>
      </c>
      <c r="G197">
        <v>1</v>
      </c>
      <c r="H197" t="s">
        <v>1033</v>
      </c>
      <c r="I197" t="s">
        <v>1034</v>
      </c>
      <c r="J197" t="s">
        <v>1035</v>
      </c>
      <c r="K197" t="s">
        <v>1034</v>
      </c>
      <c r="L197" t="s">
        <v>1036</v>
      </c>
      <c r="M197" s="1" t="str">
        <f t="shared" si="21"/>
        <v>15B289</v>
      </c>
      <c r="N197" s="1" t="str">
        <f t="shared" si="22"/>
        <v>C/O</v>
      </c>
      <c r="O197" s="1" t="str">
        <f t="shared" si="23"/>
        <v>Arm Cylinder LH</v>
      </c>
      <c r="P197" s="1" t="str">
        <f t="shared" si="24"/>
        <v>ELZ0</v>
      </c>
      <c r="Q197" s="2" t="str">
        <f t="shared" si="25"/>
        <v>ELZ0Arm Cylinder LH</v>
      </c>
      <c r="R197" s="2" t="str">
        <f>New_Xref[[#This Row],[Serial Prefix]]&amp;IF(New_Xref[[#This Row],[Func Loc]]&lt;&gt;"",New_Xref[[#This Row],[Func Loc]],"NO MATCH")</f>
        <v>ELZ0MYHD .CYLI.ARML</v>
      </c>
      <c r="S197" s="3" t="str">
        <f t="shared" si="26"/>
        <v>ELZ05892692XArm Cylinder LH</v>
      </c>
      <c r="T197" s="3" t="s">
        <v>1037</v>
      </c>
      <c r="U197" s="3" t="s">
        <v>108</v>
      </c>
      <c r="V197" t="str">
        <f t="shared" si="27"/>
        <v>5458LT</v>
      </c>
    </row>
    <row r="198" spans="1:22">
      <c r="A198" t="s">
        <v>799</v>
      </c>
      <c r="B198" t="s">
        <v>800</v>
      </c>
      <c r="C198" t="s">
        <v>1030</v>
      </c>
      <c r="D198" t="s">
        <v>1031</v>
      </c>
      <c r="E198" t="s">
        <v>1032</v>
      </c>
      <c r="F198" t="s">
        <v>27</v>
      </c>
      <c r="G198">
        <v>1</v>
      </c>
      <c r="H198" t="s">
        <v>1033</v>
      </c>
      <c r="I198" t="s">
        <v>1038</v>
      </c>
      <c r="J198" t="s">
        <v>1039</v>
      </c>
      <c r="K198" t="s">
        <v>1038</v>
      </c>
      <c r="L198" t="s">
        <v>1040</v>
      </c>
      <c r="M198" s="1" t="str">
        <f t="shared" si="21"/>
        <v>15B289</v>
      </c>
      <c r="N198" s="1" t="str">
        <f t="shared" si="22"/>
        <v>C/O</v>
      </c>
      <c r="O198" s="1" t="str">
        <f t="shared" si="23"/>
        <v>Arm Cylinder RH</v>
      </c>
      <c r="P198" s="1" t="str">
        <f t="shared" si="24"/>
        <v>ELZ0</v>
      </c>
      <c r="Q198" s="2" t="str">
        <f t="shared" si="25"/>
        <v>ELZ0Arm Cylinder RH</v>
      </c>
      <c r="R198" s="2" t="str">
        <f>New_Xref[[#This Row],[Serial Prefix]]&amp;IF(New_Xref[[#This Row],[Func Loc]]&lt;&gt;"",New_Xref[[#This Row],[Func Loc]],"NO MATCH")</f>
        <v>ELZ0MYHD .CYLI.ARMR</v>
      </c>
      <c r="S198" s="3" t="str">
        <f t="shared" si="26"/>
        <v>ELZ05892692XArm Cylinder RH</v>
      </c>
      <c r="T198" s="3" t="s">
        <v>1037</v>
      </c>
      <c r="U198" s="3" t="s">
        <v>115</v>
      </c>
      <c r="V198" t="str">
        <f t="shared" si="27"/>
        <v>5458RI</v>
      </c>
    </row>
    <row r="199" spans="1:22">
      <c r="A199" t="s">
        <v>799</v>
      </c>
      <c r="B199" t="s">
        <v>800</v>
      </c>
      <c r="C199" t="s">
        <v>1041</v>
      </c>
      <c r="D199" t="s">
        <v>1042</v>
      </c>
      <c r="E199" t="s">
        <v>1043</v>
      </c>
      <c r="F199" t="s">
        <v>27</v>
      </c>
      <c r="G199">
        <v>1</v>
      </c>
      <c r="H199" t="s">
        <v>1044</v>
      </c>
      <c r="I199" t="s">
        <v>1045</v>
      </c>
      <c r="J199" t="s">
        <v>1046</v>
      </c>
      <c r="K199" t="s">
        <v>1047</v>
      </c>
      <c r="L199" t="s">
        <v>83</v>
      </c>
      <c r="M199" s="1" t="str">
        <f t="shared" si="21"/>
        <v>15B289</v>
      </c>
      <c r="N199" s="1" t="str">
        <f t="shared" si="22"/>
        <v>C/O</v>
      </c>
      <c r="O199" s="1" t="str">
        <f t="shared" si="23"/>
        <v>Swing Transmission Front</v>
      </c>
      <c r="P199" s="1" t="str">
        <f t="shared" si="24"/>
        <v>ELZ0</v>
      </c>
      <c r="Q199" s="2" t="str">
        <f t="shared" si="25"/>
        <v>ELZ0Swing Transmission Front</v>
      </c>
      <c r="R199" s="2" t="str">
        <f>New_Xref[[#This Row],[Serial Prefix]]&amp;IF(New_Xref[[#This Row],[Func Loc]]&lt;&gt;"",New_Xref[[#This Row],[Func Loc]],"NO MATCH")</f>
        <v>ELZ0NO MATCH</v>
      </c>
      <c r="S199" s="3" t="str">
        <f t="shared" si="26"/>
        <v>ELZ020R5374Swing Transmission Front</v>
      </c>
      <c r="T199" s="3" t="s">
        <v>1048</v>
      </c>
      <c r="U199" s="3" t="s">
        <v>34</v>
      </c>
      <c r="V199" t="str">
        <f t="shared" si="27"/>
        <v>545900</v>
      </c>
    </row>
    <row r="200" spans="1:22">
      <c r="A200" t="s">
        <v>799</v>
      </c>
      <c r="B200" t="s">
        <v>800</v>
      </c>
      <c r="C200" t="s">
        <v>1041</v>
      </c>
      <c r="D200" t="s">
        <v>1042</v>
      </c>
      <c r="E200" t="s">
        <v>1043</v>
      </c>
      <c r="F200" t="s">
        <v>27</v>
      </c>
      <c r="G200">
        <v>1</v>
      </c>
      <c r="H200" t="s">
        <v>1044</v>
      </c>
      <c r="I200" t="s">
        <v>1049</v>
      </c>
      <c r="J200" t="s">
        <v>1050</v>
      </c>
      <c r="K200" t="s">
        <v>1049</v>
      </c>
      <c r="L200" t="s">
        <v>1051</v>
      </c>
      <c r="M200" s="1" t="str">
        <f t="shared" si="21"/>
        <v>15B289</v>
      </c>
      <c r="N200" s="1" t="str">
        <f t="shared" si="22"/>
        <v>C/O</v>
      </c>
      <c r="O200" s="1" t="str">
        <f t="shared" si="23"/>
        <v>Swing Transmission LHR</v>
      </c>
      <c r="P200" s="1" t="str">
        <f t="shared" si="24"/>
        <v>ELZ0</v>
      </c>
      <c r="Q200" s="2" t="str">
        <f t="shared" si="25"/>
        <v>ELZ0Swing Transmission LHR</v>
      </c>
      <c r="R200" s="2" t="str">
        <f>New_Xref[[#This Row],[Serial Prefix]]&amp;IF(New_Xref[[#This Row],[Func Loc]]&lt;&gt;"",New_Xref[[#This Row],[Func Loc]],"NO MATCH")</f>
        <v>ELZ0TRAN .SWTR.STLR</v>
      </c>
      <c r="S200" s="3" t="str">
        <f t="shared" si="26"/>
        <v>ELZ020R5374Swing Transmission LHR</v>
      </c>
      <c r="T200" s="3" t="s">
        <v>1048</v>
      </c>
      <c r="U200" s="3" t="s">
        <v>96</v>
      </c>
      <c r="V200" t="str">
        <f t="shared" si="27"/>
        <v>5459LR</v>
      </c>
    </row>
    <row r="201" spans="1:22">
      <c r="A201" t="s">
        <v>799</v>
      </c>
      <c r="B201" t="s">
        <v>800</v>
      </c>
      <c r="C201" t="s">
        <v>1041</v>
      </c>
      <c r="D201" t="s">
        <v>1042</v>
      </c>
      <c r="E201" t="s">
        <v>1043</v>
      </c>
      <c r="F201" t="s">
        <v>27</v>
      </c>
      <c r="G201">
        <v>1</v>
      </c>
      <c r="H201" t="s">
        <v>1044</v>
      </c>
      <c r="I201" t="s">
        <v>1052</v>
      </c>
      <c r="J201" t="s">
        <v>1053</v>
      </c>
      <c r="K201" t="s">
        <v>1052</v>
      </c>
      <c r="L201" t="s">
        <v>1054</v>
      </c>
      <c r="M201" s="1" t="str">
        <f t="shared" si="21"/>
        <v>15B289</v>
      </c>
      <c r="N201" s="1" t="str">
        <f t="shared" si="22"/>
        <v>C/O</v>
      </c>
      <c r="O201" s="1" t="str">
        <f t="shared" si="23"/>
        <v>Swing Transmission RHR</v>
      </c>
      <c r="P201" s="1" t="str">
        <f t="shared" si="24"/>
        <v>ELZ0</v>
      </c>
      <c r="Q201" s="2" t="str">
        <f t="shared" si="25"/>
        <v>ELZ0Swing Transmission RHR</v>
      </c>
      <c r="R201" s="2" t="str">
        <f>New_Xref[[#This Row],[Serial Prefix]]&amp;IF(New_Xref[[#This Row],[Func Loc]]&lt;&gt;"",New_Xref[[#This Row],[Func Loc]],"NO MATCH")</f>
        <v>ELZ0TRAN .SWTR.STRR</v>
      </c>
      <c r="S201" s="3" t="str">
        <f t="shared" si="26"/>
        <v>ELZ020R5374Swing Transmission RHR</v>
      </c>
      <c r="T201" s="3" t="s">
        <v>1048</v>
      </c>
      <c r="U201" s="3" t="s">
        <v>99</v>
      </c>
      <c r="V201" t="str">
        <f t="shared" si="27"/>
        <v>5459RR</v>
      </c>
    </row>
    <row r="202" spans="1:22">
      <c r="A202" t="s">
        <v>799</v>
      </c>
      <c r="B202" t="s">
        <v>800</v>
      </c>
      <c r="C202" t="s">
        <v>1055</v>
      </c>
      <c r="D202" t="s">
        <v>1056</v>
      </c>
      <c r="E202" t="s">
        <v>1057</v>
      </c>
      <c r="F202" t="s">
        <v>27</v>
      </c>
      <c r="G202">
        <v>1</v>
      </c>
      <c r="H202" t="s">
        <v>1058</v>
      </c>
      <c r="I202" t="s">
        <v>1059</v>
      </c>
      <c r="J202" t="s">
        <v>1060</v>
      </c>
      <c r="K202" t="s">
        <v>1059</v>
      </c>
      <c r="L202" t="s">
        <v>83</v>
      </c>
      <c r="M202" s="1" t="str">
        <f t="shared" si="21"/>
        <v>15B289</v>
      </c>
      <c r="N202" s="1" t="str">
        <f t="shared" si="22"/>
        <v>C/O</v>
      </c>
      <c r="O202" s="1" t="str">
        <f t="shared" si="23"/>
        <v>Swing Pump No 1 &amp; 2</v>
      </c>
      <c r="P202" s="1" t="str">
        <f t="shared" si="24"/>
        <v>ELZ0</v>
      </c>
      <c r="Q202" s="2" t="str">
        <f t="shared" si="25"/>
        <v>ELZ0Swing Pump No 1 &amp; 2</v>
      </c>
      <c r="R202" s="2" t="str">
        <f>New_Xref[[#This Row],[Serial Prefix]]&amp;IF(New_Xref[[#This Row],[Func Loc]]&lt;&gt;"",New_Xref[[#This Row],[Func Loc]],"NO MATCH")</f>
        <v>ELZ0NO MATCH</v>
      </c>
      <c r="S202" s="3" t="str">
        <f t="shared" si="26"/>
        <v>ELZ020R2017Swing Pump No 1 &amp; 2</v>
      </c>
      <c r="T202" s="3" t="s">
        <v>1061</v>
      </c>
      <c r="U202" s="3" t="s">
        <v>108</v>
      </c>
      <c r="V202" t="str">
        <f t="shared" si="27"/>
        <v>5473LT</v>
      </c>
    </row>
    <row r="203" spans="1:22">
      <c r="A203" t="s">
        <v>799</v>
      </c>
      <c r="B203" t="s">
        <v>800</v>
      </c>
      <c r="C203" t="s">
        <v>1055</v>
      </c>
      <c r="D203" t="s">
        <v>1056</v>
      </c>
      <c r="E203" t="s">
        <v>1057</v>
      </c>
      <c r="F203" t="s">
        <v>27</v>
      </c>
      <c r="G203">
        <v>1</v>
      </c>
      <c r="H203" t="s">
        <v>1058</v>
      </c>
      <c r="I203" t="s">
        <v>1062</v>
      </c>
      <c r="J203" t="s">
        <v>1063</v>
      </c>
      <c r="K203" t="s">
        <v>1062</v>
      </c>
      <c r="L203" t="s">
        <v>83</v>
      </c>
      <c r="M203" s="1" t="str">
        <f t="shared" si="21"/>
        <v>15B289</v>
      </c>
      <c r="N203" s="1" t="str">
        <f t="shared" si="22"/>
        <v>C/O</v>
      </c>
      <c r="O203" s="1" t="str">
        <f t="shared" si="23"/>
        <v>Swing Pump No 3 &amp; 4</v>
      </c>
      <c r="P203" s="1" t="str">
        <f t="shared" si="24"/>
        <v>ELZ0</v>
      </c>
      <c r="Q203" s="2" t="str">
        <f t="shared" si="25"/>
        <v>ELZ0Swing Pump No 3 &amp; 4</v>
      </c>
      <c r="R203" s="2" t="str">
        <f>New_Xref[[#This Row],[Serial Prefix]]&amp;IF(New_Xref[[#This Row],[Func Loc]]&lt;&gt;"",New_Xref[[#This Row],[Func Loc]],"NO MATCH")</f>
        <v>ELZ0NO MATCH</v>
      </c>
      <c r="S203" s="3" t="str">
        <f t="shared" si="26"/>
        <v>ELZ020R2017Swing Pump No 3 &amp; 4</v>
      </c>
      <c r="T203" s="3" t="s">
        <v>1061</v>
      </c>
      <c r="U203" s="3" t="s">
        <v>115</v>
      </c>
      <c r="V203" t="str">
        <f t="shared" si="27"/>
        <v>5473RI</v>
      </c>
    </row>
    <row r="204" spans="1:22">
      <c r="A204" t="s">
        <v>799</v>
      </c>
      <c r="B204" t="s">
        <v>800</v>
      </c>
      <c r="C204" t="s">
        <v>1064</v>
      </c>
      <c r="D204" t="s">
        <v>1065</v>
      </c>
      <c r="E204" t="s">
        <v>1066</v>
      </c>
      <c r="F204" t="s">
        <v>27</v>
      </c>
      <c r="G204">
        <v>2</v>
      </c>
      <c r="H204" t="s">
        <v>1067</v>
      </c>
      <c r="I204" t="s">
        <v>1068</v>
      </c>
      <c r="J204" t="s">
        <v>1069</v>
      </c>
      <c r="K204" t="s">
        <v>1068</v>
      </c>
      <c r="L204" t="s">
        <v>1070</v>
      </c>
      <c r="M204" s="1" t="str">
        <f t="shared" si="21"/>
        <v>15B289</v>
      </c>
      <c r="N204" s="1" t="str">
        <f t="shared" si="22"/>
        <v>C/O</v>
      </c>
      <c r="O204" s="1" t="str">
        <f t="shared" si="23"/>
        <v>Auto Lube Pump Front</v>
      </c>
      <c r="P204" s="1" t="str">
        <f t="shared" si="24"/>
        <v>ELZ0</v>
      </c>
      <c r="Q204" s="2" t="str">
        <f t="shared" si="25"/>
        <v>ELZ0Auto Lube Pump Front</v>
      </c>
      <c r="R204" s="2" t="str">
        <f>New_Xref[[#This Row],[Serial Prefix]]&amp;IF(New_Xref[[#This Row],[Func Loc]]&lt;&gt;"",New_Xref[[#This Row],[Func Loc]],"NO MATCH")</f>
        <v>ELZ0LUBE .PUMP.PUMF</v>
      </c>
      <c r="S204" s="3" t="str">
        <f t="shared" si="26"/>
        <v>ELZ05052463Auto Lube Pump Front</v>
      </c>
      <c r="T204" s="3" t="s">
        <v>1071</v>
      </c>
      <c r="U204" s="3" t="s">
        <v>1072</v>
      </c>
      <c r="V204" t="str">
        <f t="shared" si="27"/>
        <v>7516UZ</v>
      </c>
    </row>
    <row r="205" spans="1:22">
      <c r="A205" t="s">
        <v>799</v>
      </c>
      <c r="B205" t="s">
        <v>800</v>
      </c>
      <c r="C205" t="s">
        <v>1073</v>
      </c>
      <c r="D205" t="s">
        <v>1074</v>
      </c>
      <c r="E205" t="s">
        <v>852</v>
      </c>
      <c r="F205" t="s">
        <v>27</v>
      </c>
      <c r="G205">
        <v>1</v>
      </c>
      <c r="H205" t="s">
        <v>1075</v>
      </c>
      <c r="I205" t="s">
        <v>1076</v>
      </c>
      <c r="J205" t="s">
        <v>1077</v>
      </c>
      <c r="K205" t="s">
        <v>1076</v>
      </c>
      <c r="L205" t="s">
        <v>1078</v>
      </c>
      <c r="M205" s="1" t="str">
        <f t="shared" si="21"/>
        <v>15B289</v>
      </c>
      <c r="N205" s="1" t="str">
        <f t="shared" si="22"/>
        <v>C/O</v>
      </c>
      <c r="O205" s="1" t="str">
        <f t="shared" si="23"/>
        <v>Swing Motor Front</v>
      </c>
      <c r="P205" s="1" t="str">
        <f t="shared" si="24"/>
        <v>ELZ0</v>
      </c>
      <c r="Q205" s="2" t="str">
        <f t="shared" si="25"/>
        <v>ELZ0Swing Motor Front</v>
      </c>
      <c r="R205" s="2" t="str">
        <f>New_Xref[[#This Row],[Serial Prefix]]&amp;IF(New_Xref[[#This Row],[Func Loc]]&lt;&gt;"",New_Xref[[#This Row],[Func Loc]],"NO MATCH")</f>
        <v>ELZ0MYHD .MOTO.SMFR</v>
      </c>
      <c r="S205" s="3" t="str">
        <f t="shared" si="26"/>
        <v>ELZ020R2015Swing Motor Front</v>
      </c>
      <c r="T205" s="3" t="s">
        <v>1079</v>
      </c>
      <c r="U205" s="3" t="s">
        <v>92</v>
      </c>
      <c r="V205" t="str">
        <f t="shared" si="27"/>
        <v>79PARF</v>
      </c>
    </row>
    <row r="206" spans="1:22">
      <c r="A206" t="s">
        <v>799</v>
      </c>
      <c r="B206" t="s">
        <v>800</v>
      </c>
      <c r="C206" t="s">
        <v>1073</v>
      </c>
      <c r="D206" t="s">
        <v>1074</v>
      </c>
      <c r="E206" t="s">
        <v>852</v>
      </c>
      <c r="F206" t="s">
        <v>27</v>
      </c>
      <c r="G206">
        <v>1</v>
      </c>
      <c r="H206" t="s">
        <v>1075</v>
      </c>
      <c r="I206" t="s">
        <v>1080</v>
      </c>
      <c r="J206" t="s">
        <v>1081</v>
      </c>
      <c r="K206" t="s">
        <v>1080</v>
      </c>
      <c r="L206" t="s">
        <v>1082</v>
      </c>
      <c r="M206" s="1" t="str">
        <f t="shared" si="21"/>
        <v>15B289</v>
      </c>
      <c r="N206" s="1" t="str">
        <f t="shared" si="22"/>
        <v>C/O</v>
      </c>
      <c r="O206" s="1" t="str">
        <f t="shared" si="23"/>
        <v>Swing Motor LHR</v>
      </c>
      <c r="P206" s="1" t="str">
        <f t="shared" si="24"/>
        <v>ELZ0</v>
      </c>
      <c r="Q206" s="2" t="str">
        <f t="shared" si="25"/>
        <v>ELZ0Swing Motor LHR</v>
      </c>
      <c r="R206" s="2" t="str">
        <f>New_Xref[[#This Row],[Serial Prefix]]&amp;IF(New_Xref[[#This Row],[Func Loc]]&lt;&gt;"",New_Xref[[#This Row],[Func Loc]],"NO MATCH")</f>
        <v>ELZ0MYHD .MOTO.SMLR</v>
      </c>
      <c r="S206" s="3" t="str">
        <f t="shared" si="26"/>
        <v>ELZ020R2015Swing Motor LHR</v>
      </c>
      <c r="T206" s="3" t="s">
        <v>1079</v>
      </c>
      <c r="U206" s="3" t="s">
        <v>96</v>
      </c>
      <c r="V206" t="str">
        <f t="shared" si="27"/>
        <v>79PALR</v>
      </c>
    </row>
    <row r="207" spans="1:22">
      <c r="A207" t="s">
        <v>799</v>
      </c>
      <c r="B207" t="s">
        <v>800</v>
      </c>
      <c r="C207" t="s">
        <v>1073</v>
      </c>
      <c r="D207" t="s">
        <v>1074</v>
      </c>
      <c r="E207" t="s">
        <v>852</v>
      </c>
      <c r="F207" t="s">
        <v>27</v>
      </c>
      <c r="G207">
        <v>1</v>
      </c>
      <c r="H207" t="s">
        <v>1075</v>
      </c>
      <c r="I207" t="s">
        <v>1083</v>
      </c>
      <c r="J207" t="s">
        <v>1084</v>
      </c>
      <c r="K207" t="s">
        <v>1083</v>
      </c>
      <c r="L207" t="s">
        <v>1085</v>
      </c>
      <c r="M207" s="1" t="str">
        <f t="shared" si="21"/>
        <v>15B289</v>
      </c>
      <c r="N207" s="1" t="str">
        <f t="shared" si="22"/>
        <v>C/O</v>
      </c>
      <c r="O207" s="1" t="str">
        <f t="shared" si="23"/>
        <v>Swing Motor RHR</v>
      </c>
      <c r="P207" s="1" t="str">
        <f t="shared" si="24"/>
        <v>ELZ0</v>
      </c>
      <c r="Q207" s="2" t="str">
        <f t="shared" si="25"/>
        <v>ELZ0Swing Motor RHR</v>
      </c>
      <c r="R207" s="2" t="str">
        <f>New_Xref[[#This Row],[Serial Prefix]]&amp;IF(New_Xref[[#This Row],[Func Loc]]&lt;&gt;"",New_Xref[[#This Row],[Func Loc]],"NO MATCH")</f>
        <v>ELZ0MYHD .MOTO.SMRR</v>
      </c>
      <c r="S207" s="3" t="str">
        <f t="shared" si="26"/>
        <v>ELZ020R2015Swing Motor RHR</v>
      </c>
      <c r="T207" s="3" t="s">
        <v>1079</v>
      </c>
      <c r="U207" s="3" t="s">
        <v>99</v>
      </c>
      <c r="V207" t="str">
        <f t="shared" si="27"/>
        <v>79PARR</v>
      </c>
    </row>
    <row r="208" spans="1:22">
      <c r="A208" t="s">
        <v>1086</v>
      </c>
      <c r="B208" t="s">
        <v>1087</v>
      </c>
      <c r="C208" t="s">
        <v>1088</v>
      </c>
      <c r="D208" t="s">
        <v>1089</v>
      </c>
      <c r="E208" t="s">
        <v>1090</v>
      </c>
      <c r="F208" t="s">
        <v>27</v>
      </c>
      <c r="G208">
        <v>1</v>
      </c>
      <c r="H208" t="s">
        <v>1091</v>
      </c>
      <c r="I208" t="s">
        <v>1092</v>
      </c>
      <c r="J208" t="s">
        <v>1093</v>
      </c>
      <c r="K208" t="s">
        <v>1094</v>
      </c>
      <c r="L208" t="s">
        <v>808</v>
      </c>
      <c r="M208" s="1" t="str">
        <f t="shared" si="21"/>
        <v>15B290</v>
      </c>
      <c r="N208" s="1" t="str">
        <f t="shared" si="22"/>
        <v>C/O</v>
      </c>
      <c r="O208" s="1" t="str">
        <f t="shared" si="23"/>
        <v>Engine LH</v>
      </c>
      <c r="P208" s="1" t="str">
        <f t="shared" si="24"/>
        <v>6D60</v>
      </c>
      <c r="Q208" s="2" t="str">
        <f t="shared" si="25"/>
        <v>6D60Engine LH</v>
      </c>
      <c r="R208" s="2" t="str">
        <f>New_Xref[[#This Row],[Serial Prefix]]&amp;IF(New_Xref[[#This Row],[Func Loc]]&lt;&gt;"",New_Xref[[#This Row],[Func Loc]],"NO MATCH")</f>
        <v>6D60ENG1</v>
      </c>
      <c r="S208" s="3" t="str">
        <f t="shared" si="26"/>
        <v>6D605707922XEngine LH</v>
      </c>
      <c r="T208" s="3" t="s">
        <v>33</v>
      </c>
      <c r="U208" s="3" t="s">
        <v>108</v>
      </c>
      <c r="V208" t="str">
        <f t="shared" si="27"/>
        <v>1000LT</v>
      </c>
    </row>
    <row r="209" spans="1:22">
      <c r="A209" t="s">
        <v>1086</v>
      </c>
      <c r="B209" t="s">
        <v>1087</v>
      </c>
      <c r="C209" t="s">
        <v>1095</v>
      </c>
      <c r="D209" t="s">
        <v>1096</v>
      </c>
      <c r="E209" t="s">
        <v>1097</v>
      </c>
      <c r="F209" t="s">
        <v>27</v>
      </c>
      <c r="G209">
        <v>1</v>
      </c>
      <c r="H209" t="s">
        <v>1098</v>
      </c>
      <c r="I209" t="s">
        <v>1099</v>
      </c>
      <c r="J209" t="s">
        <v>1100</v>
      </c>
      <c r="K209" t="s">
        <v>1101</v>
      </c>
      <c r="L209" t="s">
        <v>812</v>
      </c>
      <c r="M209" s="1" t="str">
        <f t="shared" si="21"/>
        <v>15B290</v>
      </c>
      <c r="N209" s="1" t="str">
        <f t="shared" si="22"/>
        <v>C/O</v>
      </c>
      <c r="O209" s="1" t="str">
        <f t="shared" si="23"/>
        <v>Engine RH</v>
      </c>
      <c r="P209" s="1" t="str">
        <f t="shared" si="24"/>
        <v>6D60</v>
      </c>
      <c r="Q209" s="2" t="str">
        <f t="shared" si="25"/>
        <v>6D60Engine RH</v>
      </c>
      <c r="R209" s="2" t="str">
        <f>New_Xref[[#This Row],[Serial Prefix]]&amp;IF(New_Xref[[#This Row],[Func Loc]]&lt;&gt;"",New_Xref[[#This Row],[Func Loc]],"NO MATCH")</f>
        <v>6D60ENG2</v>
      </c>
      <c r="S209" s="3" t="str">
        <f t="shared" si="26"/>
        <v>6D605707921XEngine RH</v>
      </c>
      <c r="T209" s="3" t="s">
        <v>33</v>
      </c>
      <c r="U209" s="3" t="s">
        <v>115</v>
      </c>
      <c r="V209" t="str">
        <f t="shared" si="27"/>
        <v>1000RI</v>
      </c>
    </row>
    <row r="210" spans="1:22">
      <c r="A210" t="s">
        <v>1086</v>
      </c>
      <c r="B210" t="s">
        <v>1102</v>
      </c>
      <c r="C210" t="s">
        <v>1088</v>
      </c>
      <c r="D210" t="s">
        <v>1089</v>
      </c>
      <c r="E210" t="s">
        <v>1090</v>
      </c>
      <c r="F210" t="s">
        <v>27</v>
      </c>
      <c r="G210">
        <v>1</v>
      </c>
      <c r="H210" t="s">
        <v>1091</v>
      </c>
      <c r="I210" t="s">
        <v>1103</v>
      </c>
      <c r="J210" t="s">
        <v>1104</v>
      </c>
      <c r="K210" t="s">
        <v>1105</v>
      </c>
      <c r="L210" t="s">
        <v>808</v>
      </c>
      <c r="M210" s="1" t="str">
        <f t="shared" si="21"/>
        <v>15B405</v>
      </c>
      <c r="N210" s="1" t="str">
        <f t="shared" si="22"/>
        <v>C/O</v>
      </c>
      <c r="O210" s="1" t="str">
        <f t="shared" si="23"/>
        <v>Engine LH</v>
      </c>
      <c r="P210" s="1" t="str">
        <f t="shared" si="24"/>
        <v>6P60</v>
      </c>
      <c r="Q210" s="2" t="str">
        <f t="shared" si="25"/>
        <v>6P60Engine LH</v>
      </c>
      <c r="R210" s="2" t="str">
        <f>New_Xref[[#This Row],[Serial Prefix]]&amp;IF(New_Xref[[#This Row],[Func Loc]]&lt;&gt;"",New_Xref[[#This Row],[Func Loc]],"NO MATCH")</f>
        <v>6P60ENG1</v>
      </c>
      <c r="S210" s="3" t="str">
        <f t="shared" si="26"/>
        <v>6P605707922XEngine LH</v>
      </c>
      <c r="T210" s="3" t="s">
        <v>33</v>
      </c>
      <c r="U210" s="3" t="s">
        <v>108</v>
      </c>
      <c r="V210" t="str">
        <f t="shared" si="27"/>
        <v>1000LT</v>
      </c>
    </row>
    <row r="211" spans="1:22">
      <c r="A211" t="s">
        <v>1086</v>
      </c>
      <c r="B211" t="s">
        <v>1102</v>
      </c>
      <c r="C211" t="s">
        <v>1095</v>
      </c>
      <c r="D211" t="s">
        <v>1096</v>
      </c>
      <c r="E211" t="s">
        <v>1097</v>
      </c>
      <c r="F211" t="s">
        <v>27</v>
      </c>
      <c r="G211">
        <v>1</v>
      </c>
      <c r="H211" t="s">
        <v>1098</v>
      </c>
      <c r="I211" t="s">
        <v>1106</v>
      </c>
      <c r="J211" t="s">
        <v>1107</v>
      </c>
      <c r="K211" t="s">
        <v>1108</v>
      </c>
      <c r="L211" t="s">
        <v>812</v>
      </c>
      <c r="M211" s="1" t="str">
        <f t="shared" si="21"/>
        <v>15B405</v>
      </c>
      <c r="N211" s="1" t="str">
        <f t="shared" si="22"/>
        <v>C/O</v>
      </c>
      <c r="O211" s="1" t="str">
        <f t="shared" si="23"/>
        <v>Engine RH</v>
      </c>
      <c r="P211" s="1" t="str">
        <f t="shared" si="24"/>
        <v>6P60</v>
      </c>
      <c r="Q211" s="2" t="str">
        <f t="shared" si="25"/>
        <v>6P60Engine RH</v>
      </c>
      <c r="R211" s="2" t="str">
        <f>New_Xref[[#This Row],[Serial Prefix]]&amp;IF(New_Xref[[#This Row],[Func Loc]]&lt;&gt;"",New_Xref[[#This Row],[Func Loc]],"NO MATCH")</f>
        <v>6P60ENG2</v>
      </c>
      <c r="S211" s="3" t="str">
        <f t="shared" si="26"/>
        <v>6P605707921XEngine RH</v>
      </c>
      <c r="T211" s="3" t="s">
        <v>33</v>
      </c>
      <c r="U211" s="3" t="s">
        <v>115</v>
      </c>
      <c r="V211" t="str">
        <f t="shared" si="27"/>
        <v>1000RI</v>
      </c>
    </row>
    <row r="212" spans="1:22">
      <c r="A212" t="s">
        <v>1086</v>
      </c>
      <c r="B212" t="s">
        <v>1087</v>
      </c>
      <c r="C212" t="s">
        <v>1109</v>
      </c>
      <c r="D212" t="s">
        <v>1110</v>
      </c>
      <c r="E212" t="s">
        <v>58</v>
      </c>
      <c r="F212" t="s">
        <v>27</v>
      </c>
      <c r="G212">
        <v>12</v>
      </c>
      <c r="H212" t="s">
        <v>1111</v>
      </c>
      <c r="I212" t="s">
        <v>1092</v>
      </c>
      <c r="J212" t="s">
        <v>1112</v>
      </c>
      <c r="K212" t="s">
        <v>1113</v>
      </c>
      <c r="L212" t="s">
        <v>816</v>
      </c>
      <c r="M212" s="1" t="str">
        <f t="shared" si="21"/>
        <v>15B290</v>
      </c>
      <c r="N212" s="1" t="str">
        <f t="shared" si="22"/>
        <v>C/O</v>
      </c>
      <c r="O212" s="1" t="str">
        <f t="shared" si="23"/>
        <v>Engine LH Fuel Injectors</v>
      </c>
      <c r="P212" s="1" t="str">
        <f t="shared" si="24"/>
        <v>6D60</v>
      </c>
      <c r="Q212" s="2" t="str">
        <f t="shared" si="25"/>
        <v>6D60Engine LH Fuel Injectors</v>
      </c>
      <c r="R212" s="2" t="str">
        <f>New_Xref[[#This Row],[Serial Prefix]]&amp;IF(New_Xref[[#This Row],[Func Loc]]&lt;&gt;"",New_Xref[[#This Row],[Func Loc]],"NO MATCH")</f>
        <v>6D60ENG1 .FUEL.INJE</v>
      </c>
      <c r="S212" s="3" t="str">
        <f t="shared" si="26"/>
        <v>6D6020R0864Engine LH Fuel Injectors</v>
      </c>
      <c r="T212" s="3" t="s">
        <v>63</v>
      </c>
      <c r="U212" s="3" t="s">
        <v>108</v>
      </c>
      <c r="V212" t="str">
        <f t="shared" si="27"/>
        <v>1251LT</v>
      </c>
    </row>
    <row r="213" spans="1:22">
      <c r="A213" t="s">
        <v>1086</v>
      </c>
      <c r="B213" t="s">
        <v>1087</v>
      </c>
      <c r="C213" t="s">
        <v>1109</v>
      </c>
      <c r="D213" t="s">
        <v>1110</v>
      </c>
      <c r="E213" t="s">
        <v>58</v>
      </c>
      <c r="F213" t="s">
        <v>27</v>
      </c>
      <c r="G213">
        <v>12</v>
      </c>
      <c r="H213" t="s">
        <v>1111</v>
      </c>
      <c r="I213" t="s">
        <v>1099</v>
      </c>
      <c r="J213" t="s">
        <v>1114</v>
      </c>
      <c r="K213" t="s">
        <v>1115</v>
      </c>
      <c r="L213" t="s">
        <v>819</v>
      </c>
      <c r="M213" s="1" t="str">
        <f t="shared" si="21"/>
        <v>15B290</v>
      </c>
      <c r="N213" s="1" t="str">
        <f t="shared" si="22"/>
        <v>C/O</v>
      </c>
      <c r="O213" s="1" t="str">
        <f t="shared" si="23"/>
        <v>Engine RH Fuel Injectors</v>
      </c>
      <c r="P213" s="1" t="str">
        <f t="shared" si="24"/>
        <v>6D60</v>
      </c>
      <c r="Q213" s="2" t="str">
        <f t="shared" si="25"/>
        <v>6D60Engine RH Fuel Injectors</v>
      </c>
      <c r="R213" s="2" t="str">
        <f>New_Xref[[#This Row],[Serial Prefix]]&amp;IF(New_Xref[[#This Row],[Func Loc]]&lt;&gt;"",New_Xref[[#This Row],[Func Loc]],"NO MATCH")</f>
        <v>6D60ENG2 .FUEL.INJE</v>
      </c>
      <c r="S213" s="3" t="str">
        <f t="shared" si="26"/>
        <v>6D6020R0864Engine RH Fuel Injectors</v>
      </c>
      <c r="T213" s="3" t="s">
        <v>63</v>
      </c>
      <c r="U213" s="3" t="s">
        <v>115</v>
      </c>
      <c r="V213" t="str">
        <f t="shared" si="27"/>
        <v>1251RI</v>
      </c>
    </row>
    <row r="214" spans="1:22">
      <c r="A214" t="s">
        <v>1086</v>
      </c>
      <c r="B214" t="s">
        <v>1102</v>
      </c>
      <c r="C214" t="s">
        <v>1109</v>
      </c>
      <c r="D214" t="s">
        <v>1110</v>
      </c>
      <c r="E214" t="s">
        <v>58</v>
      </c>
      <c r="F214" t="s">
        <v>27</v>
      </c>
      <c r="G214">
        <v>12</v>
      </c>
      <c r="H214" t="s">
        <v>1111</v>
      </c>
      <c r="I214" t="s">
        <v>1103</v>
      </c>
      <c r="J214" t="s">
        <v>1116</v>
      </c>
      <c r="K214" t="s">
        <v>1117</v>
      </c>
      <c r="L214" t="s">
        <v>816</v>
      </c>
      <c r="M214" s="1" t="str">
        <f t="shared" si="21"/>
        <v>15B405</v>
      </c>
      <c r="N214" s="1" t="str">
        <f t="shared" si="22"/>
        <v>C/O</v>
      </c>
      <c r="O214" s="1" t="str">
        <f t="shared" si="23"/>
        <v>Engine LH Fuel Injectors</v>
      </c>
      <c r="P214" s="1" t="str">
        <f t="shared" si="24"/>
        <v>6P60</v>
      </c>
      <c r="Q214" s="2" t="str">
        <f t="shared" si="25"/>
        <v>6P60Engine LH Fuel Injectors</v>
      </c>
      <c r="R214" s="2" t="str">
        <f>New_Xref[[#This Row],[Serial Prefix]]&amp;IF(New_Xref[[#This Row],[Func Loc]]&lt;&gt;"",New_Xref[[#This Row],[Func Loc]],"NO MATCH")</f>
        <v>6P60ENG1 .FUEL.INJE</v>
      </c>
      <c r="S214" s="3" t="str">
        <f t="shared" si="26"/>
        <v>6P6020R0864Engine LH Fuel Injectors</v>
      </c>
      <c r="T214" s="3" t="s">
        <v>63</v>
      </c>
      <c r="U214" s="3" t="s">
        <v>108</v>
      </c>
      <c r="V214" t="str">
        <f t="shared" si="27"/>
        <v>1251LT</v>
      </c>
    </row>
    <row r="215" spans="1:22">
      <c r="A215" t="s">
        <v>1086</v>
      </c>
      <c r="B215" t="s">
        <v>1102</v>
      </c>
      <c r="C215" t="s">
        <v>1109</v>
      </c>
      <c r="D215" t="s">
        <v>1110</v>
      </c>
      <c r="E215" t="s">
        <v>58</v>
      </c>
      <c r="F215" t="s">
        <v>27</v>
      </c>
      <c r="G215">
        <v>12</v>
      </c>
      <c r="H215" t="s">
        <v>1111</v>
      </c>
      <c r="I215" t="s">
        <v>1106</v>
      </c>
      <c r="J215" t="s">
        <v>1118</v>
      </c>
      <c r="K215" t="s">
        <v>1119</v>
      </c>
      <c r="L215" t="s">
        <v>819</v>
      </c>
      <c r="M215" s="1" t="str">
        <f t="shared" si="21"/>
        <v>15B405</v>
      </c>
      <c r="N215" s="1" t="str">
        <f t="shared" si="22"/>
        <v>C/O</v>
      </c>
      <c r="O215" s="1" t="str">
        <f t="shared" si="23"/>
        <v>Engine RH Fuel Injectors</v>
      </c>
      <c r="P215" s="1" t="str">
        <f t="shared" si="24"/>
        <v>6P60</v>
      </c>
      <c r="Q215" s="2" t="str">
        <f t="shared" si="25"/>
        <v>6P60Engine RH Fuel Injectors</v>
      </c>
      <c r="R215" s="2" t="str">
        <f>New_Xref[[#This Row],[Serial Prefix]]&amp;IF(New_Xref[[#This Row],[Func Loc]]&lt;&gt;"",New_Xref[[#This Row],[Func Loc]],"NO MATCH")</f>
        <v>6P60ENG2 .FUEL.INJE</v>
      </c>
      <c r="S215" s="3" t="str">
        <f t="shared" si="26"/>
        <v>6P6020R0864Engine RH Fuel Injectors</v>
      </c>
      <c r="T215" s="3" t="s">
        <v>63</v>
      </c>
      <c r="U215" s="3" t="s">
        <v>115</v>
      </c>
      <c r="V215" t="str">
        <f t="shared" si="27"/>
        <v>1251RI</v>
      </c>
    </row>
    <row r="216" spans="1:22">
      <c r="A216" t="s">
        <v>1086</v>
      </c>
      <c r="B216" t="s">
        <v>1087</v>
      </c>
      <c r="C216" t="s">
        <v>1120</v>
      </c>
      <c r="D216" t="s">
        <v>1121</v>
      </c>
      <c r="E216" t="s">
        <v>1122</v>
      </c>
      <c r="F216" t="s">
        <v>27</v>
      </c>
      <c r="G216">
        <v>1</v>
      </c>
      <c r="H216" t="s">
        <v>1123</v>
      </c>
      <c r="I216" t="s">
        <v>1124</v>
      </c>
      <c r="J216" t="s">
        <v>1125</v>
      </c>
      <c r="K216" t="s">
        <v>1124</v>
      </c>
      <c r="L216" t="s">
        <v>826</v>
      </c>
      <c r="M216" s="1" t="str">
        <f t="shared" si="21"/>
        <v>15B290</v>
      </c>
      <c r="N216" s="1" t="str">
        <f t="shared" si="22"/>
        <v>C/O</v>
      </c>
      <c r="O216" s="1" t="str">
        <f t="shared" si="23"/>
        <v>Engine LH Radiator</v>
      </c>
      <c r="P216" s="1" t="str">
        <f t="shared" si="24"/>
        <v>6D60</v>
      </c>
      <c r="Q216" s="2" t="str">
        <f t="shared" si="25"/>
        <v>6D60Engine LH Radiator</v>
      </c>
      <c r="R216" s="2" t="str">
        <f>New_Xref[[#This Row],[Serial Prefix]]&amp;IF(New_Xref[[#This Row],[Func Loc]]&lt;&gt;"",New_Xref[[#This Row],[Func Loc]],"NO MATCH")</f>
        <v>6D60ENG1 .ENCS.RADI</v>
      </c>
      <c r="S216" s="3" t="str">
        <f t="shared" si="26"/>
        <v>6D605000022FEngine LH Radiator</v>
      </c>
      <c r="T216" s="3" t="s">
        <v>68</v>
      </c>
      <c r="U216" s="3" t="s">
        <v>108</v>
      </c>
      <c r="V216" t="str">
        <f t="shared" si="27"/>
        <v>1353LT</v>
      </c>
    </row>
    <row r="217" spans="1:22">
      <c r="A217" t="s">
        <v>1086</v>
      </c>
      <c r="B217" t="s">
        <v>1087</v>
      </c>
      <c r="C217" t="s">
        <v>1120</v>
      </c>
      <c r="D217" t="s">
        <v>1121</v>
      </c>
      <c r="E217" t="s">
        <v>1122</v>
      </c>
      <c r="F217" t="s">
        <v>27</v>
      </c>
      <c r="G217">
        <v>1</v>
      </c>
      <c r="H217" t="s">
        <v>1123</v>
      </c>
      <c r="I217" t="s">
        <v>1126</v>
      </c>
      <c r="J217" t="s">
        <v>1127</v>
      </c>
      <c r="K217" t="s">
        <v>1126</v>
      </c>
      <c r="L217" t="s">
        <v>829</v>
      </c>
      <c r="M217" s="1" t="str">
        <f t="shared" si="21"/>
        <v>15B290</v>
      </c>
      <c r="N217" s="1" t="str">
        <f t="shared" si="22"/>
        <v>C/O</v>
      </c>
      <c r="O217" s="1" t="str">
        <f t="shared" si="23"/>
        <v>Engine RH Radiator</v>
      </c>
      <c r="P217" s="1" t="str">
        <f t="shared" si="24"/>
        <v>6D60</v>
      </c>
      <c r="Q217" s="2" t="str">
        <f t="shared" si="25"/>
        <v>6D60Engine RH Radiator</v>
      </c>
      <c r="R217" s="2" t="str">
        <f>New_Xref[[#This Row],[Serial Prefix]]&amp;IF(New_Xref[[#This Row],[Func Loc]]&lt;&gt;"",New_Xref[[#This Row],[Func Loc]],"NO MATCH")</f>
        <v>6D60ENG2 .ENCS.RADI</v>
      </c>
      <c r="S217" s="3" t="str">
        <f t="shared" si="26"/>
        <v>6D605000022FEngine RH Radiator</v>
      </c>
      <c r="T217" s="3" t="s">
        <v>68</v>
      </c>
      <c r="U217" s="3" t="s">
        <v>115</v>
      </c>
      <c r="V217" t="str">
        <f t="shared" si="27"/>
        <v>1353RI</v>
      </c>
    </row>
    <row r="218" spans="1:22">
      <c r="A218" t="s">
        <v>1086</v>
      </c>
      <c r="B218" t="s">
        <v>1102</v>
      </c>
      <c r="C218" t="s">
        <v>1120</v>
      </c>
      <c r="D218" t="s">
        <v>1121</v>
      </c>
      <c r="E218" t="s">
        <v>1122</v>
      </c>
      <c r="F218" t="s">
        <v>27</v>
      </c>
      <c r="G218">
        <v>1</v>
      </c>
      <c r="H218" t="s">
        <v>1123</v>
      </c>
      <c r="I218" t="s">
        <v>1128</v>
      </c>
      <c r="J218" t="s">
        <v>1129</v>
      </c>
      <c r="K218" t="s">
        <v>1128</v>
      </c>
      <c r="L218" t="s">
        <v>826</v>
      </c>
      <c r="M218" s="1" t="str">
        <f t="shared" si="21"/>
        <v>15B405</v>
      </c>
      <c r="N218" s="1" t="str">
        <f t="shared" si="22"/>
        <v>C/O</v>
      </c>
      <c r="O218" s="1" t="str">
        <f t="shared" si="23"/>
        <v>Engine LH Radiator</v>
      </c>
      <c r="P218" s="1" t="str">
        <f t="shared" si="24"/>
        <v>6P60</v>
      </c>
      <c r="Q218" s="2" t="str">
        <f t="shared" si="25"/>
        <v>6P60Engine LH Radiator</v>
      </c>
      <c r="R218" s="2" t="str">
        <f>New_Xref[[#This Row],[Serial Prefix]]&amp;IF(New_Xref[[#This Row],[Func Loc]]&lt;&gt;"",New_Xref[[#This Row],[Func Loc]],"NO MATCH")</f>
        <v>6P60ENG1 .ENCS.RADI</v>
      </c>
      <c r="S218" s="3" t="str">
        <f t="shared" si="26"/>
        <v>6P605000022FEngine LH Radiator</v>
      </c>
      <c r="T218" s="3" t="s">
        <v>68</v>
      </c>
      <c r="U218" s="3" t="s">
        <v>108</v>
      </c>
      <c r="V218" t="str">
        <f t="shared" si="27"/>
        <v>1353LT</v>
      </c>
    </row>
    <row r="219" spans="1:22">
      <c r="A219" t="s">
        <v>1086</v>
      </c>
      <c r="B219" t="s">
        <v>1102</v>
      </c>
      <c r="C219" t="s">
        <v>1120</v>
      </c>
      <c r="D219" t="s">
        <v>1121</v>
      </c>
      <c r="E219" t="s">
        <v>1122</v>
      </c>
      <c r="F219" t="s">
        <v>27</v>
      </c>
      <c r="G219">
        <v>1</v>
      </c>
      <c r="H219" t="s">
        <v>1123</v>
      </c>
      <c r="I219" t="s">
        <v>1130</v>
      </c>
      <c r="J219" t="s">
        <v>1131</v>
      </c>
      <c r="K219" t="s">
        <v>1130</v>
      </c>
      <c r="L219" t="s">
        <v>829</v>
      </c>
      <c r="M219" s="1" t="str">
        <f t="shared" si="21"/>
        <v>15B405</v>
      </c>
      <c r="N219" s="1" t="str">
        <f t="shared" si="22"/>
        <v>C/O</v>
      </c>
      <c r="O219" s="1" t="str">
        <f t="shared" si="23"/>
        <v>Engine RH Radiator</v>
      </c>
      <c r="P219" s="1" t="str">
        <f t="shared" si="24"/>
        <v>6P60</v>
      </c>
      <c r="Q219" s="2" t="str">
        <f t="shared" si="25"/>
        <v>6P60Engine RH Radiator</v>
      </c>
      <c r="R219" s="2" t="str">
        <f>New_Xref[[#This Row],[Serial Prefix]]&amp;IF(New_Xref[[#This Row],[Func Loc]]&lt;&gt;"",New_Xref[[#This Row],[Func Loc]],"NO MATCH")</f>
        <v>6P60ENG2 .ENCS.RADI</v>
      </c>
      <c r="S219" s="3" t="str">
        <f t="shared" si="26"/>
        <v>6P605000022FEngine RH Radiator</v>
      </c>
      <c r="T219" s="3" t="s">
        <v>68</v>
      </c>
      <c r="U219" s="3" t="s">
        <v>115</v>
      </c>
      <c r="V219" t="str">
        <f t="shared" si="27"/>
        <v>1353RI</v>
      </c>
    </row>
    <row r="220" spans="1:22">
      <c r="A220" t="s">
        <v>1086</v>
      </c>
      <c r="B220" t="s">
        <v>1132</v>
      </c>
      <c r="H220" t="s">
        <v>1133</v>
      </c>
      <c r="I220" t="s">
        <v>1134</v>
      </c>
      <c r="J220" t="s">
        <v>1135</v>
      </c>
      <c r="K220" t="s">
        <v>1134</v>
      </c>
      <c r="L220" t="s">
        <v>849</v>
      </c>
      <c r="M220" s="1" t="str">
        <f t="shared" si="21"/>
        <v>15H402</v>
      </c>
      <c r="N220" s="1" t="str">
        <f t="shared" si="22"/>
        <v>C/O</v>
      </c>
      <c r="O220" s="1" t="str">
        <f t="shared" si="23"/>
        <v>Hyd Oil Cooler Front</v>
      </c>
      <c r="P220" s="1" t="str">
        <f t="shared" si="24"/>
        <v>6D60</v>
      </c>
      <c r="Q220" s="2" t="str">
        <f t="shared" si="25"/>
        <v>6D60Hyd Oil Cooler Front</v>
      </c>
      <c r="R220" s="2" t="str">
        <f>New_Xref[[#This Row],[Serial Prefix]]&amp;IF(New_Xref[[#This Row],[Func Loc]]&lt;&gt;"",New_Xref[[#This Row],[Func Loc]],"NO MATCH")</f>
        <v>6D60MYHD .OICO.HOCF</v>
      </c>
      <c r="S220" s="3" t="str">
        <f t="shared" si="26"/>
        <v>6D60Hyd Oil Cooler Front</v>
      </c>
      <c r="T220" s="3" t="s">
        <v>845</v>
      </c>
      <c r="U220" s="3" t="s">
        <v>1136</v>
      </c>
      <c r="V220" t="str">
        <f t="shared" si="27"/>
        <v>1374FLO</v>
      </c>
    </row>
    <row r="221" spans="1:22">
      <c r="A221" t="s">
        <v>1086</v>
      </c>
      <c r="B221" t="s">
        <v>1132</v>
      </c>
      <c r="H221" t="s">
        <v>1133</v>
      </c>
      <c r="I221" t="s">
        <v>1137</v>
      </c>
      <c r="J221" t="s">
        <v>1138</v>
      </c>
      <c r="K221" t="s">
        <v>1137</v>
      </c>
      <c r="L221" t="s">
        <v>844</v>
      </c>
      <c r="M221" s="1" t="str">
        <f t="shared" si="21"/>
        <v>15H402</v>
      </c>
      <c r="N221" s="1" t="str">
        <f t="shared" si="22"/>
        <v>C/O</v>
      </c>
      <c r="O221" s="1" t="str">
        <f t="shared" si="23"/>
        <v>Hyd Oil Cooler Rear</v>
      </c>
      <c r="P221" s="1" t="str">
        <f t="shared" si="24"/>
        <v>6D60</v>
      </c>
      <c r="Q221" s="2" t="str">
        <f t="shared" si="25"/>
        <v>6D60Hyd Oil Cooler Rear</v>
      </c>
      <c r="R221" s="2" t="str">
        <f>New_Xref[[#This Row],[Serial Prefix]]&amp;IF(New_Xref[[#This Row],[Func Loc]]&lt;&gt;"",New_Xref[[#This Row],[Func Loc]],"NO MATCH")</f>
        <v>6D60MYHD .OICO.HOCR</v>
      </c>
      <c r="S221" s="3" t="str">
        <f t="shared" si="26"/>
        <v>6D60Hyd Oil Cooler Rear</v>
      </c>
      <c r="T221" s="3" t="s">
        <v>845</v>
      </c>
      <c r="U221" s="3" t="s">
        <v>1139</v>
      </c>
      <c r="V221" t="str">
        <f t="shared" si="27"/>
        <v>1374REU</v>
      </c>
    </row>
    <row r="222" spans="1:22">
      <c r="A222" t="s">
        <v>1086</v>
      </c>
      <c r="B222" t="s">
        <v>1087</v>
      </c>
      <c r="C222" t="s">
        <v>1140</v>
      </c>
      <c r="D222" t="s">
        <v>1141</v>
      </c>
      <c r="E222" t="s">
        <v>1142</v>
      </c>
      <c r="F222" t="s">
        <v>27</v>
      </c>
      <c r="G222">
        <v>1</v>
      </c>
      <c r="H222" t="s">
        <v>1143</v>
      </c>
      <c r="I222" t="s">
        <v>1144</v>
      </c>
      <c r="J222" t="s">
        <v>1145</v>
      </c>
      <c r="K222" t="s">
        <v>1144</v>
      </c>
      <c r="L222" t="s">
        <v>1146</v>
      </c>
      <c r="M222" s="1" t="str">
        <f t="shared" si="21"/>
        <v>15B290</v>
      </c>
      <c r="N222" s="1" t="str">
        <f t="shared" si="22"/>
        <v>C/O</v>
      </c>
      <c r="O222" s="1" t="str">
        <f t="shared" si="23"/>
        <v>Pump Drive Hyd Oil Cooler LH</v>
      </c>
      <c r="P222" s="1" t="str">
        <f t="shared" si="24"/>
        <v>6D60</v>
      </c>
      <c r="Q222" s="2" t="str">
        <f t="shared" si="25"/>
        <v>6D60Pump Drive Hyd Oil Cooler LH</v>
      </c>
      <c r="R222" s="2" t="str">
        <f>New_Xref[[#This Row],[Serial Prefix]]&amp;IF(New_Xref[[#This Row],[Func Loc]]&lt;&gt;"",New_Xref[[#This Row],[Func Loc]],"NO MATCH")</f>
        <v>6D60MYHD .OICO.CPDL</v>
      </c>
      <c r="S222" s="3" t="str">
        <f t="shared" si="26"/>
        <v>6D604707059Pump Drive Hyd Oil Cooler LH</v>
      </c>
      <c r="T222" s="3" t="s">
        <v>845</v>
      </c>
      <c r="U222" s="3" t="s">
        <v>108</v>
      </c>
      <c r="V222" t="str">
        <f t="shared" si="27"/>
        <v>1374LT</v>
      </c>
    </row>
    <row r="223" spans="1:22">
      <c r="A223" t="s">
        <v>1086</v>
      </c>
      <c r="B223" t="s">
        <v>1087</v>
      </c>
      <c r="C223" t="s">
        <v>1140</v>
      </c>
      <c r="D223" t="s">
        <v>1141</v>
      </c>
      <c r="E223" t="s">
        <v>1142</v>
      </c>
      <c r="F223" t="s">
        <v>27</v>
      </c>
      <c r="G223">
        <v>1</v>
      </c>
      <c r="H223" t="s">
        <v>1143</v>
      </c>
      <c r="I223" t="s">
        <v>1147</v>
      </c>
      <c r="J223" t="s">
        <v>1148</v>
      </c>
      <c r="K223" t="s">
        <v>1147</v>
      </c>
      <c r="L223" t="s">
        <v>1149</v>
      </c>
      <c r="M223" s="1" t="str">
        <f t="shared" si="21"/>
        <v>15B290</v>
      </c>
      <c r="N223" s="1" t="str">
        <f t="shared" si="22"/>
        <v>C/O</v>
      </c>
      <c r="O223" s="1" t="str">
        <f t="shared" si="23"/>
        <v>Pump Drive Hyd Oil Cooler RH</v>
      </c>
      <c r="P223" s="1" t="str">
        <f t="shared" si="24"/>
        <v>6D60</v>
      </c>
      <c r="Q223" s="2" t="str">
        <f t="shared" si="25"/>
        <v>6D60Pump Drive Hyd Oil Cooler RH</v>
      </c>
      <c r="R223" s="2" t="str">
        <f>New_Xref[[#This Row],[Serial Prefix]]&amp;IF(New_Xref[[#This Row],[Func Loc]]&lt;&gt;"",New_Xref[[#This Row],[Func Loc]],"NO MATCH")</f>
        <v>6D60MYHD .OICO.CPDR</v>
      </c>
      <c r="S223" s="3" t="str">
        <f t="shared" si="26"/>
        <v>6D604707059Pump Drive Hyd Oil Cooler RH</v>
      </c>
      <c r="T223" s="3" t="s">
        <v>845</v>
      </c>
      <c r="U223" s="3" t="s">
        <v>115</v>
      </c>
      <c r="V223" t="str">
        <f t="shared" si="27"/>
        <v>1374RI</v>
      </c>
    </row>
    <row r="224" spans="1:22">
      <c r="A224" t="s">
        <v>1086</v>
      </c>
      <c r="B224" t="s">
        <v>1087</v>
      </c>
      <c r="C224" t="s">
        <v>1150</v>
      </c>
      <c r="D224" t="s">
        <v>1151</v>
      </c>
      <c r="E224" t="s">
        <v>1152</v>
      </c>
      <c r="F224" t="s">
        <v>27</v>
      </c>
      <c r="G224">
        <v>1</v>
      </c>
      <c r="H224" t="s">
        <v>1153</v>
      </c>
      <c r="I224" t="s">
        <v>1154</v>
      </c>
      <c r="J224" t="s">
        <v>1155</v>
      </c>
      <c r="K224" t="s">
        <v>1154</v>
      </c>
      <c r="L224" t="s">
        <v>1156</v>
      </c>
      <c r="M224" s="1" t="str">
        <f t="shared" si="21"/>
        <v>15B290</v>
      </c>
      <c r="N224" s="1" t="str">
        <f t="shared" si="22"/>
        <v>C/O</v>
      </c>
      <c r="O224" s="1" t="str">
        <f t="shared" si="23"/>
        <v>Oil Cooler Fan Motor LH Lower</v>
      </c>
      <c r="P224" s="1" t="str">
        <f t="shared" si="24"/>
        <v>6D60</v>
      </c>
      <c r="Q224" s="2" t="str">
        <f t="shared" si="25"/>
        <v>6D60Oil Cooler Fan Motor LH Lower</v>
      </c>
      <c r="R224" s="2" t="str">
        <f>New_Xref[[#This Row],[Serial Prefix]]&amp;IF(New_Xref[[#This Row],[Func Loc]]&lt;&gt;"",New_Xref[[#This Row],[Func Loc]],"NO MATCH")</f>
        <v>6D60MYHD .MOTO.FMLL</v>
      </c>
      <c r="S224" s="3" t="str">
        <f t="shared" si="26"/>
        <v>6D604480095Oil Cooler Fan Motor LH Lower</v>
      </c>
      <c r="T224" s="3" t="s">
        <v>188</v>
      </c>
      <c r="U224" s="2" t="s">
        <v>1157</v>
      </c>
      <c r="V224" t="str">
        <f t="shared" si="27"/>
        <v>1386REL</v>
      </c>
    </row>
    <row r="225" spans="1:22">
      <c r="A225" t="s">
        <v>1086</v>
      </c>
      <c r="B225" t="s">
        <v>1087</v>
      </c>
      <c r="C225" t="s">
        <v>1150</v>
      </c>
      <c r="D225" t="s">
        <v>1151</v>
      </c>
      <c r="E225" t="s">
        <v>1152</v>
      </c>
      <c r="F225" t="s">
        <v>27</v>
      </c>
      <c r="G225">
        <v>1</v>
      </c>
      <c r="H225" t="s">
        <v>1153</v>
      </c>
      <c r="I225" t="s">
        <v>1158</v>
      </c>
      <c r="J225" t="s">
        <v>1159</v>
      </c>
      <c r="K225" t="s">
        <v>1158</v>
      </c>
      <c r="L225" t="s">
        <v>1160</v>
      </c>
      <c r="M225" s="1" t="str">
        <f t="shared" si="21"/>
        <v>15B290</v>
      </c>
      <c r="N225" s="1" t="str">
        <f t="shared" si="22"/>
        <v>C/O</v>
      </c>
      <c r="O225" s="1" t="str">
        <f t="shared" si="23"/>
        <v>Oil Cooler Fan Motor LH Upper</v>
      </c>
      <c r="P225" s="1" t="str">
        <f t="shared" si="24"/>
        <v>6D60</v>
      </c>
      <c r="Q225" s="2" t="str">
        <f t="shared" si="25"/>
        <v>6D60Oil Cooler Fan Motor LH Upper</v>
      </c>
      <c r="R225" s="2" t="str">
        <f>New_Xref[[#This Row],[Serial Prefix]]&amp;IF(New_Xref[[#This Row],[Func Loc]]&lt;&gt;"",New_Xref[[#This Row],[Func Loc]],"NO MATCH")</f>
        <v>6D60MYHD .MOTO.FMLU</v>
      </c>
      <c r="S225" s="3" t="str">
        <f t="shared" si="26"/>
        <v>6D604480095Oil Cooler Fan Motor LH Upper</v>
      </c>
      <c r="T225" s="3" t="s">
        <v>188</v>
      </c>
      <c r="U225" s="2" t="s">
        <v>1139</v>
      </c>
      <c r="V225" t="str">
        <f t="shared" si="27"/>
        <v>1386REU</v>
      </c>
    </row>
    <row r="226" spans="1:22">
      <c r="A226" t="s">
        <v>1086</v>
      </c>
      <c r="B226" t="s">
        <v>1087</v>
      </c>
      <c r="C226" t="s">
        <v>1150</v>
      </c>
      <c r="D226" t="s">
        <v>1151</v>
      </c>
      <c r="E226" t="s">
        <v>1152</v>
      </c>
      <c r="F226" t="s">
        <v>27</v>
      </c>
      <c r="G226">
        <v>1</v>
      </c>
      <c r="H226" t="s">
        <v>1153</v>
      </c>
      <c r="I226" t="s">
        <v>1161</v>
      </c>
      <c r="J226" t="s">
        <v>1162</v>
      </c>
      <c r="K226" t="s">
        <v>1161</v>
      </c>
      <c r="L226" t="s">
        <v>1163</v>
      </c>
      <c r="M226" s="1" t="str">
        <f t="shared" si="21"/>
        <v>15B290</v>
      </c>
      <c r="N226" s="1" t="str">
        <f t="shared" si="22"/>
        <v>C/O</v>
      </c>
      <c r="O226" s="1" t="str">
        <f t="shared" si="23"/>
        <v>Oil Cooler Fan Motor RH Lower</v>
      </c>
      <c r="P226" s="1" t="str">
        <f t="shared" si="24"/>
        <v>6D60</v>
      </c>
      <c r="Q226" s="2" t="str">
        <f t="shared" si="25"/>
        <v>6D60Oil Cooler Fan Motor RH Lower</v>
      </c>
      <c r="R226" s="2" t="str">
        <f>New_Xref[[#This Row],[Serial Prefix]]&amp;IF(New_Xref[[#This Row],[Func Loc]]&lt;&gt;"",New_Xref[[#This Row],[Func Loc]],"NO MATCH")</f>
        <v>6D60MYHD .MOTO.FMRL</v>
      </c>
      <c r="S226" s="3" t="str">
        <f t="shared" si="26"/>
        <v>6D604480095Oil Cooler Fan Motor RH Lower</v>
      </c>
      <c r="T226" s="3" t="s">
        <v>188</v>
      </c>
      <c r="U226" s="2" t="s">
        <v>1164</v>
      </c>
      <c r="V226" t="str">
        <f t="shared" si="27"/>
        <v>1386FRL</v>
      </c>
    </row>
    <row r="227" spans="1:22">
      <c r="A227" t="s">
        <v>1086</v>
      </c>
      <c r="B227" t="s">
        <v>1087</v>
      </c>
      <c r="C227" t="s">
        <v>1150</v>
      </c>
      <c r="D227" t="s">
        <v>1151</v>
      </c>
      <c r="E227" t="s">
        <v>1152</v>
      </c>
      <c r="F227" t="s">
        <v>27</v>
      </c>
      <c r="G227">
        <v>1</v>
      </c>
      <c r="H227" t="s">
        <v>1153</v>
      </c>
      <c r="I227" t="s">
        <v>1165</v>
      </c>
      <c r="J227" t="s">
        <v>1166</v>
      </c>
      <c r="K227" t="s">
        <v>1165</v>
      </c>
      <c r="L227" t="s">
        <v>1167</v>
      </c>
      <c r="M227" s="1" t="str">
        <f t="shared" si="21"/>
        <v>15B290</v>
      </c>
      <c r="N227" s="1" t="str">
        <f t="shared" si="22"/>
        <v>C/O</v>
      </c>
      <c r="O227" s="1" t="str">
        <f t="shared" si="23"/>
        <v>Oil Cooler Fan Motor RH Upper</v>
      </c>
      <c r="P227" s="1" t="str">
        <f t="shared" si="24"/>
        <v>6D60</v>
      </c>
      <c r="Q227" s="2" t="str">
        <f t="shared" si="25"/>
        <v>6D60Oil Cooler Fan Motor RH Upper</v>
      </c>
      <c r="R227" s="2" t="str">
        <f>New_Xref[[#This Row],[Serial Prefix]]&amp;IF(New_Xref[[#This Row],[Func Loc]]&lt;&gt;"",New_Xref[[#This Row],[Func Loc]],"NO MATCH")</f>
        <v>6D60MYHD .MOTO.FMRU</v>
      </c>
      <c r="S227" s="3" t="str">
        <f t="shared" si="26"/>
        <v>6D604480095Oil Cooler Fan Motor RH Upper</v>
      </c>
      <c r="T227" s="3" t="s">
        <v>188</v>
      </c>
      <c r="U227" s="2" t="s">
        <v>1168</v>
      </c>
      <c r="V227" t="str">
        <f t="shared" si="27"/>
        <v>1386FRU</v>
      </c>
    </row>
    <row r="228" spans="1:22">
      <c r="A228" t="s">
        <v>1086</v>
      </c>
      <c r="B228" t="s">
        <v>1102</v>
      </c>
      <c r="C228" t="s">
        <v>1150</v>
      </c>
      <c r="D228" t="s">
        <v>1151</v>
      </c>
      <c r="E228" t="s">
        <v>1152</v>
      </c>
      <c r="F228" t="s">
        <v>27</v>
      </c>
      <c r="G228">
        <v>1</v>
      </c>
      <c r="H228" t="s">
        <v>1153</v>
      </c>
      <c r="I228" t="s">
        <v>1169</v>
      </c>
      <c r="J228" t="s">
        <v>1170</v>
      </c>
      <c r="K228" t="s">
        <v>1169</v>
      </c>
      <c r="L228" t="s">
        <v>1156</v>
      </c>
      <c r="M228" s="1" t="str">
        <f t="shared" si="21"/>
        <v>15B405</v>
      </c>
      <c r="N228" s="1" t="str">
        <f t="shared" si="22"/>
        <v>C/O</v>
      </c>
      <c r="O228" s="1" t="str">
        <f t="shared" si="23"/>
        <v>Oil Cooler Fan Motor LH Lower</v>
      </c>
      <c r="P228" s="1" t="str">
        <f t="shared" si="24"/>
        <v>6P60</v>
      </c>
      <c r="Q228" s="2" t="str">
        <f t="shared" si="25"/>
        <v>6P60Oil Cooler Fan Motor LH Lower</v>
      </c>
      <c r="R228" s="2" t="str">
        <f>New_Xref[[#This Row],[Serial Prefix]]&amp;IF(New_Xref[[#This Row],[Func Loc]]&lt;&gt;"",New_Xref[[#This Row],[Func Loc]],"NO MATCH")</f>
        <v>6P60MYHD .MOTO.FMLL</v>
      </c>
      <c r="S228" s="3" t="str">
        <f t="shared" si="26"/>
        <v>6P604480095Oil Cooler Fan Motor LH Lower</v>
      </c>
      <c r="T228" s="3" t="s">
        <v>188</v>
      </c>
      <c r="U228" s="3" t="s">
        <v>1157</v>
      </c>
      <c r="V228" t="str">
        <f t="shared" si="27"/>
        <v>1386REL</v>
      </c>
    </row>
    <row r="229" spans="1:22">
      <c r="A229" t="s">
        <v>1086</v>
      </c>
      <c r="B229" t="s">
        <v>1102</v>
      </c>
      <c r="C229" t="s">
        <v>1150</v>
      </c>
      <c r="D229" t="s">
        <v>1151</v>
      </c>
      <c r="E229" t="s">
        <v>1152</v>
      </c>
      <c r="F229" t="s">
        <v>27</v>
      </c>
      <c r="G229">
        <v>1</v>
      </c>
      <c r="H229" t="s">
        <v>1153</v>
      </c>
      <c r="I229" t="s">
        <v>1171</v>
      </c>
      <c r="J229" t="s">
        <v>1172</v>
      </c>
      <c r="K229" t="s">
        <v>1171</v>
      </c>
      <c r="L229" t="s">
        <v>1160</v>
      </c>
      <c r="M229" s="1" t="str">
        <f t="shared" si="21"/>
        <v>15B405</v>
      </c>
      <c r="N229" s="1" t="str">
        <f t="shared" si="22"/>
        <v>C/O</v>
      </c>
      <c r="O229" s="1" t="str">
        <f t="shared" si="23"/>
        <v>Oil Cooler Fan Motor LH Upper</v>
      </c>
      <c r="P229" s="1" t="str">
        <f t="shared" si="24"/>
        <v>6P60</v>
      </c>
      <c r="Q229" s="2" t="str">
        <f t="shared" si="25"/>
        <v>6P60Oil Cooler Fan Motor LH Upper</v>
      </c>
      <c r="R229" s="2" t="str">
        <f>New_Xref[[#This Row],[Serial Prefix]]&amp;IF(New_Xref[[#This Row],[Func Loc]]&lt;&gt;"",New_Xref[[#This Row],[Func Loc]],"NO MATCH")</f>
        <v>6P60MYHD .MOTO.FMLU</v>
      </c>
      <c r="S229" s="3" t="str">
        <f t="shared" si="26"/>
        <v>6P604480095Oil Cooler Fan Motor LH Upper</v>
      </c>
      <c r="T229" s="3" t="s">
        <v>188</v>
      </c>
      <c r="U229" s="3" t="s">
        <v>1139</v>
      </c>
      <c r="V229" t="str">
        <f t="shared" si="27"/>
        <v>1386REU</v>
      </c>
    </row>
    <row r="230" spans="1:22">
      <c r="A230" t="s">
        <v>1086</v>
      </c>
      <c r="B230" t="s">
        <v>1102</v>
      </c>
      <c r="C230" t="s">
        <v>1150</v>
      </c>
      <c r="D230" t="s">
        <v>1151</v>
      </c>
      <c r="E230" t="s">
        <v>1152</v>
      </c>
      <c r="F230" t="s">
        <v>27</v>
      </c>
      <c r="G230">
        <v>1</v>
      </c>
      <c r="H230" t="s">
        <v>1153</v>
      </c>
      <c r="I230" t="s">
        <v>1173</v>
      </c>
      <c r="J230" t="s">
        <v>1174</v>
      </c>
      <c r="K230" t="s">
        <v>1173</v>
      </c>
      <c r="L230" t="s">
        <v>1163</v>
      </c>
      <c r="M230" s="1" t="str">
        <f t="shared" si="21"/>
        <v>15B405</v>
      </c>
      <c r="N230" s="1" t="str">
        <f t="shared" si="22"/>
        <v>C/O</v>
      </c>
      <c r="O230" s="1" t="str">
        <f t="shared" si="23"/>
        <v>Oil Cooler Fan Motor RH Lower</v>
      </c>
      <c r="P230" s="1" t="str">
        <f t="shared" si="24"/>
        <v>6P60</v>
      </c>
      <c r="Q230" s="2" t="str">
        <f t="shared" si="25"/>
        <v>6P60Oil Cooler Fan Motor RH Lower</v>
      </c>
      <c r="R230" s="2" t="str">
        <f>New_Xref[[#This Row],[Serial Prefix]]&amp;IF(New_Xref[[#This Row],[Func Loc]]&lt;&gt;"",New_Xref[[#This Row],[Func Loc]],"NO MATCH")</f>
        <v>6P60MYHD .MOTO.FMRL</v>
      </c>
      <c r="S230" s="3" t="str">
        <f t="shared" si="26"/>
        <v>6P604480095Oil Cooler Fan Motor RH Lower</v>
      </c>
      <c r="T230" s="3" t="s">
        <v>188</v>
      </c>
      <c r="U230" s="3" t="s">
        <v>1164</v>
      </c>
      <c r="V230" t="str">
        <f t="shared" si="27"/>
        <v>1386FRL</v>
      </c>
    </row>
    <row r="231" spans="1:22">
      <c r="A231" t="s">
        <v>1086</v>
      </c>
      <c r="B231" t="s">
        <v>1102</v>
      </c>
      <c r="C231" t="s">
        <v>1150</v>
      </c>
      <c r="D231" t="s">
        <v>1151</v>
      </c>
      <c r="E231" t="s">
        <v>1152</v>
      </c>
      <c r="F231" t="s">
        <v>27</v>
      </c>
      <c r="G231">
        <v>1</v>
      </c>
      <c r="H231" t="s">
        <v>1153</v>
      </c>
      <c r="I231" t="s">
        <v>1175</v>
      </c>
      <c r="J231" t="s">
        <v>1176</v>
      </c>
      <c r="K231" t="s">
        <v>1175</v>
      </c>
      <c r="L231" t="s">
        <v>1167</v>
      </c>
      <c r="M231" s="1" t="str">
        <f t="shared" si="21"/>
        <v>15B405</v>
      </c>
      <c r="N231" s="1" t="str">
        <f t="shared" si="22"/>
        <v>C/O</v>
      </c>
      <c r="O231" s="1" t="str">
        <f t="shared" si="23"/>
        <v>Oil Cooler Fan Motor RH Upper</v>
      </c>
      <c r="P231" s="1" t="str">
        <f t="shared" si="24"/>
        <v>6P60</v>
      </c>
      <c r="Q231" s="2" t="str">
        <f t="shared" si="25"/>
        <v>6P60Oil Cooler Fan Motor RH Upper</v>
      </c>
      <c r="R231" s="2" t="str">
        <f>New_Xref[[#This Row],[Serial Prefix]]&amp;IF(New_Xref[[#This Row],[Func Loc]]&lt;&gt;"",New_Xref[[#This Row],[Func Loc]],"NO MATCH")</f>
        <v>6P60MYHD .MOTO.FMRU</v>
      </c>
      <c r="S231" s="3" t="str">
        <f t="shared" si="26"/>
        <v>6P604480095Oil Cooler Fan Motor RH Upper</v>
      </c>
      <c r="T231" s="3" t="s">
        <v>188</v>
      </c>
      <c r="U231" s="3" t="s">
        <v>1168</v>
      </c>
      <c r="V231" t="str">
        <f t="shared" si="27"/>
        <v>1386FRU</v>
      </c>
    </row>
    <row r="232" spans="1:22">
      <c r="A232" t="s">
        <v>1086</v>
      </c>
      <c r="B232" t="s">
        <v>1087</v>
      </c>
      <c r="C232" t="s">
        <v>1177</v>
      </c>
      <c r="D232" t="s">
        <v>1178</v>
      </c>
      <c r="E232" t="s">
        <v>1179</v>
      </c>
      <c r="F232" t="s">
        <v>27</v>
      </c>
      <c r="G232">
        <v>1</v>
      </c>
      <c r="H232" t="s">
        <v>1180</v>
      </c>
      <c r="I232" t="s">
        <v>1181</v>
      </c>
      <c r="J232" t="s">
        <v>1182</v>
      </c>
      <c r="K232" t="s">
        <v>1181</v>
      </c>
      <c r="L232" t="s">
        <v>83</v>
      </c>
      <c r="M232" s="1" t="str">
        <f t="shared" si="21"/>
        <v>15B290</v>
      </c>
      <c r="N232" s="1" t="str">
        <f t="shared" si="22"/>
        <v>C/O</v>
      </c>
      <c r="O232" s="1" t="str">
        <f t="shared" si="23"/>
        <v>Eng Cool Fan Pump LH P/Drv 1</v>
      </c>
      <c r="P232" s="1" t="str">
        <f t="shared" si="24"/>
        <v>6D60</v>
      </c>
      <c r="Q232" s="2" t="str">
        <f t="shared" si="25"/>
        <v>6D60Eng Cool Fan Pump LH P/Drv 1</v>
      </c>
      <c r="R232" s="2" t="str">
        <f>New_Xref[[#This Row],[Serial Prefix]]&amp;IF(New_Xref[[#This Row],[Func Loc]]&lt;&gt;"",New_Xref[[#This Row],[Func Loc]],"NO MATCH")</f>
        <v>6D60NO MATCH</v>
      </c>
      <c r="S232" s="3" t="str">
        <f t="shared" si="26"/>
        <v>6D6020R2016Eng Cool Fan Pump LH P/Drv 1</v>
      </c>
      <c r="T232" s="3" t="s">
        <v>869</v>
      </c>
      <c r="U232" s="3" t="s">
        <v>96</v>
      </c>
      <c r="V232" t="str">
        <f t="shared" si="27"/>
        <v>1387LR</v>
      </c>
    </row>
    <row r="233" spans="1:22">
      <c r="A233" t="s">
        <v>1086</v>
      </c>
      <c r="B233" t="s">
        <v>1087</v>
      </c>
      <c r="C233" t="s">
        <v>1177</v>
      </c>
      <c r="D233" t="s">
        <v>1178</v>
      </c>
      <c r="E233" t="s">
        <v>1179</v>
      </c>
      <c r="F233" t="s">
        <v>27</v>
      </c>
      <c r="G233">
        <v>1</v>
      </c>
      <c r="H233" t="s">
        <v>1183</v>
      </c>
      <c r="I233" t="s">
        <v>1184</v>
      </c>
      <c r="J233" t="s">
        <v>1185</v>
      </c>
      <c r="K233" t="s">
        <v>1184</v>
      </c>
      <c r="L233" t="s">
        <v>83</v>
      </c>
      <c r="M233" s="1" t="str">
        <f t="shared" si="21"/>
        <v>15B290</v>
      </c>
      <c r="N233" s="1" t="str">
        <f t="shared" si="22"/>
        <v>C/O</v>
      </c>
      <c r="O233" s="1" t="str">
        <f t="shared" si="23"/>
        <v>Eng Cool Fan Pump RH P/Drv 2</v>
      </c>
      <c r="P233" s="1" t="str">
        <f t="shared" si="24"/>
        <v>6D60</v>
      </c>
      <c r="Q233" s="2" t="str">
        <f t="shared" si="25"/>
        <v>6D60Eng Cool Fan Pump RH P/Drv 2</v>
      </c>
      <c r="R233" s="2" t="str">
        <f>New_Xref[[#This Row],[Serial Prefix]]&amp;IF(New_Xref[[#This Row],[Func Loc]]&lt;&gt;"",New_Xref[[#This Row],[Func Loc]],"NO MATCH")</f>
        <v>6D60NO MATCH</v>
      </c>
      <c r="S233" s="3" t="str">
        <f t="shared" si="26"/>
        <v>6D6020R2016Eng Cool Fan Pump RH P/Drv 2</v>
      </c>
      <c r="T233" s="3" t="s">
        <v>869</v>
      </c>
      <c r="U233" s="3" t="s">
        <v>99</v>
      </c>
      <c r="V233" t="str">
        <f t="shared" si="27"/>
        <v>1387RR</v>
      </c>
    </row>
    <row r="234" spans="1:22">
      <c r="A234" t="s">
        <v>1086</v>
      </c>
      <c r="B234" t="s">
        <v>1087</v>
      </c>
      <c r="C234" t="s">
        <v>1186</v>
      </c>
      <c r="D234" t="s">
        <v>1187</v>
      </c>
      <c r="E234" t="s">
        <v>1188</v>
      </c>
      <c r="F234" t="s">
        <v>27</v>
      </c>
      <c r="G234">
        <v>1</v>
      </c>
      <c r="H234" t="s">
        <v>1189</v>
      </c>
      <c r="I234" t="s">
        <v>1190</v>
      </c>
      <c r="J234" t="s">
        <v>1191</v>
      </c>
      <c r="K234" t="s">
        <v>1190</v>
      </c>
      <c r="L234" t="s">
        <v>83</v>
      </c>
      <c r="M234" s="1" t="str">
        <f t="shared" si="21"/>
        <v>15B290</v>
      </c>
      <c r="N234" s="1" t="str">
        <f t="shared" si="22"/>
        <v>C/O</v>
      </c>
      <c r="O234" s="1" t="str">
        <f t="shared" si="23"/>
        <v>Oil Cooler Fan Pump LH No 1</v>
      </c>
      <c r="P234" s="1" t="str">
        <f t="shared" si="24"/>
        <v>6D60</v>
      </c>
      <c r="Q234" s="2" t="str">
        <f t="shared" si="25"/>
        <v>6D60Oil Cooler Fan Pump LH No 1</v>
      </c>
      <c r="R234" s="2" t="str">
        <f>New_Xref[[#This Row],[Serial Prefix]]&amp;IF(New_Xref[[#This Row],[Func Loc]]&lt;&gt;"",New_Xref[[#This Row],[Func Loc]],"NO MATCH")</f>
        <v>6D60NO MATCH</v>
      </c>
      <c r="S234" s="3" t="str">
        <f t="shared" si="26"/>
        <v>6D604480066Oil Cooler Fan Pump LH No 1</v>
      </c>
      <c r="T234" s="3" t="s">
        <v>869</v>
      </c>
      <c r="U234" s="3" t="s">
        <v>34</v>
      </c>
      <c r="V234" t="str">
        <f t="shared" si="27"/>
        <v>138700</v>
      </c>
    </row>
    <row r="235" spans="1:22">
      <c r="A235" t="s">
        <v>1086</v>
      </c>
      <c r="B235" t="s">
        <v>1087</v>
      </c>
      <c r="C235" t="s">
        <v>1186</v>
      </c>
      <c r="D235" t="s">
        <v>1187</v>
      </c>
      <c r="E235" t="s">
        <v>1188</v>
      </c>
      <c r="F235" t="s">
        <v>27</v>
      </c>
      <c r="G235">
        <v>1</v>
      </c>
      <c r="H235" t="s">
        <v>1189</v>
      </c>
      <c r="I235" t="s">
        <v>1192</v>
      </c>
      <c r="J235" t="s">
        <v>1193</v>
      </c>
      <c r="K235" t="s">
        <v>1192</v>
      </c>
      <c r="L235" t="s">
        <v>83</v>
      </c>
      <c r="M235" s="1" t="str">
        <f t="shared" si="21"/>
        <v>15B290</v>
      </c>
      <c r="N235" s="1" t="str">
        <f t="shared" si="22"/>
        <v>C/O</v>
      </c>
      <c r="O235" s="1" t="str">
        <f t="shared" si="23"/>
        <v>Oil Cooler Fan Pump LH No 2</v>
      </c>
      <c r="P235" s="1" t="str">
        <f t="shared" si="24"/>
        <v>6D60</v>
      </c>
      <c r="Q235" s="2" t="str">
        <f t="shared" si="25"/>
        <v>6D60Oil Cooler Fan Pump LH No 2</v>
      </c>
      <c r="R235" s="2" t="str">
        <f>New_Xref[[#This Row],[Serial Prefix]]&amp;IF(New_Xref[[#This Row],[Func Loc]]&lt;&gt;"",New_Xref[[#This Row],[Func Loc]],"NO MATCH")</f>
        <v>6D60NO MATCH</v>
      </c>
      <c r="S235" s="3" t="str">
        <f t="shared" si="26"/>
        <v>6D604480066Oil Cooler Fan Pump LH No 2</v>
      </c>
      <c r="T235" s="3" t="s">
        <v>869</v>
      </c>
      <c r="U235" s="3" t="s">
        <v>34</v>
      </c>
      <c r="V235" t="str">
        <f t="shared" si="27"/>
        <v>138700</v>
      </c>
    </row>
    <row r="236" spans="1:22">
      <c r="A236" t="s">
        <v>1086</v>
      </c>
      <c r="B236" t="s">
        <v>1087</v>
      </c>
      <c r="C236" t="s">
        <v>1186</v>
      </c>
      <c r="D236" t="s">
        <v>1187</v>
      </c>
      <c r="E236" t="s">
        <v>1188</v>
      </c>
      <c r="F236" t="s">
        <v>27</v>
      </c>
      <c r="G236">
        <v>1</v>
      </c>
      <c r="H236" t="s">
        <v>1189</v>
      </c>
      <c r="I236" t="s">
        <v>1194</v>
      </c>
      <c r="J236" t="s">
        <v>1195</v>
      </c>
      <c r="K236" t="s">
        <v>1194</v>
      </c>
      <c r="L236" t="s">
        <v>83</v>
      </c>
      <c r="M236" s="1" t="str">
        <f t="shared" si="21"/>
        <v>15B290</v>
      </c>
      <c r="N236" s="1" t="str">
        <f t="shared" si="22"/>
        <v>C/O</v>
      </c>
      <c r="O236" s="1" t="str">
        <f t="shared" si="23"/>
        <v>Oil Cooler Fan Pump RH No 1</v>
      </c>
      <c r="P236" s="1" t="str">
        <f t="shared" si="24"/>
        <v>6D60</v>
      </c>
      <c r="Q236" s="2" t="str">
        <f t="shared" si="25"/>
        <v>6D60Oil Cooler Fan Pump RH No 1</v>
      </c>
      <c r="R236" s="2" t="str">
        <f>New_Xref[[#This Row],[Serial Prefix]]&amp;IF(New_Xref[[#This Row],[Func Loc]]&lt;&gt;"",New_Xref[[#This Row],[Func Loc]],"NO MATCH")</f>
        <v>6D60NO MATCH</v>
      </c>
      <c r="S236" s="3" t="str">
        <f t="shared" si="26"/>
        <v>6D604480066Oil Cooler Fan Pump RH No 1</v>
      </c>
      <c r="T236" s="3" t="s">
        <v>869</v>
      </c>
      <c r="U236" s="3" t="s">
        <v>34</v>
      </c>
      <c r="V236" t="str">
        <f t="shared" si="27"/>
        <v>138700</v>
      </c>
    </row>
    <row r="237" spans="1:22">
      <c r="A237" t="s">
        <v>1086</v>
      </c>
      <c r="B237" t="s">
        <v>1087</v>
      </c>
      <c r="C237" t="s">
        <v>1186</v>
      </c>
      <c r="D237" t="s">
        <v>1187</v>
      </c>
      <c r="E237" t="s">
        <v>1188</v>
      </c>
      <c r="F237" t="s">
        <v>27</v>
      </c>
      <c r="G237">
        <v>1</v>
      </c>
      <c r="H237" t="s">
        <v>1189</v>
      </c>
      <c r="I237" t="s">
        <v>1196</v>
      </c>
      <c r="J237" t="s">
        <v>1197</v>
      </c>
      <c r="K237" t="s">
        <v>1196</v>
      </c>
      <c r="L237" t="s">
        <v>83</v>
      </c>
      <c r="M237" s="1" t="str">
        <f t="shared" si="21"/>
        <v>15B290</v>
      </c>
      <c r="N237" s="1" t="str">
        <f t="shared" si="22"/>
        <v>C/O</v>
      </c>
      <c r="O237" s="1" t="str">
        <f t="shared" si="23"/>
        <v>Oil Cooler Fan Pump RH No 2</v>
      </c>
      <c r="P237" s="1" t="str">
        <f t="shared" si="24"/>
        <v>6D60</v>
      </c>
      <c r="Q237" s="2" t="str">
        <f t="shared" si="25"/>
        <v>6D60Oil Cooler Fan Pump RH No 2</v>
      </c>
      <c r="R237" s="2" t="str">
        <f>New_Xref[[#This Row],[Serial Prefix]]&amp;IF(New_Xref[[#This Row],[Func Loc]]&lt;&gt;"",New_Xref[[#This Row],[Func Loc]],"NO MATCH")</f>
        <v>6D60NO MATCH</v>
      </c>
      <c r="S237" s="3" t="str">
        <f t="shared" si="26"/>
        <v>6D604480066Oil Cooler Fan Pump RH No 2</v>
      </c>
      <c r="T237" s="3" t="s">
        <v>869</v>
      </c>
      <c r="U237" s="3" t="s">
        <v>34</v>
      </c>
      <c r="V237" t="str">
        <f t="shared" si="27"/>
        <v>138700</v>
      </c>
    </row>
    <row r="238" spans="1:22">
      <c r="A238" t="s">
        <v>1086</v>
      </c>
      <c r="B238" t="s">
        <v>1102</v>
      </c>
      <c r="C238" t="s">
        <v>1177</v>
      </c>
      <c r="D238" t="s">
        <v>1178</v>
      </c>
      <c r="E238" t="s">
        <v>1179</v>
      </c>
      <c r="F238" t="s">
        <v>27</v>
      </c>
      <c r="G238">
        <v>1</v>
      </c>
      <c r="H238" t="s">
        <v>1180</v>
      </c>
      <c r="I238" t="s">
        <v>1198</v>
      </c>
      <c r="J238" t="s">
        <v>1199</v>
      </c>
      <c r="K238" t="s">
        <v>1198</v>
      </c>
      <c r="L238" t="s">
        <v>83</v>
      </c>
      <c r="M238" s="1" t="str">
        <f t="shared" si="21"/>
        <v>15B405</v>
      </c>
      <c r="N238" s="1" t="str">
        <f t="shared" si="22"/>
        <v>C/O</v>
      </c>
      <c r="O238" s="1" t="str">
        <f t="shared" si="23"/>
        <v>Eng Cool Fan Pump LH P/Drv 1</v>
      </c>
      <c r="P238" s="1" t="str">
        <f t="shared" si="24"/>
        <v>6P60</v>
      </c>
      <c r="Q238" s="2" t="str">
        <f t="shared" si="25"/>
        <v>6P60Eng Cool Fan Pump LH P/Drv 1</v>
      </c>
      <c r="R238" s="2" t="str">
        <f>New_Xref[[#This Row],[Serial Prefix]]&amp;IF(New_Xref[[#This Row],[Func Loc]]&lt;&gt;"",New_Xref[[#This Row],[Func Loc]],"NO MATCH")</f>
        <v>6P60NO MATCH</v>
      </c>
      <c r="S238" s="3" t="str">
        <f t="shared" si="26"/>
        <v>6P6020R2016Eng Cool Fan Pump LH P/Drv 1</v>
      </c>
      <c r="T238" s="3" t="s">
        <v>869</v>
      </c>
      <c r="U238" s="3" t="s">
        <v>96</v>
      </c>
      <c r="V238" t="str">
        <f t="shared" si="27"/>
        <v>1387LR</v>
      </c>
    </row>
    <row r="239" spans="1:22">
      <c r="A239" t="s">
        <v>1086</v>
      </c>
      <c r="B239" t="s">
        <v>1102</v>
      </c>
      <c r="C239" t="s">
        <v>1177</v>
      </c>
      <c r="D239" t="s">
        <v>1178</v>
      </c>
      <c r="E239" t="s">
        <v>1179</v>
      </c>
      <c r="F239" t="s">
        <v>27</v>
      </c>
      <c r="G239">
        <v>1</v>
      </c>
      <c r="H239" t="s">
        <v>1183</v>
      </c>
      <c r="I239" t="s">
        <v>1200</v>
      </c>
      <c r="J239" t="s">
        <v>1201</v>
      </c>
      <c r="K239" t="s">
        <v>1200</v>
      </c>
      <c r="L239" t="s">
        <v>83</v>
      </c>
      <c r="M239" s="1" t="str">
        <f t="shared" si="21"/>
        <v>15B405</v>
      </c>
      <c r="N239" s="1" t="str">
        <f t="shared" si="22"/>
        <v>C/O</v>
      </c>
      <c r="O239" s="1" t="str">
        <f t="shared" si="23"/>
        <v>Eng Cool Fan Pump RH P/Drv 2</v>
      </c>
      <c r="P239" s="1" t="str">
        <f t="shared" si="24"/>
        <v>6P60</v>
      </c>
      <c r="Q239" s="2" t="str">
        <f t="shared" si="25"/>
        <v>6P60Eng Cool Fan Pump RH P/Drv 2</v>
      </c>
      <c r="R239" s="2" t="str">
        <f>New_Xref[[#This Row],[Serial Prefix]]&amp;IF(New_Xref[[#This Row],[Func Loc]]&lt;&gt;"",New_Xref[[#This Row],[Func Loc]],"NO MATCH")</f>
        <v>6P60NO MATCH</v>
      </c>
      <c r="S239" s="3" t="str">
        <f t="shared" si="26"/>
        <v>6P6020R2016Eng Cool Fan Pump RH P/Drv 2</v>
      </c>
      <c r="T239" s="3" t="s">
        <v>869</v>
      </c>
      <c r="U239" s="3" t="s">
        <v>99</v>
      </c>
      <c r="V239" t="str">
        <f t="shared" si="27"/>
        <v>1387RR</v>
      </c>
    </row>
    <row r="240" spans="1:22">
      <c r="A240" t="s">
        <v>1086</v>
      </c>
      <c r="B240" t="s">
        <v>1087</v>
      </c>
      <c r="C240" t="s">
        <v>875</v>
      </c>
      <c r="D240" t="s">
        <v>876</v>
      </c>
      <c r="E240" t="s">
        <v>877</v>
      </c>
      <c r="F240" t="s">
        <v>27</v>
      </c>
      <c r="G240">
        <v>1</v>
      </c>
      <c r="H240" t="s">
        <v>1202</v>
      </c>
      <c r="I240" t="s">
        <v>1092</v>
      </c>
      <c r="J240" t="s">
        <v>1203</v>
      </c>
      <c r="K240" t="s">
        <v>1204</v>
      </c>
      <c r="L240" t="s">
        <v>1205</v>
      </c>
      <c r="M240" s="1" t="str">
        <f t="shared" si="21"/>
        <v>15B290</v>
      </c>
      <c r="N240" s="1" t="str">
        <f t="shared" si="22"/>
        <v>C/O</v>
      </c>
      <c r="O240" s="1" t="str">
        <f t="shared" si="23"/>
        <v>Engine LH Starter Motor Lower</v>
      </c>
      <c r="P240" s="1" t="str">
        <f t="shared" si="24"/>
        <v>6D60</v>
      </c>
      <c r="Q240" s="2" t="str">
        <f t="shared" si="25"/>
        <v>6D60Engine LH Starter Motor Lower</v>
      </c>
      <c r="R240" s="2" t="str">
        <f>New_Xref[[#This Row],[Serial Prefix]]&amp;IF(New_Xref[[#This Row],[Func Loc]]&lt;&gt;"",New_Xref[[#This Row],[Func Loc]],"NO MATCH")</f>
        <v>6D60LVEL .STSY.SMLL</v>
      </c>
      <c r="S240" s="3" t="str">
        <f t="shared" si="26"/>
        <v>6D6020R1312Engine LH Starter Motor Lower</v>
      </c>
      <c r="T240" s="3" t="s">
        <v>881</v>
      </c>
      <c r="U240" s="3" t="s">
        <v>34</v>
      </c>
      <c r="V240" t="str">
        <f t="shared" si="27"/>
        <v>145300</v>
      </c>
    </row>
    <row r="241" spans="1:22">
      <c r="A241" t="s">
        <v>1086</v>
      </c>
      <c r="B241" t="s">
        <v>1087</v>
      </c>
      <c r="C241" t="s">
        <v>875</v>
      </c>
      <c r="D241" t="s">
        <v>876</v>
      </c>
      <c r="E241" t="s">
        <v>877</v>
      </c>
      <c r="F241" t="s">
        <v>27</v>
      </c>
      <c r="G241">
        <v>1</v>
      </c>
      <c r="H241" t="s">
        <v>1202</v>
      </c>
      <c r="I241" t="s">
        <v>1092</v>
      </c>
      <c r="J241" t="s">
        <v>1206</v>
      </c>
      <c r="K241" t="s">
        <v>1207</v>
      </c>
      <c r="L241" t="s">
        <v>1208</v>
      </c>
      <c r="M241" s="1" t="str">
        <f t="shared" si="21"/>
        <v>15B290</v>
      </c>
      <c r="N241" s="1" t="str">
        <f t="shared" si="22"/>
        <v>C/O</v>
      </c>
      <c r="O241" s="1" t="str">
        <f t="shared" si="23"/>
        <v>Engine LH Starter Motor Upper</v>
      </c>
      <c r="P241" s="1" t="str">
        <f t="shared" si="24"/>
        <v>6D60</v>
      </c>
      <c r="Q241" s="2" t="str">
        <f t="shared" si="25"/>
        <v>6D60Engine LH Starter Motor Upper</v>
      </c>
      <c r="R241" s="2" t="str">
        <f>New_Xref[[#This Row],[Serial Prefix]]&amp;IF(New_Xref[[#This Row],[Func Loc]]&lt;&gt;"",New_Xref[[#This Row],[Func Loc]],"NO MATCH")</f>
        <v>6D60LVEL .STSY.SMLU</v>
      </c>
      <c r="S241" s="3" t="str">
        <f t="shared" si="26"/>
        <v>6D6020R1312Engine LH Starter Motor Upper</v>
      </c>
      <c r="T241" s="3" t="s">
        <v>881</v>
      </c>
      <c r="U241" s="3" t="s">
        <v>34</v>
      </c>
      <c r="V241" t="str">
        <f t="shared" si="27"/>
        <v>145300</v>
      </c>
    </row>
    <row r="242" spans="1:22">
      <c r="A242" t="s">
        <v>1086</v>
      </c>
      <c r="B242" t="s">
        <v>1087</v>
      </c>
      <c r="C242" t="s">
        <v>875</v>
      </c>
      <c r="D242" t="s">
        <v>876</v>
      </c>
      <c r="E242" t="s">
        <v>877</v>
      </c>
      <c r="F242" t="s">
        <v>27</v>
      </c>
      <c r="G242">
        <v>1</v>
      </c>
      <c r="H242" t="s">
        <v>1202</v>
      </c>
      <c r="I242" t="s">
        <v>1099</v>
      </c>
      <c r="J242" t="s">
        <v>1209</v>
      </c>
      <c r="K242" t="s">
        <v>1210</v>
      </c>
      <c r="L242" t="s">
        <v>1211</v>
      </c>
      <c r="M242" s="1" t="str">
        <f t="shared" si="21"/>
        <v>15B290</v>
      </c>
      <c r="N242" s="1" t="str">
        <f t="shared" si="22"/>
        <v>C/O</v>
      </c>
      <c r="O242" s="1" t="str">
        <f t="shared" si="23"/>
        <v>Engine RH Starter Motor Lower</v>
      </c>
      <c r="P242" s="1" t="str">
        <f t="shared" si="24"/>
        <v>6D60</v>
      </c>
      <c r="Q242" s="2" t="str">
        <f t="shared" si="25"/>
        <v>6D60Engine RH Starter Motor Lower</v>
      </c>
      <c r="R242" s="2" t="str">
        <f>New_Xref[[#This Row],[Serial Prefix]]&amp;IF(New_Xref[[#This Row],[Func Loc]]&lt;&gt;"",New_Xref[[#This Row],[Func Loc]],"NO MATCH")</f>
        <v>6D60LVEL .STSY.SMRL</v>
      </c>
      <c r="S242" s="3" t="str">
        <f t="shared" si="26"/>
        <v>6D6020R1312Engine RH Starter Motor Lower</v>
      </c>
      <c r="T242" s="3" t="s">
        <v>881</v>
      </c>
      <c r="U242" s="3" t="s">
        <v>34</v>
      </c>
      <c r="V242" t="str">
        <f t="shared" si="27"/>
        <v>145300</v>
      </c>
    </row>
    <row r="243" spans="1:22">
      <c r="A243" t="s">
        <v>1086</v>
      </c>
      <c r="B243" t="s">
        <v>1087</v>
      </c>
      <c r="C243" t="s">
        <v>875</v>
      </c>
      <c r="D243" t="s">
        <v>876</v>
      </c>
      <c r="E243" t="s">
        <v>877</v>
      </c>
      <c r="F243" t="s">
        <v>27</v>
      </c>
      <c r="G243">
        <v>1</v>
      </c>
      <c r="H243" t="s">
        <v>1202</v>
      </c>
      <c r="I243" t="s">
        <v>1099</v>
      </c>
      <c r="J243" t="s">
        <v>1212</v>
      </c>
      <c r="K243" t="s">
        <v>1213</v>
      </c>
      <c r="L243" t="s">
        <v>1214</v>
      </c>
      <c r="M243" s="1" t="str">
        <f t="shared" si="21"/>
        <v>15B290</v>
      </c>
      <c r="N243" s="1" t="str">
        <f t="shared" si="22"/>
        <v>C/O</v>
      </c>
      <c r="O243" s="1" t="str">
        <f t="shared" si="23"/>
        <v>Engine RH Starter Motor Upper</v>
      </c>
      <c r="P243" s="1" t="str">
        <f t="shared" si="24"/>
        <v>6D60</v>
      </c>
      <c r="Q243" s="2" t="str">
        <f t="shared" si="25"/>
        <v>6D60Engine RH Starter Motor Upper</v>
      </c>
      <c r="R243" s="2" t="str">
        <f>New_Xref[[#This Row],[Serial Prefix]]&amp;IF(New_Xref[[#This Row],[Func Loc]]&lt;&gt;"",New_Xref[[#This Row],[Func Loc]],"NO MATCH")</f>
        <v>6D60LVEL .STSY.SMRU</v>
      </c>
      <c r="S243" s="3" t="str">
        <f t="shared" si="26"/>
        <v>6D6020R1312Engine RH Starter Motor Upper</v>
      </c>
      <c r="T243" s="3" t="s">
        <v>881</v>
      </c>
      <c r="U243" s="3" t="s">
        <v>34</v>
      </c>
      <c r="V243" t="str">
        <f t="shared" si="27"/>
        <v>145300</v>
      </c>
    </row>
    <row r="244" spans="1:22">
      <c r="A244" t="s">
        <v>1086</v>
      </c>
      <c r="B244" t="s">
        <v>1132</v>
      </c>
      <c r="C244" t="s">
        <v>1215</v>
      </c>
      <c r="D244" t="s">
        <v>1216</v>
      </c>
      <c r="E244" t="s">
        <v>1217</v>
      </c>
      <c r="F244" t="s">
        <v>27</v>
      </c>
      <c r="G244">
        <v>1</v>
      </c>
      <c r="H244" t="s">
        <v>1218</v>
      </c>
      <c r="I244" t="s">
        <v>1219</v>
      </c>
      <c r="J244" t="s">
        <v>1220</v>
      </c>
      <c r="K244" t="s">
        <v>1221</v>
      </c>
      <c r="L244" t="s">
        <v>83</v>
      </c>
      <c r="M244" s="1" t="str">
        <f t="shared" si="21"/>
        <v>15H402</v>
      </c>
      <c r="N244" s="1" t="str">
        <f t="shared" si="22"/>
        <v>Ovhl</v>
      </c>
      <c r="O244" s="1" t="str">
        <f t="shared" si="23"/>
        <v>Air Conditioner LH Minor</v>
      </c>
      <c r="P244" s="1" t="str">
        <f t="shared" si="24"/>
        <v>6D60</v>
      </c>
      <c r="Q244" s="2" t="str">
        <f t="shared" si="25"/>
        <v>6D60Air Conditioner LH Minor</v>
      </c>
      <c r="R244" s="2" t="str">
        <f>New_Xref[[#This Row],[Serial Prefix]]&amp;IF(New_Xref[[#This Row],[Func Loc]]&lt;&gt;"",New_Xref[[#This Row],[Func Loc]],"NO MATCH")</f>
        <v>6D60NO MATCH</v>
      </c>
      <c r="S244" s="3" t="str">
        <f t="shared" si="26"/>
        <v>6D604190777Air Conditioner LH Minor</v>
      </c>
      <c r="T244" s="3" t="s">
        <v>1222</v>
      </c>
      <c r="U244" s="3" t="s">
        <v>83</v>
      </c>
      <c r="V244" t="e">
        <f t="shared" si="27"/>
        <v>#VALUE!</v>
      </c>
    </row>
    <row r="245" spans="1:22">
      <c r="A245" t="s">
        <v>1086</v>
      </c>
      <c r="B245" t="s">
        <v>1087</v>
      </c>
      <c r="C245" t="s">
        <v>1215</v>
      </c>
      <c r="D245" t="s">
        <v>1216</v>
      </c>
      <c r="E245" t="s">
        <v>1217</v>
      </c>
      <c r="F245" t="s">
        <v>27</v>
      </c>
      <c r="G245">
        <v>1</v>
      </c>
      <c r="H245" t="s">
        <v>1223</v>
      </c>
      <c r="I245" t="s">
        <v>1224</v>
      </c>
      <c r="J245" t="s">
        <v>1225</v>
      </c>
      <c r="K245" t="s">
        <v>1224</v>
      </c>
      <c r="L245" t="s">
        <v>83</v>
      </c>
      <c r="M245" s="1" t="str">
        <f t="shared" si="21"/>
        <v>15B290</v>
      </c>
      <c r="N245" s="1" t="str">
        <f t="shared" si="22"/>
        <v>C/O</v>
      </c>
      <c r="O245" s="1" t="str">
        <f t="shared" si="23"/>
        <v>Air Con Drive Motor LH</v>
      </c>
      <c r="P245" s="1" t="str">
        <f t="shared" si="24"/>
        <v>6D60</v>
      </c>
      <c r="Q245" s="2" t="str">
        <f t="shared" si="25"/>
        <v>6D60Air Con Drive Motor LH</v>
      </c>
      <c r="R245" s="2" t="str">
        <f>New_Xref[[#This Row],[Serial Prefix]]&amp;IF(New_Xref[[#This Row],[Func Loc]]&lt;&gt;"",New_Xref[[#This Row],[Func Loc]],"NO MATCH")</f>
        <v>6D60NO MATCH</v>
      </c>
      <c r="S245" s="3" t="str">
        <f t="shared" si="26"/>
        <v>6D604190777Air Con Drive Motor LH</v>
      </c>
      <c r="T245" s="3" t="s">
        <v>1222</v>
      </c>
      <c r="U245" s="3" t="s">
        <v>34</v>
      </c>
      <c r="V245" t="str">
        <f t="shared" si="27"/>
        <v>180200</v>
      </c>
    </row>
    <row r="246" spans="1:22">
      <c r="A246" t="s">
        <v>1086</v>
      </c>
      <c r="B246" t="s">
        <v>1087</v>
      </c>
      <c r="C246" t="s">
        <v>1215</v>
      </c>
      <c r="D246" t="s">
        <v>1216</v>
      </c>
      <c r="E246" t="s">
        <v>1217</v>
      </c>
      <c r="F246" t="s">
        <v>27</v>
      </c>
      <c r="G246">
        <v>1</v>
      </c>
      <c r="H246" t="s">
        <v>1223</v>
      </c>
      <c r="I246" t="s">
        <v>1226</v>
      </c>
      <c r="J246" t="s">
        <v>1227</v>
      </c>
      <c r="K246" t="s">
        <v>1226</v>
      </c>
      <c r="L246" t="s">
        <v>83</v>
      </c>
      <c r="M246" s="1" t="str">
        <f t="shared" si="21"/>
        <v>15B290</v>
      </c>
      <c r="N246" s="1" t="str">
        <f t="shared" si="22"/>
        <v>C/O</v>
      </c>
      <c r="O246" s="1" t="str">
        <f t="shared" si="23"/>
        <v>Air Con Drive Motor RH</v>
      </c>
      <c r="P246" s="1" t="str">
        <f t="shared" si="24"/>
        <v>6D60</v>
      </c>
      <c r="Q246" s="2" t="str">
        <f t="shared" si="25"/>
        <v>6D60Air Con Drive Motor RH</v>
      </c>
      <c r="R246" s="2" t="str">
        <f>New_Xref[[#This Row],[Serial Prefix]]&amp;IF(New_Xref[[#This Row],[Func Loc]]&lt;&gt;"",New_Xref[[#This Row],[Func Loc]],"NO MATCH")</f>
        <v>6D60NO MATCH</v>
      </c>
      <c r="S246" s="3" t="str">
        <f t="shared" si="26"/>
        <v>6D604190777Air Con Drive Motor RH</v>
      </c>
      <c r="T246" s="3" t="s">
        <v>1222</v>
      </c>
      <c r="U246" s="3" t="s">
        <v>34</v>
      </c>
      <c r="V246" t="str">
        <f t="shared" si="27"/>
        <v>180200</v>
      </c>
    </row>
    <row r="247" spans="1:22">
      <c r="A247" t="s">
        <v>1086</v>
      </c>
      <c r="B247" t="s">
        <v>1087</v>
      </c>
      <c r="C247" t="s">
        <v>1228</v>
      </c>
      <c r="D247" t="s">
        <v>1229</v>
      </c>
      <c r="E247" t="s">
        <v>1230</v>
      </c>
      <c r="F247" t="s">
        <v>27</v>
      </c>
      <c r="G247">
        <v>1</v>
      </c>
      <c r="H247" t="s">
        <v>1231</v>
      </c>
      <c r="I247" t="s">
        <v>1232</v>
      </c>
      <c r="J247" t="s">
        <v>1233</v>
      </c>
      <c r="K247" t="s">
        <v>1232</v>
      </c>
      <c r="L247" t="s">
        <v>83</v>
      </c>
      <c r="M247" s="1" t="str">
        <f t="shared" si="21"/>
        <v>15B290</v>
      </c>
      <c r="N247" s="1" t="str">
        <f t="shared" si="22"/>
        <v>C/O</v>
      </c>
      <c r="O247" s="1" t="str">
        <f t="shared" si="23"/>
        <v>Main Pump Drive Trans LH</v>
      </c>
      <c r="P247" s="1" t="str">
        <f t="shared" si="24"/>
        <v>6D60</v>
      </c>
      <c r="Q247" s="2" t="str">
        <f t="shared" si="25"/>
        <v>6D60Main Pump Drive Trans LH</v>
      </c>
      <c r="R247" s="2" t="str">
        <f>New_Xref[[#This Row],[Serial Prefix]]&amp;IF(New_Xref[[#This Row],[Func Loc]]&lt;&gt;"",New_Xref[[#This Row],[Func Loc]],"NO MATCH")</f>
        <v>6D60NO MATCH</v>
      </c>
      <c r="S247" s="3" t="str">
        <f t="shared" si="26"/>
        <v>6D605091024XMain Pump Drive Trans LH</v>
      </c>
      <c r="T247" s="3" t="s">
        <v>1234</v>
      </c>
      <c r="U247" s="3" t="s">
        <v>108</v>
      </c>
      <c r="V247" t="str">
        <f t="shared" si="27"/>
        <v>3108LT</v>
      </c>
    </row>
    <row r="248" spans="1:22">
      <c r="A248" t="s">
        <v>1086</v>
      </c>
      <c r="B248" t="s">
        <v>1087</v>
      </c>
      <c r="C248" t="s">
        <v>1228</v>
      </c>
      <c r="D248" t="s">
        <v>1229</v>
      </c>
      <c r="E248" t="s">
        <v>1230</v>
      </c>
      <c r="F248" t="s">
        <v>27</v>
      </c>
      <c r="G248">
        <v>1</v>
      </c>
      <c r="H248" t="s">
        <v>1231</v>
      </c>
      <c r="I248" t="s">
        <v>1235</v>
      </c>
      <c r="J248" t="s">
        <v>1236</v>
      </c>
      <c r="K248" t="s">
        <v>1235</v>
      </c>
      <c r="L248" t="s">
        <v>83</v>
      </c>
      <c r="M248" s="1" t="str">
        <f t="shared" si="21"/>
        <v>15B290</v>
      </c>
      <c r="N248" s="1" t="str">
        <f t="shared" si="22"/>
        <v>C/O</v>
      </c>
      <c r="O248" s="1" t="str">
        <f t="shared" si="23"/>
        <v>Main Pump Drive Trans RH</v>
      </c>
      <c r="P248" s="1" t="str">
        <f t="shared" si="24"/>
        <v>6D60</v>
      </c>
      <c r="Q248" s="2" t="str">
        <f t="shared" si="25"/>
        <v>6D60Main Pump Drive Trans RH</v>
      </c>
      <c r="R248" s="2" t="str">
        <f>New_Xref[[#This Row],[Serial Prefix]]&amp;IF(New_Xref[[#This Row],[Func Loc]]&lt;&gt;"",New_Xref[[#This Row],[Func Loc]],"NO MATCH")</f>
        <v>6D60NO MATCH</v>
      </c>
      <c r="S248" s="3" t="str">
        <f t="shared" si="26"/>
        <v>6D605091024XMain Pump Drive Trans RH</v>
      </c>
      <c r="T248" s="3" t="s">
        <v>1234</v>
      </c>
      <c r="U248" s="3" t="s">
        <v>115</v>
      </c>
      <c r="V248" t="str">
        <f t="shared" si="27"/>
        <v>3108RI</v>
      </c>
    </row>
    <row r="249" spans="1:22">
      <c r="A249" t="s">
        <v>1086</v>
      </c>
      <c r="B249" t="s">
        <v>1102</v>
      </c>
      <c r="C249" t="s">
        <v>1228</v>
      </c>
      <c r="D249" t="s">
        <v>1229</v>
      </c>
      <c r="E249" t="s">
        <v>1237</v>
      </c>
      <c r="F249" t="s">
        <v>27</v>
      </c>
      <c r="G249">
        <v>1</v>
      </c>
      <c r="H249" t="s">
        <v>1231</v>
      </c>
      <c r="I249" t="s">
        <v>1238</v>
      </c>
      <c r="J249" t="s">
        <v>1239</v>
      </c>
      <c r="K249" t="s">
        <v>1238</v>
      </c>
      <c r="L249" t="s">
        <v>83</v>
      </c>
      <c r="M249" s="1" t="str">
        <f t="shared" si="21"/>
        <v>15B405</v>
      </c>
      <c r="N249" s="1" t="str">
        <f t="shared" si="22"/>
        <v>C/O</v>
      </c>
      <c r="O249" s="1" t="str">
        <f t="shared" si="23"/>
        <v>Main Pump Drive Trans LH</v>
      </c>
      <c r="P249" s="1" t="str">
        <f t="shared" si="24"/>
        <v>6P60</v>
      </c>
      <c r="Q249" s="2" t="str">
        <f t="shared" si="25"/>
        <v>6P60Main Pump Drive Trans LH</v>
      </c>
      <c r="R249" s="2" t="str">
        <f>New_Xref[[#This Row],[Serial Prefix]]&amp;IF(New_Xref[[#This Row],[Func Loc]]&lt;&gt;"",New_Xref[[#This Row],[Func Loc]],"NO MATCH")</f>
        <v>6P60NO MATCH</v>
      </c>
      <c r="S249" s="3" t="str">
        <f t="shared" si="26"/>
        <v>6P605091024XMain Pump Drive Trans LH</v>
      </c>
      <c r="T249" s="3" t="s">
        <v>1234</v>
      </c>
      <c r="U249" s="3" t="s">
        <v>108</v>
      </c>
      <c r="V249" t="str">
        <f t="shared" si="27"/>
        <v>3108LT</v>
      </c>
    </row>
    <row r="250" spans="1:22">
      <c r="A250" t="s">
        <v>1086</v>
      </c>
      <c r="B250" t="s">
        <v>1102</v>
      </c>
      <c r="C250" t="s">
        <v>1228</v>
      </c>
      <c r="D250" t="s">
        <v>1229</v>
      </c>
      <c r="E250" t="s">
        <v>1237</v>
      </c>
      <c r="F250" t="s">
        <v>27</v>
      </c>
      <c r="G250">
        <v>1</v>
      </c>
      <c r="H250" t="s">
        <v>1231</v>
      </c>
      <c r="I250" t="s">
        <v>1240</v>
      </c>
      <c r="J250" t="s">
        <v>1241</v>
      </c>
      <c r="K250" t="s">
        <v>1240</v>
      </c>
      <c r="L250" t="s">
        <v>83</v>
      </c>
      <c r="M250" s="1" t="str">
        <f t="shared" si="21"/>
        <v>15B405</v>
      </c>
      <c r="N250" s="1" t="str">
        <f t="shared" si="22"/>
        <v>C/O</v>
      </c>
      <c r="O250" s="1" t="str">
        <f t="shared" si="23"/>
        <v>Main Pump Drive Trans RH</v>
      </c>
      <c r="P250" s="1" t="str">
        <f t="shared" si="24"/>
        <v>6P60</v>
      </c>
      <c r="Q250" s="2" t="str">
        <f t="shared" si="25"/>
        <v>6P60Main Pump Drive Trans RH</v>
      </c>
      <c r="R250" s="2" t="str">
        <f>New_Xref[[#This Row],[Serial Prefix]]&amp;IF(New_Xref[[#This Row],[Func Loc]]&lt;&gt;"",New_Xref[[#This Row],[Func Loc]],"NO MATCH")</f>
        <v>6P60NO MATCH</v>
      </c>
      <c r="S250" s="3" t="str">
        <f t="shared" si="26"/>
        <v>6P605091024XMain Pump Drive Trans RH</v>
      </c>
      <c r="T250" s="3" t="s">
        <v>1234</v>
      </c>
      <c r="U250" s="3" t="s">
        <v>115</v>
      </c>
      <c r="V250" t="str">
        <f t="shared" si="27"/>
        <v>3108RI</v>
      </c>
    </row>
    <row r="251" spans="1:22">
      <c r="A251" t="s">
        <v>1086</v>
      </c>
      <c r="B251" t="s">
        <v>1087</v>
      </c>
      <c r="C251" t="s">
        <v>1242</v>
      </c>
      <c r="D251" t="s">
        <v>1243</v>
      </c>
      <c r="E251" t="s">
        <v>1244</v>
      </c>
      <c r="F251" t="s">
        <v>27</v>
      </c>
      <c r="G251">
        <v>1</v>
      </c>
      <c r="H251" t="s">
        <v>1245</v>
      </c>
      <c r="I251" t="s">
        <v>1246</v>
      </c>
      <c r="J251" t="s">
        <v>1247</v>
      </c>
      <c r="K251" t="s">
        <v>1246</v>
      </c>
      <c r="L251" t="s">
        <v>907</v>
      </c>
      <c r="M251" s="1" t="str">
        <f t="shared" si="21"/>
        <v>15B290</v>
      </c>
      <c r="N251" s="1" t="str">
        <f t="shared" si="22"/>
        <v>C/O</v>
      </c>
      <c r="O251" s="1" t="str">
        <f t="shared" si="23"/>
        <v>Final Drive LH</v>
      </c>
      <c r="P251" s="1" t="str">
        <f t="shared" si="24"/>
        <v>6D60</v>
      </c>
      <c r="Q251" s="2" t="str">
        <f t="shared" si="25"/>
        <v>6D60Final Drive LH</v>
      </c>
      <c r="R251" s="2" t="str">
        <f>New_Xref[[#This Row],[Serial Prefix]]&amp;IF(New_Xref[[#This Row],[Func Loc]]&lt;&gt;"",New_Xref[[#This Row],[Func Loc]],"NO MATCH")</f>
        <v>6D60FDRV .FIDR.FDLH</v>
      </c>
      <c r="S251" s="3" t="str">
        <f t="shared" si="26"/>
        <v>6D605507311XFinal Drive LH</v>
      </c>
      <c r="T251" s="3" t="s">
        <v>908</v>
      </c>
      <c r="U251" s="3" t="s">
        <v>108</v>
      </c>
      <c r="V251" t="str">
        <f t="shared" si="27"/>
        <v>4050LT</v>
      </c>
    </row>
    <row r="252" spans="1:22">
      <c r="A252" t="s">
        <v>1086</v>
      </c>
      <c r="B252" t="s">
        <v>1087</v>
      </c>
      <c r="C252" t="s">
        <v>1242</v>
      </c>
      <c r="D252" t="s">
        <v>1243</v>
      </c>
      <c r="E252" t="s">
        <v>1244</v>
      </c>
      <c r="F252" t="s">
        <v>27</v>
      </c>
      <c r="G252">
        <v>1</v>
      </c>
      <c r="H252" t="s">
        <v>1245</v>
      </c>
      <c r="I252" t="s">
        <v>1248</v>
      </c>
      <c r="J252" t="s">
        <v>1249</v>
      </c>
      <c r="K252" t="s">
        <v>1248</v>
      </c>
      <c r="L252" t="s">
        <v>911</v>
      </c>
      <c r="M252" s="1" t="str">
        <f t="shared" si="21"/>
        <v>15B290</v>
      </c>
      <c r="N252" s="1" t="str">
        <f t="shared" si="22"/>
        <v>C/O</v>
      </c>
      <c r="O252" s="1" t="str">
        <f t="shared" si="23"/>
        <v>Final Drive RH</v>
      </c>
      <c r="P252" s="1" t="str">
        <f t="shared" si="24"/>
        <v>6D60</v>
      </c>
      <c r="Q252" s="2" t="str">
        <f t="shared" si="25"/>
        <v>6D60Final Drive RH</v>
      </c>
      <c r="R252" s="2" t="str">
        <f>New_Xref[[#This Row],[Serial Prefix]]&amp;IF(New_Xref[[#This Row],[Func Loc]]&lt;&gt;"",New_Xref[[#This Row],[Func Loc]],"NO MATCH")</f>
        <v>6D60FDRV .FIDR.FDRH</v>
      </c>
      <c r="S252" s="3" t="str">
        <f t="shared" si="26"/>
        <v>6D605507311XFinal Drive RH</v>
      </c>
      <c r="T252" s="3" t="s">
        <v>908</v>
      </c>
      <c r="U252" s="3" t="s">
        <v>115</v>
      </c>
      <c r="V252" t="str">
        <f t="shared" si="27"/>
        <v>4050RI</v>
      </c>
    </row>
    <row r="253" spans="1:22">
      <c r="A253" t="s">
        <v>1086</v>
      </c>
      <c r="B253" t="s">
        <v>1102</v>
      </c>
      <c r="C253" t="s">
        <v>1242</v>
      </c>
      <c r="D253" t="s">
        <v>1243</v>
      </c>
      <c r="E253" t="s">
        <v>1244</v>
      </c>
      <c r="F253" t="s">
        <v>27</v>
      </c>
      <c r="G253">
        <v>1</v>
      </c>
      <c r="H253" t="s">
        <v>1245</v>
      </c>
      <c r="I253" t="s">
        <v>1250</v>
      </c>
      <c r="J253" t="s">
        <v>1251</v>
      </c>
      <c r="K253" t="s">
        <v>1250</v>
      </c>
      <c r="L253" t="s">
        <v>907</v>
      </c>
      <c r="M253" s="1" t="str">
        <f t="shared" si="21"/>
        <v>15B405</v>
      </c>
      <c r="N253" s="1" t="str">
        <f t="shared" si="22"/>
        <v>C/O</v>
      </c>
      <c r="O253" s="1" t="str">
        <f t="shared" si="23"/>
        <v>Final Drive LH</v>
      </c>
      <c r="P253" s="1" t="str">
        <f t="shared" si="24"/>
        <v>6P60</v>
      </c>
      <c r="Q253" s="2" t="str">
        <f t="shared" si="25"/>
        <v>6P60Final Drive LH</v>
      </c>
      <c r="R253" s="2" t="str">
        <f>New_Xref[[#This Row],[Serial Prefix]]&amp;IF(New_Xref[[#This Row],[Func Loc]]&lt;&gt;"",New_Xref[[#This Row],[Func Loc]],"NO MATCH")</f>
        <v>6P60FDRV .FIDR.FDLH</v>
      </c>
      <c r="S253" s="3" t="str">
        <f t="shared" si="26"/>
        <v>6P605507311XFinal Drive LH</v>
      </c>
      <c r="T253" s="3" t="s">
        <v>908</v>
      </c>
      <c r="U253" s="3" t="s">
        <v>108</v>
      </c>
      <c r="V253" t="str">
        <f t="shared" si="27"/>
        <v>4050LT</v>
      </c>
    </row>
    <row r="254" spans="1:22">
      <c r="A254" t="s">
        <v>1086</v>
      </c>
      <c r="B254" t="s">
        <v>1102</v>
      </c>
      <c r="C254" t="s">
        <v>1242</v>
      </c>
      <c r="D254" t="s">
        <v>1243</v>
      </c>
      <c r="E254" t="s">
        <v>1244</v>
      </c>
      <c r="F254" t="s">
        <v>27</v>
      </c>
      <c r="G254">
        <v>1</v>
      </c>
      <c r="H254" t="s">
        <v>1245</v>
      </c>
      <c r="I254" t="s">
        <v>1252</v>
      </c>
      <c r="J254" t="s">
        <v>1253</v>
      </c>
      <c r="K254" t="s">
        <v>1252</v>
      </c>
      <c r="L254" t="s">
        <v>911</v>
      </c>
      <c r="M254" s="1" t="str">
        <f t="shared" si="21"/>
        <v>15B405</v>
      </c>
      <c r="N254" s="1" t="str">
        <f t="shared" si="22"/>
        <v>C/O</v>
      </c>
      <c r="O254" s="1" t="str">
        <f t="shared" si="23"/>
        <v>Final Drive RH</v>
      </c>
      <c r="P254" s="1" t="str">
        <f t="shared" si="24"/>
        <v>6P60</v>
      </c>
      <c r="Q254" s="2" t="str">
        <f t="shared" si="25"/>
        <v>6P60Final Drive RH</v>
      </c>
      <c r="R254" s="2" t="str">
        <f>New_Xref[[#This Row],[Serial Prefix]]&amp;IF(New_Xref[[#This Row],[Func Loc]]&lt;&gt;"",New_Xref[[#This Row],[Func Loc]],"NO MATCH")</f>
        <v>6P60FDRV .FIDR.FDRH</v>
      </c>
      <c r="S254" s="3" t="str">
        <f t="shared" si="26"/>
        <v>6P605507311XFinal Drive RH</v>
      </c>
      <c r="T254" s="3" t="s">
        <v>908</v>
      </c>
      <c r="U254" s="3" t="s">
        <v>115</v>
      </c>
      <c r="V254" t="str">
        <f t="shared" si="27"/>
        <v>4050RI</v>
      </c>
    </row>
    <row r="255" spans="1:22">
      <c r="A255" t="s">
        <v>1086</v>
      </c>
      <c r="B255" t="s">
        <v>1087</v>
      </c>
      <c r="C255" t="s">
        <v>1254</v>
      </c>
      <c r="D255" t="s">
        <v>1255</v>
      </c>
      <c r="E255" t="s">
        <v>1256</v>
      </c>
      <c r="F255" t="s">
        <v>27</v>
      </c>
      <c r="G255">
        <v>2</v>
      </c>
      <c r="H255" t="s">
        <v>1257</v>
      </c>
      <c r="I255" t="s">
        <v>1258</v>
      </c>
      <c r="J255" t="s">
        <v>1259</v>
      </c>
      <c r="K255" t="s">
        <v>1258</v>
      </c>
      <c r="L255" t="s">
        <v>918</v>
      </c>
      <c r="M255" s="1" t="str">
        <f t="shared" si="21"/>
        <v>15B290</v>
      </c>
      <c r="N255" s="1" t="str">
        <f t="shared" si="22"/>
        <v>C/O</v>
      </c>
      <c r="O255" s="1" t="str">
        <f t="shared" si="23"/>
        <v>Carrier Rollers LH</v>
      </c>
      <c r="P255" s="1" t="str">
        <f t="shared" si="24"/>
        <v>6D60</v>
      </c>
      <c r="Q255" s="2" t="str">
        <f t="shared" si="25"/>
        <v>6D60Carrier Rollers LH</v>
      </c>
      <c r="R255" s="2" t="str">
        <f>New_Xref[[#This Row],[Serial Prefix]]&amp;IF(New_Xref[[#This Row],[Func Loc]]&lt;&gt;"",New_Xref[[#This Row],[Func Loc]],"NO MATCH")</f>
        <v>6D60STRU .TFLH.CARO</v>
      </c>
      <c r="S255" s="3" t="str">
        <f t="shared" si="26"/>
        <v>6D604579635Carrier Rollers LH</v>
      </c>
      <c r="T255" s="3" t="s">
        <v>919</v>
      </c>
      <c r="U255" s="3" t="s">
        <v>89</v>
      </c>
      <c r="V255" t="str">
        <f t="shared" si="27"/>
        <v>4154LF</v>
      </c>
    </row>
    <row r="256" spans="1:22">
      <c r="A256" t="s">
        <v>1086</v>
      </c>
      <c r="B256" t="s">
        <v>1087</v>
      </c>
      <c r="C256" t="s">
        <v>1254</v>
      </c>
      <c r="D256" t="s">
        <v>1255</v>
      </c>
      <c r="E256" t="s">
        <v>1256</v>
      </c>
      <c r="F256" t="s">
        <v>27</v>
      </c>
      <c r="G256">
        <v>2</v>
      </c>
      <c r="H256" t="s">
        <v>1257</v>
      </c>
      <c r="I256" t="s">
        <v>1260</v>
      </c>
      <c r="J256" t="s">
        <v>1261</v>
      </c>
      <c r="K256" t="s">
        <v>1260</v>
      </c>
      <c r="L256" t="s">
        <v>922</v>
      </c>
      <c r="M256" s="1" t="str">
        <f t="shared" si="21"/>
        <v>15B290</v>
      </c>
      <c r="N256" s="1" t="str">
        <f t="shared" si="22"/>
        <v>C/O</v>
      </c>
      <c r="O256" s="1" t="str">
        <f t="shared" si="23"/>
        <v>Carrier Rollers RH</v>
      </c>
      <c r="P256" s="1" t="str">
        <f t="shared" si="24"/>
        <v>6D60</v>
      </c>
      <c r="Q256" s="2" t="str">
        <f t="shared" si="25"/>
        <v>6D60Carrier Rollers RH</v>
      </c>
      <c r="R256" s="2" t="str">
        <f>New_Xref[[#This Row],[Serial Prefix]]&amp;IF(New_Xref[[#This Row],[Func Loc]]&lt;&gt;"",New_Xref[[#This Row],[Func Loc]],"NO MATCH")</f>
        <v>6D60STRU .TFRH.CARO</v>
      </c>
      <c r="S256" s="3" t="str">
        <f t="shared" si="26"/>
        <v>6D604579635Carrier Rollers RH</v>
      </c>
      <c r="T256" s="3" t="s">
        <v>919</v>
      </c>
      <c r="U256" s="3" t="s">
        <v>92</v>
      </c>
      <c r="V256" t="str">
        <f t="shared" si="27"/>
        <v>4154RF</v>
      </c>
    </row>
    <row r="257" spans="1:22">
      <c r="A257" t="s">
        <v>1086</v>
      </c>
      <c r="B257" t="s">
        <v>1102</v>
      </c>
      <c r="C257" t="s">
        <v>1254</v>
      </c>
      <c r="D257" t="s">
        <v>1255</v>
      </c>
      <c r="E257" t="s">
        <v>1256</v>
      </c>
      <c r="F257" t="s">
        <v>27</v>
      </c>
      <c r="G257">
        <v>2</v>
      </c>
      <c r="H257" t="s">
        <v>1257</v>
      </c>
      <c r="I257" t="s">
        <v>1262</v>
      </c>
      <c r="J257" t="s">
        <v>1263</v>
      </c>
      <c r="K257" t="s">
        <v>1262</v>
      </c>
      <c r="L257" t="s">
        <v>918</v>
      </c>
      <c r="M257" s="1" t="str">
        <f t="shared" si="21"/>
        <v>15B405</v>
      </c>
      <c r="N257" s="1" t="str">
        <f t="shared" si="22"/>
        <v>C/O</v>
      </c>
      <c r="O257" s="1" t="str">
        <f t="shared" si="23"/>
        <v>Carrier Rollers LH</v>
      </c>
      <c r="P257" s="1" t="str">
        <f t="shared" si="24"/>
        <v>6P60</v>
      </c>
      <c r="Q257" s="2" t="str">
        <f t="shared" si="25"/>
        <v>6P60Carrier Rollers LH</v>
      </c>
      <c r="R257" s="2" t="str">
        <f>New_Xref[[#This Row],[Serial Prefix]]&amp;IF(New_Xref[[#This Row],[Func Loc]]&lt;&gt;"",New_Xref[[#This Row],[Func Loc]],"NO MATCH")</f>
        <v>6P60STRU .TFLH.CARO</v>
      </c>
      <c r="S257" s="3" t="str">
        <f t="shared" si="26"/>
        <v>6P604579635Carrier Rollers LH</v>
      </c>
      <c r="T257" s="3" t="s">
        <v>919</v>
      </c>
      <c r="U257" s="3" t="s">
        <v>89</v>
      </c>
      <c r="V257" t="str">
        <f t="shared" si="27"/>
        <v>4154LF</v>
      </c>
    </row>
    <row r="258" spans="1:22">
      <c r="A258" t="s">
        <v>1086</v>
      </c>
      <c r="B258" t="s">
        <v>1102</v>
      </c>
      <c r="C258" t="s">
        <v>1254</v>
      </c>
      <c r="D258" t="s">
        <v>1255</v>
      </c>
      <c r="E258" t="s">
        <v>1256</v>
      </c>
      <c r="F258" t="s">
        <v>27</v>
      </c>
      <c r="G258">
        <v>2</v>
      </c>
      <c r="H258" t="s">
        <v>1257</v>
      </c>
      <c r="I258" t="s">
        <v>1264</v>
      </c>
      <c r="J258" t="s">
        <v>1265</v>
      </c>
      <c r="K258" t="s">
        <v>1264</v>
      </c>
      <c r="L258" t="s">
        <v>922</v>
      </c>
      <c r="M258" s="1" t="str">
        <f t="shared" ref="M258:M321" si="28">LEFT(K258,FIND(" ",K258,1)-1)</f>
        <v>15B405</v>
      </c>
      <c r="N258" s="1" t="str">
        <f t="shared" ref="N258:N321" si="29">MID(K258,LEN(M258)+2,FIND(" ",K258,LEN(M258)+2)-LEN(M258)-2)</f>
        <v>C/O</v>
      </c>
      <c r="O258" s="1" t="str">
        <f t="shared" ref="O258:O321" si="30">MID(K258,FIND(N258,K258,1)+LEN(N258)+1, 150)</f>
        <v>Carrier Rollers RH</v>
      </c>
      <c r="P258" s="1" t="str">
        <f t="shared" ref="P258:P321" si="31">LEFT(B258,4)</f>
        <v>6P60</v>
      </c>
      <c r="Q258" s="2" t="str">
        <f t="shared" ref="Q258:Q321" si="32">P258&amp;O258</f>
        <v>6P60Carrier Rollers RH</v>
      </c>
      <c r="R258" s="2" t="str">
        <f>New_Xref[[#This Row],[Serial Prefix]]&amp;IF(New_Xref[[#This Row],[Func Loc]]&lt;&gt;"",New_Xref[[#This Row],[Func Loc]],"NO MATCH")</f>
        <v>6P60STRU .TFRH.CARO</v>
      </c>
      <c r="S258" s="3" t="str">
        <f t="shared" ref="S258:S321" si="33">P258&amp;D258&amp;O258</f>
        <v>6P604579635Carrier Rollers RH</v>
      </c>
      <c r="T258" s="3" t="s">
        <v>919</v>
      </c>
      <c r="U258" s="3" t="s">
        <v>92</v>
      </c>
      <c r="V258" t="str">
        <f t="shared" ref="V258:V321" si="34">LEFT(T258,FIND(" -",T258,1)-1)&amp;LEFT(U258,FIND(" -",U258,1)-1)</f>
        <v>4154RF</v>
      </c>
    </row>
    <row r="259" spans="1:22">
      <c r="A259" t="s">
        <v>1086</v>
      </c>
      <c r="B259" t="s">
        <v>1087</v>
      </c>
      <c r="C259" t="s">
        <v>923</v>
      </c>
      <c r="D259" t="s">
        <v>924</v>
      </c>
      <c r="E259" t="s">
        <v>925</v>
      </c>
      <c r="F259" t="s">
        <v>27</v>
      </c>
      <c r="G259">
        <v>1</v>
      </c>
      <c r="H259" t="s">
        <v>1266</v>
      </c>
      <c r="I259" t="s">
        <v>1267</v>
      </c>
      <c r="J259" t="s">
        <v>1268</v>
      </c>
      <c r="K259" t="s">
        <v>1267</v>
      </c>
      <c r="L259" t="s">
        <v>929</v>
      </c>
      <c r="M259" s="1" t="str">
        <f t="shared" si="28"/>
        <v>15B290</v>
      </c>
      <c r="N259" s="1" t="str">
        <f t="shared" si="29"/>
        <v>C/O</v>
      </c>
      <c r="O259" s="1" t="str">
        <f t="shared" si="30"/>
        <v>Track Adjuster LH</v>
      </c>
      <c r="P259" s="1" t="str">
        <f t="shared" si="31"/>
        <v>6D60</v>
      </c>
      <c r="Q259" s="2" t="str">
        <f t="shared" si="32"/>
        <v>6D60Track Adjuster LH</v>
      </c>
      <c r="R259" s="2" t="str">
        <f>New_Xref[[#This Row],[Serial Prefix]]&amp;IF(New_Xref[[#This Row],[Func Loc]]&lt;&gt;"",New_Xref[[#This Row],[Func Loc]],"NO MATCH")</f>
        <v>6D60STRU .TFLH.TRAD</v>
      </c>
      <c r="S259" s="3" t="str">
        <f t="shared" si="33"/>
        <v>6D604671669Track Adjuster LH</v>
      </c>
      <c r="T259" s="3" t="s">
        <v>930</v>
      </c>
      <c r="U259" s="3" t="s">
        <v>108</v>
      </c>
      <c r="V259" t="str">
        <f t="shared" si="34"/>
        <v>4157LT</v>
      </c>
    </row>
    <row r="260" spans="1:22">
      <c r="A260" t="s">
        <v>1086</v>
      </c>
      <c r="B260" t="s">
        <v>1087</v>
      </c>
      <c r="C260" t="s">
        <v>923</v>
      </c>
      <c r="D260" t="s">
        <v>924</v>
      </c>
      <c r="E260" t="s">
        <v>925</v>
      </c>
      <c r="F260" t="s">
        <v>27</v>
      </c>
      <c r="G260">
        <v>1</v>
      </c>
      <c r="H260" t="s">
        <v>1266</v>
      </c>
      <c r="I260" t="s">
        <v>1269</v>
      </c>
      <c r="J260" t="s">
        <v>1270</v>
      </c>
      <c r="K260" t="s">
        <v>1269</v>
      </c>
      <c r="L260" t="s">
        <v>933</v>
      </c>
      <c r="M260" s="1" t="str">
        <f t="shared" si="28"/>
        <v>15B290</v>
      </c>
      <c r="N260" s="1" t="str">
        <f t="shared" si="29"/>
        <v>C/O</v>
      </c>
      <c r="O260" s="1" t="str">
        <f t="shared" si="30"/>
        <v>Track Adjuster RH</v>
      </c>
      <c r="P260" s="1" t="str">
        <f t="shared" si="31"/>
        <v>6D60</v>
      </c>
      <c r="Q260" s="2" t="str">
        <f t="shared" si="32"/>
        <v>6D60Track Adjuster RH</v>
      </c>
      <c r="R260" s="2" t="str">
        <f>New_Xref[[#This Row],[Serial Prefix]]&amp;IF(New_Xref[[#This Row],[Func Loc]]&lt;&gt;"",New_Xref[[#This Row],[Func Loc]],"NO MATCH")</f>
        <v>6D60STRU .TFRH.TRAD</v>
      </c>
      <c r="S260" s="3" t="str">
        <f t="shared" si="33"/>
        <v>6D604671669Track Adjuster RH</v>
      </c>
      <c r="T260" s="3" t="s">
        <v>930</v>
      </c>
      <c r="U260" s="3" t="s">
        <v>115</v>
      </c>
      <c r="V260" t="str">
        <f t="shared" si="34"/>
        <v>4157RI</v>
      </c>
    </row>
    <row r="261" spans="1:22">
      <c r="A261" t="s">
        <v>1086</v>
      </c>
      <c r="B261" t="s">
        <v>1102</v>
      </c>
      <c r="C261" t="s">
        <v>923</v>
      </c>
      <c r="D261" t="s">
        <v>924</v>
      </c>
      <c r="E261" t="s">
        <v>1271</v>
      </c>
      <c r="F261" t="s">
        <v>27</v>
      </c>
      <c r="G261">
        <v>1</v>
      </c>
      <c r="H261" t="s">
        <v>1266</v>
      </c>
      <c r="I261" t="s">
        <v>1272</v>
      </c>
      <c r="J261" t="s">
        <v>1273</v>
      </c>
      <c r="K261" t="s">
        <v>1272</v>
      </c>
      <c r="L261" t="s">
        <v>929</v>
      </c>
      <c r="M261" s="1" t="str">
        <f t="shared" si="28"/>
        <v>15B405</v>
      </c>
      <c r="N261" s="1" t="str">
        <f t="shared" si="29"/>
        <v>C/O</v>
      </c>
      <c r="O261" s="1" t="str">
        <f t="shared" si="30"/>
        <v>Track Adjuster LH</v>
      </c>
      <c r="P261" s="1" t="str">
        <f t="shared" si="31"/>
        <v>6P60</v>
      </c>
      <c r="Q261" s="2" t="str">
        <f t="shared" si="32"/>
        <v>6P60Track Adjuster LH</v>
      </c>
      <c r="R261" s="2" t="str">
        <f>New_Xref[[#This Row],[Serial Prefix]]&amp;IF(New_Xref[[#This Row],[Func Loc]]&lt;&gt;"",New_Xref[[#This Row],[Func Loc]],"NO MATCH")</f>
        <v>6P60STRU .TFLH.TRAD</v>
      </c>
      <c r="S261" s="3" t="str">
        <f t="shared" si="33"/>
        <v>6P604671669Track Adjuster LH</v>
      </c>
      <c r="T261" s="3" t="s">
        <v>930</v>
      </c>
      <c r="U261" s="3" t="s">
        <v>108</v>
      </c>
      <c r="V261" t="str">
        <f t="shared" si="34"/>
        <v>4157LT</v>
      </c>
    </row>
    <row r="262" spans="1:22">
      <c r="A262" t="s">
        <v>1086</v>
      </c>
      <c r="B262" t="s">
        <v>1102</v>
      </c>
      <c r="C262" t="s">
        <v>923</v>
      </c>
      <c r="D262" t="s">
        <v>924</v>
      </c>
      <c r="E262" t="s">
        <v>1271</v>
      </c>
      <c r="F262" t="s">
        <v>27</v>
      </c>
      <c r="G262">
        <v>1</v>
      </c>
      <c r="H262" t="s">
        <v>1266</v>
      </c>
      <c r="I262" t="s">
        <v>1274</v>
      </c>
      <c r="J262" t="s">
        <v>1275</v>
      </c>
      <c r="K262" t="s">
        <v>1274</v>
      </c>
      <c r="L262" t="s">
        <v>933</v>
      </c>
      <c r="M262" s="1" t="str">
        <f t="shared" si="28"/>
        <v>15B405</v>
      </c>
      <c r="N262" s="1" t="str">
        <f t="shared" si="29"/>
        <v>C/O</v>
      </c>
      <c r="O262" s="1" t="str">
        <f t="shared" si="30"/>
        <v>Track Adjuster RH</v>
      </c>
      <c r="P262" s="1" t="str">
        <f t="shared" si="31"/>
        <v>6P60</v>
      </c>
      <c r="Q262" s="2" t="str">
        <f t="shared" si="32"/>
        <v>6P60Track Adjuster RH</v>
      </c>
      <c r="R262" s="2" t="str">
        <f>New_Xref[[#This Row],[Serial Prefix]]&amp;IF(New_Xref[[#This Row],[Func Loc]]&lt;&gt;"",New_Xref[[#This Row],[Func Loc]],"NO MATCH")</f>
        <v>6P60STRU .TFRH.TRAD</v>
      </c>
      <c r="S262" s="3" t="str">
        <f t="shared" si="33"/>
        <v>6P604671669Track Adjuster RH</v>
      </c>
      <c r="T262" s="3" t="s">
        <v>930</v>
      </c>
      <c r="U262" s="3" t="s">
        <v>115</v>
      </c>
      <c r="V262" t="str">
        <f t="shared" si="34"/>
        <v>4157RI</v>
      </c>
    </row>
    <row r="263" spans="1:22">
      <c r="A263" t="s">
        <v>1086</v>
      </c>
      <c r="B263" t="s">
        <v>1132</v>
      </c>
      <c r="C263" t="s">
        <v>1276</v>
      </c>
      <c r="D263" t="s">
        <v>1277</v>
      </c>
      <c r="E263" t="s">
        <v>1278</v>
      </c>
      <c r="F263" t="s">
        <v>27</v>
      </c>
      <c r="G263">
        <v>1</v>
      </c>
      <c r="H263" t="s">
        <v>1279</v>
      </c>
      <c r="I263" t="s">
        <v>1280</v>
      </c>
      <c r="J263" t="s">
        <v>1281</v>
      </c>
      <c r="K263" t="s">
        <v>1280</v>
      </c>
      <c r="L263" t="s">
        <v>940</v>
      </c>
      <c r="M263" s="1" t="str">
        <f t="shared" si="28"/>
        <v>15H402</v>
      </c>
      <c r="N263" s="1" t="str">
        <f t="shared" si="29"/>
        <v>C/O</v>
      </c>
      <c r="O263" s="1" t="str">
        <f t="shared" si="30"/>
        <v>Front Idler LH</v>
      </c>
      <c r="P263" s="1" t="str">
        <f t="shared" si="31"/>
        <v>6D60</v>
      </c>
      <c r="Q263" s="2" t="str">
        <f t="shared" si="32"/>
        <v>6D60Front Idler LH</v>
      </c>
      <c r="R263" s="2" t="str">
        <f>New_Xref[[#This Row],[Serial Prefix]]&amp;IF(New_Xref[[#This Row],[Func Loc]]&lt;&gt;"",New_Xref[[#This Row],[Func Loc]],"NO MATCH")</f>
        <v>6D60STRU .TFLH.IDLF</v>
      </c>
      <c r="S263" s="3" t="str">
        <f t="shared" si="33"/>
        <v>6D6020R9277Front Idler LH</v>
      </c>
      <c r="T263" s="3" t="s">
        <v>941</v>
      </c>
      <c r="U263" s="3" t="s">
        <v>108</v>
      </c>
      <c r="V263" t="str">
        <f t="shared" si="34"/>
        <v>4159LT</v>
      </c>
    </row>
    <row r="264" spans="1:22">
      <c r="A264" t="s">
        <v>1086</v>
      </c>
      <c r="B264" t="s">
        <v>1132</v>
      </c>
      <c r="C264" t="s">
        <v>1276</v>
      </c>
      <c r="D264" t="s">
        <v>1277</v>
      </c>
      <c r="E264" t="s">
        <v>1278</v>
      </c>
      <c r="F264" t="s">
        <v>27</v>
      </c>
      <c r="G264">
        <v>1</v>
      </c>
      <c r="H264" t="s">
        <v>1279</v>
      </c>
      <c r="I264" t="s">
        <v>1282</v>
      </c>
      <c r="J264" t="s">
        <v>1283</v>
      </c>
      <c r="K264" t="s">
        <v>1282</v>
      </c>
      <c r="L264" t="s">
        <v>944</v>
      </c>
      <c r="M264" s="1" t="str">
        <f t="shared" si="28"/>
        <v>15H402</v>
      </c>
      <c r="N264" s="1" t="str">
        <f t="shared" si="29"/>
        <v>C/O</v>
      </c>
      <c r="O264" s="1" t="str">
        <f t="shared" si="30"/>
        <v>Front Idler RH</v>
      </c>
      <c r="P264" s="1" t="str">
        <f t="shared" si="31"/>
        <v>6D60</v>
      </c>
      <c r="Q264" s="2" t="str">
        <f t="shared" si="32"/>
        <v>6D60Front Idler RH</v>
      </c>
      <c r="R264" s="2" t="str">
        <f>New_Xref[[#This Row],[Serial Prefix]]&amp;IF(New_Xref[[#This Row],[Func Loc]]&lt;&gt;"",New_Xref[[#This Row],[Func Loc]],"NO MATCH")</f>
        <v>6D60STRU .TFRH.IDLF</v>
      </c>
      <c r="S264" s="3" t="str">
        <f t="shared" si="33"/>
        <v>6D6020R9277Front Idler RH</v>
      </c>
      <c r="T264" s="3" t="s">
        <v>941</v>
      </c>
      <c r="U264" s="3" t="s">
        <v>115</v>
      </c>
      <c r="V264" t="str">
        <f t="shared" si="34"/>
        <v>4159RI</v>
      </c>
    </row>
    <row r="265" spans="1:22">
      <c r="A265" t="s">
        <v>1086</v>
      </c>
      <c r="B265" t="s">
        <v>1087</v>
      </c>
      <c r="C265" t="s">
        <v>1284</v>
      </c>
      <c r="D265" t="s">
        <v>1285</v>
      </c>
      <c r="E265" t="s">
        <v>1286</v>
      </c>
      <c r="F265" t="s">
        <v>27</v>
      </c>
      <c r="G265">
        <v>1</v>
      </c>
      <c r="H265" t="s">
        <v>1287</v>
      </c>
      <c r="I265" t="s">
        <v>1288</v>
      </c>
      <c r="J265" t="s">
        <v>1289</v>
      </c>
      <c r="K265" t="s">
        <v>1288</v>
      </c>
      <c r="L265" t="s">
        <v>1290</v>
      </c>
      <c r="M265" s="1" t="str">
        <f t="shared" si="28"/>
        <v>15B290</v>
      </c>
      <c r="N265" s="1" t="str">
        <f t="shared" si="29"/>
        <v>C/O</v>
      </c>
      <c r="O265" s="1" t="str">
        <f t="shared" si="30"/>
        <v>Tumbler LH</v>
      </c>
      <c r="P265" s="1" t="str">
        <f t="shared" si="31"/>
        <v>6D60</v>
      </c>
      <c r="Q265" s="2" t="str">
        <f t="shared" si="32"/>
        <v>6D60Tumbler LH</v>
      </c>
      <c r="R265" s="2" t="str">
        <f>New_Xref[[#This Row],[Serial Prefix]]&amp;IF(New_Xref[[#This Row],[Func Loc]]&lt;&gt;"",New_Xref[[#This Row],[Func Loc]],"NO MATCH")</f>
        <v>6D60FDRV .FIDR.TULH</v>
      </c>
      <c r="S265" s="3" t="str">
        <f t="shared" si="33"/>
        <v>6D604658431Tumbler LH</v>
      </c>
      <c r="T265" s="3" t="s">
        <v>1291</v>
      </c>
      <c r="U265" s="3" t="s">
        <v>108</v>
      </c>
      <c r="V265" t="str">
        <f t="shared" si="34"/>
        <v>4164LT</v>
      </c>
    </row>
    <row r="266" spans="1:22">
      <c r="A266" t="s">
        <v>1086</v>
      </c>
      <c r="B266" t="s">
        <v>1087</v>
      </c>
      <c r="C266" t="s">
        <v>1284</v>
      </c>
      <c r="D266" t="s">
        <v>1285</v>
      </c>
      <c r="E266" t="s">
        <v>1286</v>
      </c>
      <c r="F266" t="s">
        <v>27</v>
      </c>
      <c r="G266">
        <v>1</v>
      </c>
      <c r="H266" t="s">
        <v>1287</v>
      </c>
      <c r="I266" t="s">
        <v>1292</v>
      </c>
      <c r="J266" t="s">
        <v>1293</v>
      </c>
      <c r="K266" t="s">
        <v>1292</v>
      </c>
      <c r="L266" t="s">
        <v>1294</v>
      </c>
      <c r="M266" s="1" t="str">
        <f t="shared" si="28"/>
        <v>15B290</v>
      </c>
      <c r="N266" s="1" t="str">
        <f t="shared" si="29"/>
        <v>C/O</v>
      </c>
      <c r="O266" s="1" t="str">
        <f t="shared" si="30"/>
        <v>Tumbler RH</v>
      </c>
      <c r="P266" s="1" t="str">
        <f t="shared" si="31"/>
        <v>6D60</v>
      </c>
      <c r="Q266" s="2" t="str">
        <f t="shared" si="32"/>
        <v>6D60Tumbler RH</v>
      </c>
      <c r="R266" s="2" t="str">
        <f>New_Xref[[#This Row],[Serial Prefix]]&amp;IF(New_Xref[[#This Row],[Func Loc]]&lt;&gt;"",New_Xref[[#This Row],[Func Loc]],"NO MATCH")</f>
        <v>6D60FDRV .FIDR.TURH</v>
      </c>
      <c r="S266" s="3" t="str">
        <f t="shared" si="33"/>
        <v>6D604658431Tumbler RH</v>
      </c>
      <c r="T266" s="3" t="s">
        <v>1291</v>
      </c>
      <c r="U266" s="3" t="s">
        <v>115</v>
      </c>
      <c r="V266" t="str">
        <f t="shared" si="34"/>
        <v>4164RI</v>
      </c>
    </row>
    <row r="267" spans="1:22">
      <c r="A267" t="s">
        <v>1086</v>
      </c>
      <c r="B267" t="s">
        <v>1102</v>
      </c>
      <c r="C267" t="s">
        <v>1284</v>
      </c>
      <c r="D267" t="s">
        <v>1285</v>
      </c>
      <c r="E267" t="s">
        <v>1286</v>
      </c>
      <c r="F267" t="s">
        <v>27</v>
      </c>
      <c r="G267">
        <v>1</v>
      </c>
      <c r="H267" t="s">
        <v>1287</v>
      </c>
      <c r="I267" t="s">
        <v>1295</v>
      </c>
      <c r="J267" t="s">
        <v>1296</v>
      </c>
      <c r="K267" t="s">
        <v>1295</v>
      </c>
      <c r="L267" t="s">
        <v>1290</v>
      </c>
      <c r="M267" s="1" t="str">
        <f t="shared" si="28"/>
        <v>15B405</v>
      </c>
      <c r="N267" s="1" t="str">
        <f t="shared" si="29"/>
        <v>C/O</v>
      </c>
      <c r="O267" s="1" t="str">
        <f t="shared" si="30"/>
        <v>Tumbler LH</v>
      </c>
      <c r="P267" s="1" t="str">
        <f t="shared" si="31"/>
        <v>6P60</v>
      </c>
      <c r="Q267" s="2" t="str">
        <f t="shared" si="32"/>
        <v>6P60Tumbler LH</v>
      </c>
      <c r="R267" s="2" t="str">
        <f>New_Xref[[#This Row],[Serial Prefix]]&amp;IF(New_Xref[[#This Row],[Func Loc]]&lt;&gt;"",New_Xref[[#This Row],[Func Loc]],"NO MATCH")</f>
        <v>6P60FDRV .FIDR.TULH</v>
      </c>
      <c r="S267" s="3" t="str">
        <f t="shared" si="33"/>
        <v>6P604658431Tumbler LH</v>
      </c>
      <c r="T267" s="3" t="s">
        <v>1291</v>
      </c>
      <c r="U267" s="3" t="s">
        <v>108</v>
      </c>
      <c r="V267" t="str">
        <f t="shared" si="34"/>
        <v>4164LT</v>
      </c>
    </row>
    <row r="268" spans="1:22">
      <c r="A268" t="s">
        <v>1086</v>
      </c>
      <c r="B268" t="s">
        <v>1102</v>
      </c>
      <c r="C268" t="s">
        <v>1284</v>
      </c>
      <c r="D268" t="s">
        <v>1285</v>
      </c>
      <c r="E268" t="s">
        <v>1286</v>
      </c>
      <c r="F268" t="s">
        <v>27</v>
      </c>
      <c r="G268">
        <v>1</v>
      </c>
      <c r="H268" t="s">
        <v>1287</v>
      </c>
      <c r="I268" t="s">
        <v>1297</v>
      </c>
      <c r="J268" t="s">
        <v>1298</v>
      </c>
      <c r="K268" t="s">
        <v>1297</v>
      </c>
      <c r="L268" t="s">
        <v>1294</v>
      </c>
      <c r="M268" s="1" t="str">
        <f t="shared" si="28"/>
        <v>15B405</v>
      </c>
      <c r="N268" s="1" t="str">
        <f t="shared" si="29"/>
        <v>C/O</v>
      </c>
      <c r="O268" s="1" t="str">
        <f t="shared" si="30"/>
        <v>Tumbler RH</v>
      </c>
      <c r="P268" s="1" t="str">
        <f t="shared" si="31"/>
        <v>6P60</v>
      </c>
      <c r="Q268" s="2" t="str">
        <f t="shared" si="32"/>
        <v>6P60Tumbler RH</v>
      </c>
      <c r="R268" s="2" t="str">
        <f>New_Xref[[#This Row],[Serial Prefix]]&amp;IF(New_Xref[[#This Row],[Func Loc]]&lt;&gt;"",New_Xref[[#This Row],[Func Loc]],"NO MATCH")</f>
        <v>6P60FDRV .FIDR.TURH</v>
      </c>
      <c r="S268" s="3" t="str">
        <f t="shared" si="33"/>
        <v>6P604658431Tumbler RH</v>
      </c>
      <c r="T268" s="3" t="s">
        <v>1291</v>
      </c>
      <c r="U268" s="3" t="s">
        <v>115</v>
      </c>
      <c r="V268" t="str">
        <f t="shared" si="34"/>
        <v>4164RI</v>
      </c>
    </row>
    <row r="269" spans="1:22">
      <c r="A269" t="s">
        <v>1086</v>
      </c>
      <c r="B269" t="s">
        <v>1132</v>
      </c>
      <c r="C269" t="s">
        <v>1299</v>
      </c>
      <c r="D269" t="s">
        <v>1300</v>
      </c>
      <c r="E269" t="s">
        <v>1301</v>
      </c>
      <c r="F269" t="s">
        <v>27</v>
      </c>
      <c r="G269">
        <v>3</v>
      </c>
      <c r="H269" t="s">
        <v>1302</v>
      </c>
      <c r="I269" t="s">
        <v>1303</v>
      </c>
      <c r="J269" t="s">
        <v>1304</v>
      </c>
      <c r="K269" t="s">
        <v>1303</v>
      </c>
      <c r="L269" t="s">
        <v>1305</v>
      </c>
      <c r="M269" s="1" t="str">
        <f t="shared" si="28"/>
        <v>15H402</v>
      </c>
      <c r="N269" s="1" t="str">
        <f t="shared" si="29"/>
        <v>C/O</v>
      </c>
      <c r="O269" s="1" t="str">
        <f t="shared" si="30"/>
        <v>Track Shoes LH</v>
      </c>
      <c r="P269" s="1" t="str">
        <f t="shared" si="31"/>
        <v>6D60</v>
      </c>
      <c r="Q269" s="2" t="str">
        <f t="shared" si="32"/>
        <v>6D60Track Shoes LH</v>
      </c>
      <c r="R269" s="2" t="str">
        <f>New_Xref[[#This Row],[Serial Prefix]]&amp;IF(New_Xref[[#This Row],[Func Loc]]&lt;&gt;"",New_Xref[[#This Row],[Func Loc]],"NO MATCH")</f>
        <v>6D60STRU .TFLH.TRAC</v>
      </c>
      <c r="S269" s="3" t="str">
        <f t="shared" si="33"/>
        <v>6D605120710Track Shoes LH</v>
      </c>
      <c r="T269" s="3" t="s">
        <v>1306</v>
      </c>
      <c r="U269" s="3" t="s">
        <v>34</v>
      </c>
      <c r="V269" t="str">
        <f t="shared" si="34"/>
        <v>417000</v>
      </c>
    </row>
    <row r="270" spans="1:22">
      <c r="A270" t="s">
        <v>1086</v>
      </c>
      <c r="B270" t="s">
        <v>1132</v>
      </c>
      <c r="C270" t="s">
        <v>1299</v>
      </c>
      <c r="D270" t="s">
        <v>1300</v>
      </c>
      <c r="E270" t="s">
        <v>1301</v>
      </c>
      <c r="F270" t="s">
        <v>27</v>
      </c>
      <c r="G270">
        <v>3</v>
      </c>
      <c r="H270" t="s">
        <v>1302</v>
      </c>
      <c r="I270" t="s">
        <v>1307</v>
      </c>
      <c r="J270" t="s">
        <v>1308</v>
      </c>
      <c r="K270" t="s">
        <v>1307</v>
      </c>
      <c r="L270" t="s">
        <v>1309</v>
      </c>
      <c r="M270" s="1" t="str">
        <f t="shared" si="28"/>
        <v>15H402</v>
      </c>
      <c r="N270" s="1" t="str">
        <f t="shared" si="29"/>
        <v>C/O</v>
      </c>
      <c r="O270" s="1" t="str">
        <f t="shared" si="30"/>
        <v>Track Shoes RH</v>
      </c>
      <c r="P270" s="1" t="str">
        <f t="shared" si="31"/>
        <v>6D60</v>
      </c>
      <c r="Q270" s="2" t="str">
        <f t="shared" si="32"/>
        <v>6D60Track Shoes RH</v>
      </c>
      <c r="R270" s="2" t="str">
        <f>New_Xref[[#This Row],[Serial Prefix]]&amp;IF(New_Xref[[#This Row],[Func Loc]]&lt;&gt;"",New_Xref[[#This Row],[Func Loc]],"NO MATCH")</f>
        <v>6D60STRU .TFRH.TRAC</v>
      </c>
      <c r="S270" s="3" t="str">
        <f t="shared" si="33"/>
        <v>6D605120710Track Shoes RH</v>
      </c>
      <c r="T270" s="3" t="s">
        <v>1306</v>
      </c>
      <c r="U270" s="3" t="s">
        <v>34</v>
      </c>
      <c r="V270" t="str">
        <f t="shared" si="34"/>
        <v>417000</v>
      </c>
    </row>
    <row r="271" spans="1:22">
      <c r="A271" t="s">
        <v>1086</v>
      </c>
      <c r="B271" t="s">
        <v>1087</v>
      </c>
      <c r="C271" t="s">
        <v>1310</v>
      </c>
      <c r="D271" t="s">
        <v>1311</v>
      </c>
      <c r="E271" t="s">
        <v>1312</v>
      </c>
      <c r="F271" t="s">
        <v>27</v>
      </c>
      <c r="G271">
        <v>7</v>
      </c>
      <c r="H271" t="s">
        <v>1313</v>
      </c>
      <c r="I271" t="s">
        <v>1314</v>
      </c>
      <c r="J271" t="s">
        <v>1315</v>
      </c>
      <c r="K271" t="s">
        <v>1314</v>
      </c>
      <c r="L271" t="s">
        <v>951</v>
      </c>
      <c r="M271" s="1" t="str">
        <f t="shared" si="28"/>
        <v>15B290</v>
      </c>
      <c r="N271" s="1" t="str">
        <f t="shared" si="29"/>
        <v>C/O</v>
      </c>
      <c r="O271" s="1" t="str">
        <f t="shared" si="30"/>
        <v>Load Rollers LH</v>
      </c>
      <c r="P271" s="1" t="str">
        <f t="shared" si="31"/>
        <v>6D60</v>
      </c>
      <c r="Q271" s="2" t="str">
        <f t="shared" si="32"/>
        <v>6D60Load Rollers LH</v>
      </c>
      <c r="R271" s="2" t="str">
        <f>New_Xref[[#This Row],[Serial Prefix]]&amp;IF(New_Xref[[#This Row],[Func Loc]]&lt;&gt;"",New_Xref[[#This Row],[Func Loc]],"NO MATCH")</f>
        <v>6D60STRU .TFLH.LORO</v>
      </c>
      <c r="S271" s="3" t="str">
        <f t="shared" si="33"/>
        <v>6D604777938Load Rollers LH</v>
      </c>
      <c r="T271" s="3" t="s">
        <v>952</v>
      </c>
      <c r="U271" s="2" t="s">
        <v>953</v>
      </c>
      <c r="V271" t="str">
        <f t="shared" si="34"/>
        <v>4180L01</v>
      </c>
    </row>
    <row r="272" spans="1:22">
      <c r="A272" t="s">
        <v>1086</v>
      </c>
      <c r="B272" t="s">
        <v>1087</v>
      </c>
      <c r="C272" t="s">
        <v>1310</v>
      </c>
      <c r="D272" t="s">
        <v>1311</v>
      </c>
      <c r="E272" t="s">
        <v>1312</v>
      </c>
      <c r="F272" t="s">
        <v>27</v>
      </c>
      <c r="G272">
        <v>7</v>
      </c>
      <c r="H272" t="s">
        <v>1313</v>
      </c>
      <c r="I272" t="s">
        <v>1316</v>
      </c>
      <c r="J272" t="s">
        <v>1317</v>
      </c>
      <c r="K272" t="s">
        <v>1316</v>
      </c>
      <c r="L272" t="s">
        <v>956</v>
      </c>
      <c r="M272" s="1" t="str">
        <f t="shared" si="28"/>
        <v>15B290</v>
      </c>
      <c r="N272" s="1" t="str">
        <f t="shared" si="29"/>
        <v>C/O</v>
      </c>
      <c r="O272" s="1" t="str">
        <f t="shared" si="30"/>
        <v>Load Rollers RH</v>
      </c>
      <c r="P272" s="1" t="str">
        <f t="shared" si="31"/>
        <v>6D60</v>
      </c>
      <c r="Q272" s="2" t="str">
        <f t="shared" si="32"/>
        <v>6D60Load Rollers RH</v>
      </c>
      <c r="R272" s="2" t="str">
        <f>New_Xref[[#This Row],[Serial Prefix]]&amp;IF(New_Xref[[#This Row],[Func Loc]]&lt;&gt;"",New_Xref[[#This Row],[Func Loc]],"NO MATCH")</f>
        <v>6D60STRU .TFRH.LORO</v>
      </c>
      <c r="S272" s="3" t="str">
        <f t="shared" si="33"/>
        <v>6D604777938Load Rollers RH</v>
      </c>
      <c r="T272" s="3" t="s">
        <v>952</v>
      </c>
      <c r="U272" s="2" t="s">
        <v>957</v>
      </c>
      <c r="V272" t="str">
        <f t="shared" si="34"/>
        <v>4180R01</v>
      </c>
    </row>
    <row r="273" spans="1:22">
      <c r="A273" t="s">
        <v>1086</v>
      </c>
      <c r="B273" t="s">
        <v>1102</v>
      </c>
      <c r="C273" t="s">
        <v>1310</v>
      </c>
      <c r="D273" t="s">
        <v>1311</v>
      </c>
      <c r="E273" t="s">
        <v>1312</v>
      </c>
      <c r="F273" t="s">
        <v>27</v>
      </c>
      <c r="G273">
        <v>7</v>
      </c>
      <c r="H273" t="s">
        <v>1313</v>
      </c>
      <c r="I273" t="s">
        <v>1318</v>
      </c>
      <c r="J273" t="s">
        <v>1319</v>
      </c>
      <c r="K273" t="s">
        <v>1318</v>
      </c>
      <c r="L273" t="s">
        <v>951</v>
      </c>
      <c r="M273" s="1" t="str">
        <f t="shared" si="28"/>
        <v>15B405</v>
      </c>
      <c r="N273" s="1" t="str">
        <f t="shared" si="29"/>
        <v>C/O</v>
      </c>
      <c r="O273" s="1" t="str">
        <f t="shared" si="30"/>
        <v>Load Rollers LH</v>
      </c>
      <c r="P273" s="1" t="str">
        <f t="shared" si="31"/>
        <v>6P60</v>
      </c>
      <c r="Q273" s="2" t="str">
        <f t="shared" si="32"/>
        <v>6P60Load Rollers LH</v>
      </c>
      <c r="R273" s="2" t="str">
        <f>New_Xref[[#This Row],[Serial Prefix]]&amp;IF(New_Xref[[#This Row],[Func Loc]]&lt;&gt;"",New_Xref[[#This Row],[Func Loc]],"NO MATCH")</f>
        <v>6P60STRU .TFLH.LORO</v>
      </c>
      <c r="S273" s="3" t="str">
        <f t="shared" si="33"/>
        <v>6P604777938Load Rollers LH</v>
      </c>
      <c r="T273" s="3" t="s">
        <v>952</v>
      </c>
      <c r="U273" s="3" t="s">
        <v>953</v>
      </c>
      <c r="V273" t="str">
        <f t="shared" si="34"/>
        <v>4180L01</v>
      </c>
    </row>
    <row r="274" spans="1:22">
      <c r="A274" t="s">
        <v>1086</v>
      </c>
      <c r="B274" t="s">
        <v>1102</v>
      </c>
      <c r="C274" t="s">
        <v>1310</v>
      </c>
      <c r="D274" t="s">
        <v>1311</v>
      </c>
      <c r="E274" t="s">
        <v>1312</v>
      </c>
      <c r="F274" t="s">
        <v>27</v>
      </c>
      <c r="G274">
        <v>7</v>
      </c>
      <c r="H274" t="s">
        <v>1313</v>
      </c>
      <c r="I274" t="s">
        <v>1320</v>
      </c>
      <c r="J274" t="s">
        <v>1321</v>
      </c>
      <c r="K274" t="s">
        <v>1320</v>
      </c>
      <c r="L274" t="s">
        <v>956</v>
      </c>
      <c r="M274" s="1" t="str">
        <f t="shared" si="28"/>
        <v>15B405</v>
      </c>
      <c r="N274" s="1" t="str">
        <f t="shared" si="29"/>
        <v>C/O</v>
      </c>
      <c r="O274" s="1" t="str">
        <f t="shared" si="30"/>
        <v>Load Rollers RH</v>
      </c>
      <c r="P274" s="1" t="str">
        <f t="shared" si="31"/>
        <v>6P60</v>
      </c>
      <c r="Q274" s="2" t="str">
        <f t="shared" si="32"/>
        <v>6P60Load Rollers RH</v>
      </c>
      <c r="R274" s="2" t="str">
        <f>New_Xref[[#This Row],[Serial Prefix]]&amp;IF(New_Xref[[#This Row],[Func Loc]]&lt;&gt;"",New_Xref[[#This Row],[Func Loc]],"NO MATCH")</f>
        <v>6P60STRU .TFRH.LORO</v>
      </c>
      <c r="S274" s="3" t="str">
        <f t="shared" si="33"/>
        <v>6P604777938Load Rollers RH</v>
      </c>
      <c r="T274" s="3" t="s">
        <v>952</v>
      </c>
      <c r="U274" s="3" t="s">
        <v>957</v>
      </c>
      <c r="V274" t="str">
        <f t="shared" si="34"/>
        <v>4180R01</v>
      </c>
    </row>
    <row r="275" spans="1:22">
      <c r="A275" t="s">
        <v>1086</v>
      </c>
      <c r="B275" t="s">
        <v>1087</v>
      </c>
      <c r="C275" t="s">
        <v>1322</v>
      </c>
      <c r="D275" t="s">
        <v>1323</v>
      </c>
      <c r="E275" t="s">
        <v>1324</v>
      </c>
      <c r="F275" t="s">
        <v>27</v>
      </c>
      <c r="G275">
        <v>1</v>
      </c>
      <c r="H275" t="s">
        <v>1325</v>
      </c>
      <c r="I275" t="s">
        <v>1326</v>
      </c>
      <c r="J275" t="s">
        <v>1327</v>
      </c>
      <c r="K275" t="s">
        <v>1326</v>
      </c>
      <c r="L275" t="s">
        <v>963</v>
      </c>
      <c r="M275" s="1" t="str">
        <f t="shared" si="28"/>
        <v>15B290</v>
      </c>
      <c r="N275" s="1" t="str">
        <f t="shared" si="29"/>
        <v>C/O</v>
      </c>
      <c r="O275" s="1" t="str">
        <f t="shared" si="30"/>
        <v>Travel Motor LHF</v>
      </c>
      <c r="P275" s="1" t="str">
        <f t="shared" si="31"/>
        <v>6D60</v>
      </c>
      <c r="Q275" s="2" t="str">
        <f t="shared" si="32"/>
        <v>6D60Travel Motor LHF</v>
      </c>
      <c r="R275" s="2" t="str">
        <f>New_Xref[[#This Row],[Serial Prefix]]&amp;IF(New_Xref[[#This Row],[Func Loc]]&lt;&gt;"",New_Xref[[#This Row],[Func Loc]],"NO MATCH")</f>
        <v>6D60MYHD .MOTO.TMLF</v>
      </c>
      <c r="S275" s="3" t="str">
        <f t="shared" si="33"/>
        <v>6D604715894Travel Motor LHF</v>
      </c>
      <c r="T275" s="3" t="s">
        <v>964</v>
      </c>
      <c r="U275" s="3" t="s">
        <v>89</v>
      </c>
      <c r="V275" t="str">
        <f t="shared" si="34"/>
        <v>4351LF</v>
      </c>
    </row>
    <row r="276" spans="1:22">
      <c r="A276" t="s">
        <v>1086</v>
      </c>
      <c r="B276" t="s">
        <v>1087</v>
      </c>
      <c r="C276" t="s">
        <v>1322</v>
      </c>
      <c r="D276" t="s">
        <v>1323</v>
      </c>
      <c r="E276" t="s">
        <v>1324</v>
      </c>
      <c r="F276" t="s">
        <v>27</v>
      </c>
      <c r="G276">
        <v>1</v>
      </c>
      <c r="H276" t="s">
        <v>1325</v>
      </c>
      <c r="I276" t="s">
        <v>1328</v>
      </c>
      <c r="J276" t="s">
        <v>1329</v>
      </c>
      <c r="K276" t="s">
        <v>1328</v>
      </c>
      <c r="L276" t="s">
        <v>967</v>
      </c>
      <c r="M276" s="1" t="str">
        <f t="shared" si="28"/>
        <v>15B290</v>
      </c>
      <c r="N276" s="1" t="str">
        <f t="shared" si="29"/>
        <v>C/O</v>
      </c>
      <c r="O276" s="1" t="str">
        <f t="shared" si="30"/>
        <v>Travel Motor LHR</v>
      </c>
      <c r="P276" s="1" t="str">
        <f t="shared" si="31"/>
        <v>6D60</v>
      </c>
      <c r="Q276" s="2" t="str">
        <f t="shared" si="32"/>
        <v>6D60Travel Motor LHR</v>
      </c>
      <c r="R276" s="2" t="str">
        <f>New_Xref[[#This Row],[Serial Prefix]]&amp;IF(New_Xref[[#This Row],[Func Loc]]&lt;&gt;"",New_Xref[[#This Row],[Func Loc]],"NO MATCH")</f>
        <v>6D60MYHD .MOTO.TMLR</v>
      </c>
      <c r="S276" s="3" t="str">
        <f t="shared" si="33"/>
        <v>6D604715894Travel Motor LHR</v>
      </c>
      <c r="T276" s="3" t="s">
        <v>964</v>
      </c>
      <c r="U276" s="3" t="s">
        <v>96</v>
      </c>
      <c r="V276" t="str">
        <f t="shared" si="34"/>
        <v>4351LR</v>
      </c>
    </row>
    <row r="277" spans="1:22">
      <c r="A277" t="s">
        <v>1086</v>
      </c>
      <c r="B277" t="s">
        <v>1087</v>
      </c>
      <c r="C277" t="s">
        <v>1322</v>
      </c>
      <c r="D277" t="s">
        <v>1323</v>
      </c>
      <c r="E277" t="s">
        <v>1324</v>
      </c>
      <c r="F277" t="s">
        <v>27</v>
      </c>
      <c r="G277">
        <v>1</v>
      </c>
      <c r="H277" t="s">
        <v>1325</v>
      </c>
      <c r="I277" t="s">
        <v>1330</v>
      </c>
      <c r="J277" t="s">
        <v>1331</v>
      </c>
      <c r="K277" t="s">
        <v>1330</v>
      </c>
      <c r="L277" t="s">
        <v>970</v>
      </c>
      <c r="M277" s="1" t="str">
        <f t="shared" si="28"/>
        <v>15B290</v>
      </c>
      <c r="N277" s="1" t="str">
        <f t="shared" si="29"/>
        <v>C/O</v>
      </c>
      <c r="O277" s="1" t="str">
        <f t="shared" si="30"/>
        <v>Travel Motor RHF</v>
      </c>
      <c r="P277" s="1" t="str">
        <f t="shared" si="31"/>
        <v>6D60</v>
      </c>
      <c r="Q277" s="2" t="str">
        <f t="shared" si="32"/>
        <v>6D60Travel Motor RHF</v>
      </c>
      <c r="R277" s="2" t="str">
        <f>New_Xref[[#This Row],[Serial Prefix]]&amp;IF(New_Xref[[#This Row],[Func Loc]]&lt;&gt;"",New_Xref[[#This Row],[Func Loc]],"NO MATCH")</f>
        <v>6D60MYHD .MOTO.TMRF</v>
      </c>
      <c r="S277" s="3" t="str">
        <f t="shared" si="33"/>
        <v>6D604715894Travel Motor RHF</v>
      </c>
      <c r="T277" s="3" t="s">
        <v>964</v>
      </c>
      <c r="U277" s="3" t="s">
        <v>92</v>
      </c>
      <c r="V277" t="str">
        <f t="shared" si="34"/>
        <v>4351RF</v>
      </c>
    </row>
    <row r="278" spans="1:22">
      <c r="A278" t="s">
        <v>1086</v>
      </c>
      <c r="B278" t="s">
        <v>1087</v>
      </c>
      <c r="C278" t="s">
        <v>1322</v>
      </c>
      <c r="D278" t="s">
        <v>1323</v>
      </c>
      <c r="E278" t="s">
        <v>1324</v>
      </c>
      <c r="F278" t="s">
        <v>27</v>
      </c>
      <c r="G278">
        <v>1</v>
      </c>
      <c r="H278" t="s">
        <v>1325</v>
      </c>
      <c r="I278" t="s">
        <v>1332</v>
      </c>
      <c r="J278" t="s">
        <v>1333</v>
      </c>
      <c r="K278" t="s">
        <v>1332</v>
      </c>
      <c r="L278" t="s">
        <v>973</v>
      </c>
      <c r="M278" s="1" t="str">
        <f t="shared" si="28"/>
        <v>15B290</v>
      </c>
      <c r="N278" s="1" t="str">
        <f t="shared" si="29"/>
        <v>C/O</v>
      </c>
      <c r="O278" s="1" t="str">
        <f t="shared" si="30"/>
        <v>Travel Motor RHR</v>
      </c>
      <c r="P278" s="1" t="str">
        <f t="shared" si="31"/>
        <v>6D60</v>
      </c>
      <c r="Q278" s="2" t="str">
        <f t="shared" si="32"/>
        <v>6D60Travel Motor RHR</v>
      </c>
      <c r="R278" s="2" t="str">
        <f>New_Xref[[#This Row],[Serial Prefix]]&amp;IF(New_Xref[[#This Row],[Func Loc]]&lt;&gt;"",New_Xref[[#This Row],[Func Loc]],"NO MATCH")</f>
        <v>6D60MYHD .MOTO.TMRR</v>
      </c>
      <c r="S278" s="3" t="str">
        <f t="shared" si="33"/>
        <v>6D604715894Travel Motor RHR</v>
      </c>
      <c r="T278" s="3" t="s">
        <v>964</v>
      </c>
      <c r="U278" s="3" t="s">
        <v>99</v>
      </c>
      <c r="V278" t="str">
        <f t="shared" si="34"/>
        <v>4351RR</v>
      </c>
    </row>
    <row r="279" spans="1:22">
      <c r="A279" t="s">
        <v>1086</v>
      </c>
      <c r="B279" t="s">
        <v>1102</v>
      </c>
      <c r="C279" t="s">
        <v>1322</v>
      </c>
      <c r="D279" t="s">
        <v>1323</v>
      </c>
      <c r="E279" t="s">
        <v>1324</v>
      </c>
      <c r="F279" t="s">
        <v>27</v>
      </c>
      <c r="G279">
        <v>1</v>
      </c>
      <c r="H279" t="s">
        <v>1325</v>
      </c>
      <c r="I279" t="s">
        <v>1334</v>
      </c>
      <c r="J279" t="s">
        <v>1335</v>
      </c>
      <c r="K279" t="s">
        <v>1334</v>
      </c>
      <c r="L279" t="s">
        <v>963</v>
      </c>
      <c r="M279" s="1" t="str">
        <f t="shared" si="28"/>
        <v>15B405</v>
      </c>
      <c r="N279" s="1" t="str">
        <f t="shared" si="29"/>
        <v>C/O</v>
      </c>
      <c r="O279" s="1" t="str">
        <f t="shared" si="30"/>
        <v>Travel Motor LHF</v>
      </c>
      <c r="P279" s="1" t="str">
        <f t="shared" si="31"/>
        <v>6P60</v>
      </c>
      <c r="Q279" s="2" t="str">
        <f t="shared" si="32"/>
        <v>6P60Travel Motor LHF</v>
      </c>
      <c r="R279" s="2" t="str">
        <f>New_Xref[[#This Row],[Serial Prefix]]&amp;IF(New_Xref[[#This Row],[Func Loc]]&lt;&gt;"",New_Xref[[#This Row],[Func Loc]],"NO MATCH")</f>
        <v>6P60MYHD .MOTO.TMLF</v>
      </c>
      <c r="S279" s="3" t="str">
        <f t="shared" si="33"/>
        <v>6P604715894Travel Motor LHF</v>
      </c>
      <c r="T279" s="3" t="s">
        <v>964</v>
      </c>
      <c r="U279" s="3" t="s">
        <v>89</v>
      </c>
      <c r="V279" t="str">
        <f t="shared" si="34"/>
        <v>4351LF</v>
      </c>
    </row>
    <row r="280" spans="1:22">
      <c r="A280" t="s">
        <v>1086</v>
      </c>
      <c r="B280" t="s">
        <v>1102</v>
      </c>
      <c r="C280" t="s">
        <v>1322</v>
      </c>
      <c r="D280" t="s">
        <v>1323</v>
      </c>
      <c r="E280" t="s">
        <v>1324</v>
      </c>
      <c r="F280" t="s">
        <v>27</v>
      </c>
      <c r="G280">
        <v>1</v>
      </c>
      <c r="H280" t="s">
        <v>1325</v>
      </c>
      <c r="I280" t="s">
        <v>1336</v>
      </c>
      <c r="J280" t="s">
        <v>1337</v>
      </c>
      <c r="K280" t="s">
        <v>1336</v>
      </c>
      <c r="L280" t="s">
        <v>967</v>
      </c>
      <c r="M280" s="1" t="str">
        <f t="shared" si="28"/>
        <v>15B405</v>
      </c>
      <c r="N280" s="1" t="str">
        <f t="shared" si="29"/>
        <v>C/O</v>
      </c>
      <c r="O280" s="1" t="str">
        <f t="shared" si="30"/>
        <v>Travel Motor LHR</v>
      </c>
      <c r="P280" s="1" t="str">
        <f t="shared" si="31"/>
        <v>6P60</v>
      </c>
      <c r="Q280" s="2" t="str">
        <f t="shared" si="32"/>
        <v>6P60Travel Motor LHR</v>
      </c>
      <c r="R280" s="2" t="str">
        <f>New_Xref[[#This Row],[Serial Prefix]]&amp;IF(New_Xref[[#This Row],[Func Loc]]&lt;&gt;"",New_Xref[[#This Row],[Func Loc]],"NO MATCH")</f>
        <v>6P60MYHD .MOTO.TMLR</v>
      </c>
      <c r="S280" s="3" t="str">
        <f t="shared" si="33"/>
        <v>6P604715894Travel Motor LHR</v>
      </c>
      <c r="T280" s="3" t="s">
        <v>964</v>
      </c>
      <c r="U280" s="3" t="s">
        <v>96</v>
      </c>
      <c r="V280" t="str">
        <f t="shared" si="34"/>
        <v>4351LR</v>
      </c>
    </row>
    <row r="281" spans="1:22">
      <c r="A281" t="s">
        <v>1086</v>
      </c>
      <c r="B281" t="s">
        <v>1102</v>
      </c>
      <c r="C281" t="s">
        <v>1322</v>
      </c>
      <c r="D281" t="s">
        <v>1323</v>
      </c>
      <c r="E281" t="s">
        <v>1324</v>
      </c>
      <c r="F281" t="s">
        <v>27</v>
      </c>
      <c r="G281">
        <v>1</v>
      </c>
      <c r="H281" t="s">
        <v>1325</v>
      </c>
      <c r="I281" t="s">
        <v>1338</v>
      </c>
      <c r="J281" t="s">
        <v>1339</v>
      </c>
      <c r="K281" t="s">
        <v>1338</v>
      </c>
      <c r="L281" t="s">
        <v>970</v>
      </c>
      <c r="M281" s="1" t="str">
        <f t="shared" si="28"/>
        <v>15B405</v>
      </c>
      <c r="N281" s="1" t="str">
        <f t="shared" si="29"/>
        <v>C/O</v>
      </c>
      <c r="O281" s="1" t="str">
        <f t="shared" si="30"/>
        <v>Travel Motor RHF</v>
      </c>
      <c r="P281" s="1" t="str">
        <f t="shared" si="31"/>
        <v>6P60</v>
      </c>
      <c r="Q281" s="2" t="str">
        <f t="shared" si="32"/>
        <v>6P60Travel Motor RHF</v>
      </c>
      <c r="R281" s="2" t="str">
        <f>New_Xref[[#This Row],[Serial Prefix]]&amp;IF(New_Xref[[#This Row],[Func Loc]]&lt;&gt;"",New_Xref[[#This Row],[Func Loc]],"NO MATCH")</f>
        <v>6P60MYHD .MOTO.TMRF</v>
      </c>
      <c r="S281" s="3" t="str">
        <f t="shared" si="33"/>
        <v>6P604715894Travel Motor RHF</v>
      </c>
      <c r="T281" s="3" t="s">
        <v>964</v>
      </c>
      <c r="U281" s="3" t="s">
        <v>92</v>
      </c>
      <c r="V281" t="str">
        <f t="shared" si="34"/>
        <v>4351RF</v>
      </c>
    </row>
    <row r="282" spans="1:22">
      <c r="A282" t="s">
        <v>1086</v>
      </c>
      <c r="B282" t="s">
        <v>1102</v>
      </c>
      <c r="C282" t="s">
        <v>1322</v>
      </c>
      <c r="D282" t="s">
        <v>1323</v>
      </c>
      <c r="E282" t="s">
        <v>1324</v>
      </c>
      <c r="F282" t="s">
        <v>27</v>
      </c>
      <c r="G282">
        <v>1</v>
      </c>
      <c r="H282" t="s">
        <v>1325</v>
      </c>
      <c r="I282" t="s">
        <v>1340</v>
      </c>
      <c r="J282" t="s">
        <v>1341</v>
      </c>
      <c r="K282" t="s">
        <v>1340</v>
      </c>
      <c r="L282" t="s">
        <v>973</v>
      </c>
      <c r="M282" s="1" t="str">
        <f t="shared" si="28"/>
        <v>15B405</v>
      </c>
      <c r="N282" s="1" t="str">
        <f t="shared" si="29"/>
        <v>C/O</v>
      </c>
      <c r="O282" s="1" t="str">
        <f t="shared" si="30"/>
        <v>Travel Motor RHR</v>
      </c>
      <c r="P282" s="1" t="str">
        <f t="shared" si="31"/>
        <v>6P60</v>
      </c>
      <c r="Q282" s="2" t="str">
        <f t="shared" si="32"/>
        <v>6P60Travel Motor RHR</v>
      </c>
      <c r="R282" s="2" t="str">
        <f>New_Xref[[#This Row],[Serial Prefix]]&amp;IF(New_Xref[[#This Row],[Func Loc]]&lt;&gt;"",New_Xref[[#This Row],[Func Loc]],"NO MATCH")</f>
        <v>6P60MYHD .MOTO.TMRR</v>
      </c>
      <c r="S282" s="3" t="str">
        <f t="shared" si="33"/>
        <v>6P604715894Travel Motor RHR</v>
      </c>
      <c r="T282" s="3" t="s">
        <v>964</v>
      </c>
      <c r="U282" s="3" t="s">
        <v>99</v>
      </c>
      <c r="V282" t="str">
        <f t="shared" si="34"/>
        <v>4351RR</v>
      </c>
    </row>
    <row r="283" spans="1:22">
      <c r="A283" t="s">
        <v>1086</v>
      </c>
      <c r="B283" t="s">
        <v>1132</v>
      </c>
      <c r="H283" t="s">
        <v>1342</v>
      </c>
      <c r="I283" t="s">
        <v>1343</v>
      </c>
      <c r="J283" t="s">
        <v>1344</v>
      </c>
      <c r="K283" t="s">
        <v>1343</v>
      </c>
      <c r="L283" t="s">
        <v>1345</v>
      </c>
      <c r="M283" s="1" t="str">
        <f t="shared" si="28"/>
        <v>15H402</v>
      </c>
      <c r="N283" s="1" t="str">
        <f t="shared" si="29"/>
        <v>C/O</v>
      </c>
      <c r="O283" s="1" t="str">
        <f t="shared" si="30"/>
        <v>Main Control Valve LH Lower</v>
      </c>
      <c r="P283" s="1" t="str">
        <f t="shared" si="31"/>
        <v>6D60</v>
      </c>
      <c r="Q283" s="2" t="str">
        <f t="shared" si="32"/>
        <v>6D60Main Control Valve LH Lower</v>
      </c>
      <c r="R283" s="2" t="str">
        <f>New_Xref[[#This Row],[Serial Prefix]]&amp;IF(New_Xref[[#This Row],[Func Loc]]&lt;&gt;"",New_Xref[[#This Row],[Func Loc]],"NO MATCH")</f>
        <v>6D60MYHD .VALV.MCLL</v>
      </c>
      <c r="S283" s="3" t="str">
        <f t="shared" si="33"/>
        <v>6D60Main Control Valve LH Lower</v>
      </c>
      <c r="T283" s="3" t="s">
        <v>1346</v>
      </c>
      <c r="U283" s="3" t="s">
        <v>96</v>
      </c>
      <c r="V283" t="str">
        <f t="shared" si="34"/>
        <v>5051LR</v>
      </c>
    </row>
    <row r="284" spans="1:22">
      <c r="A284" t="s">
        <v>1086</v>
      </c>
      <c r="B284" t="s">
        <v>1132</v>
      </c>
      <c r="H284" t="s">
        <v>1342</v>
      </c>
      <c r="I284" t="s">
        <v>1347</v>
      </c>
      <c r="J284" t="s">
        <v>1348</v>
      </c>
      <c r="K284" t="s">
        <v>1347</v>
      </c>
      <c r="L284" t="s">
        <v>1349</v>
      </c>
      <c r="M284" s="1" t="str">
        <f t="shared" si="28"/>
        <v>15H402</v>
      </c>
      <c r="N284" s="1" t="str">
        <f t="shared" si="29"/>
        <v>C/O</v>
      </c>
      <c r="O284" s="1" t="str">
        <f t="shared" si="30"/>
        <v>Main Control Valve LH Upper</v>
      </c>
      <c r="P284" s="1" t="str">
        <f t="shared" si="31"/>
        <v>6D60</v>
      </c>
      <c r="Q284" s="2" t="str">
        <f t="shared" si="32"/>
        <v>6D60Main Control Valve LH Upper</v>
      </c>
      <c r="R284" s="2" t="str">
        <f>New_Xref[[#This Row],[Serial Prefix]]&amp;IF(New_Xref[[#This Row],[Func Loc]]&lt;&gt;"",New_Xref[[#This Row],[Func Loc]],"NO MATCH")</f>
        <v>6D60MYHD .VALV.MCLU</v>
      </c>
      <c r="S284" s="3" t="str">
        <f t="shared" si="33"/>
        <v>6D60Main Control Valve LH Upper</v>
      </c>
      <c r="T284" s="3" t="s">
        <v>1346</v>
      </c>
      <c r="U284" s="3" t="s">
        <v>89</v>
      </c>
      <c r="V284" t="str">
        <f t="shared" si="34"/>
        <v>5051LF</v>
      </c>
    </row>
    <row r="285" spans="1:22">
      <c r="A285" t="s">
        <v>1086</v>
      </c>
      <c r="B285" t="s">
        <v>1132</v>
      </c>
      <c r="H285" t="s">
        <v>1350</v>
      </c>
      <c r="I285" t="s">
        <v>1351</v>
      </c>
      <c r="J285" t="s">
        <v>1352</v>
      </c>
      <c r="K285" t="s">
        <v>1351</v>
      </c>
      <c r="L285" t="s">
        <v>1353</v>
      </c>
      <c r="M285" s="1" t="str">
        <f t="shared" si="28"/>
        <v>15H402</v>
      </c>
      <c r="N285" s="1" t="str">
        <f t="shared" si="29"/>
        <v>C/O</v>
      </c>
      <c r="O285" s="1" t="str">
        <f t="shared" si="30"/>
        <v>Main Control Valve RH Lower</v>
      </c>
      <c r="P285" s="1" t="str">
        <f t="shared" si="31"/>
        <v>6D60</v>
      </c>
      <c r="Q285" s="2" t="str">
        <f t="shared" si="32"/>
        <v>6D60Main Control Valve RH Lower</v>
      </c>
      <c r="R285" s="2" t="str">
        <f>New_Xref[[#This Row],[Serial Prefix]]&amp;IF(New_Xref[[#This Row],[Func Loc]]&lt;&gt;"",New_Xref[[#This Row],[Func Loc]],"NO MATCH")</f>
        <v>6D60MYHD .VALV.MCRL</v>
      </c>
      <c r="S285" s="3" t="str">
        <f t="shared" si="33"/>
        <v>6D60Main Control Valve RH Lower</v>
      </c>
      <c r="T285" s="3" t="s">
        <v>1346</v>
      </c>
      <c r="U285" s="3" t="s">
        <v>99</v>
      </c>
      <c r="V285" t="str">
        <f t="shared" si="34"/>
        <v>5051RR</v>
      </c>
    </row>
    <row r="286" spans="1:22">
      <c r="A286" t="s">
        <v>1086</v>
      </c>
      <c r="B286" t="s">
        <v>1132</v>
      </c>
      <c r="H286" t="s">
        <v>1350</v>
      </c>
      <c r="I286" t="s">
        <v>1354</v>
      </c>
      <c r="J286" t="s">
        <v>1355</v>
      </c>
      <c r="K286" t="s">
        <v>1354</v>
      </c>
      <c r="L286" t="s">
        <v>1356</v>
      </c>
      <c r="M286" s="1" t="str">
        <f t="shared" si="28"/>
        <v>15H402</v>
      </c>
      <c r="N286" s="1" t="str">
        <f t="shared" si="29"/>
        <v>C/O</v>
      </c>
      <c r="O286" s="1" t="str">
        <f t="shared" si="30"/>
        <v>Main Control Valve RH Upper</v>
      </c>
      <c r="P286" s="1" t="str">
        <f t="shared" si="31"/>
        <v>6D60</v>
      </c>
      <c r="Q286" s="2" t="str">
        <f t="shared" si="32"/>
        <v>6D60Main Control Valve RH Upper</v>
      </c>
      <c r="R286" s="2" t="str">
        <f>New_Xref[[#This Row],[Serial Prefix]]&amp;IF(New_Xref[[#This Row],[Func Loc]]&lt;&gt;"",New_Xref[[#This Row],[Func Loc]],"NO MATCH")</f>
        <v>6D60MYHD .VALV.MCRU</v>
      </c>
      <c r="S286" s="3" t="str">
        <f t="shared" si="33"/>
        <v>6D60Main Control Valve RH Upper</v>
      </c>
      <c r="T286" s="3" t="s">
        <v>1346</v>
      </c>
      <c r="U286" s="3" t="s">
        <v>92</v>
      </c>
      <c r="V286" t="str">
        <f t="shared" si="34"/>
        <v>5051RF</v>
      </c>
    </row>
    <row r="287" spans="1:22">
      <c r="A287" t="s">
        <v>1086</v>
      </c>
      <c r="B287" t="s">
        <v>1087</v>
      </c>
      <c r="C287" t="s">
        <v>1357</v>
      </c>
      <c r="D287" t="s">
        <v>1358</v>
      </c>
      <c r="E287" t="s">
        <v>1359</v>
      </c>
      <c r="F287" t="s">
        <v>27</v>
      </c>
      <c r="G287">
        <v>1</v>
      </c>
      <c r="H287" t="s">
        <v>1360</v>
      </c>
      <c r="I287" t="s">
        <v>1361</v>
      </c>
      <c r="J287" t="s">
        <v>1362</v>
      </c>
      <c r="K287" t="s">
        <v>1361</v>
      </c>
      <c r="L287" t="s">
        <v>358</v>
      </c>
      <c r="M287" s="1" t="str">
        <f t="shared" si="28"/>
        <v>15B290</v>
      </c>
      <c r="N287" s="1" t="str">
        <f t="shared" si="29"/>
        <v>C/O</v>
      </c>
      <c r="O287" s="1" t="str">
        <f t="shared" si="30"/>
        <v>Centre Joint</v>
      </c>
      <c r="P287" s="1" t="str">
        <f t="shared" si="31"/>
        <v>6D60</v>
      </c>
      <c r="Q287" s="2" t="str">
        <f t="shared" si="32"/>
        <v>6D60Centre Joint</v>
      </c>
      <c r="R287" s="2" t="str">
        <f>New_Xref[[#This Row],[Serial Prefix]]&amp;IF(New_Xref[[#This Row],[Func Loc]]&lt;&gt;"",New_Xref[[#This Row],[Func Loc]],"NO MATCH")</f>
        <v>6D60MYHD .VALV.CEJO</v>
      </c>
      <c r="S287" s="3" t="str">
        <f t="shared" si="33"/>
        <v>6D605074247XCentre Joint</v>
      </c>
      <c r="T287" s="3" t="s">
        <v>359</v>
      </c>
      <c r="U287" s="3" t="s">
        <v>34</v>
      </c>
      <c r="V287" t="str">
        <f t="shared" si="34"/>
        <v>506000</v>
      </c>
    </row>
    <row r="288" spans="1:22">
      <c r="A288" t="s">
        <v>1086</v>
      </c>
      <c r="B288" t="s">
        <v>1102</v>
      </c>
      <c r="C288" t="s">
        <v>1357</v>
      </c>
      <c r="D288" t="s">
        <v>1358</v>
      </c>
      <c r="E288" t="s">
        <v>1359</v>
      </c>
      <c r="F288" t="s">
        <v>27</v>
      </c>
      <c r="G288">
        <v>1</v>
      </c>
      <c r="H288" t="s">
        <v>1360</v>
      </c>
      <c r="I288" t="s">
        <v>1363</v>
      </c>
      <c r="J288" t="s">
        <v>1364</v>
      </c>
      <c r="K288" t="s">
        <v>1363</v>
      </c>
      <c r="L288" t="s">
        <v>358</v>
      </c>
      <c r="M288" s="1" t="str">
        <f t="shared" si="28"/>
        <v>15B405</v>
      </c>
      <c r="N288" s="1" t="str">
        <f t="shared" si="29"/>
        <v>C/O</v>
      </c>
      <c r="O288" s="1" t="str">
        <f t="shared" si="30"/>
        <v>Centre Joint</v>
      </c>
      <c r="P288" s="1" t="str">
        <f t="shared" si="31"/>
        <v>6P60</v>
      </c>
      <c r="Q288" s="2" t="str">
        <f t="shared" si="32"/>
        <v>6P60Centre Joint</v>
      </c>
      <c r="R288" s="2" t="str">
        <f>New_Xref[[#This Row],[Serial Prefix]]&amp;IF(New_Xref[[#This Row],[Func Loc]]&lt;&gt;"",New_Xref[[#This Row],[Func Loc]],"NO MATCH")</f>
        <v>6P60MYHD .VALV.CEJO</v>
      </c>
      <c r="S288" s="3" t="str">
        <f t="shared" si="33"/>
        <v>6P605074247XCentre Joint</v>
      </c>
      <c r="T288" s="3" t="s">
        <v>359</v>
      </c>
      <c r="U288" s="3" t="s">
        <v>34</v>
      </c>
      <c r="V288" t="str">
        <f t="shared" si="34"/>
        <v>506000</v>
      </c>
    </row>
    <row r="289" spans="1:22">
      <c r="A289" t="s">
        <v>1086</v>
      </c>
      <c r="B289" t="s">
        <v>1132</v>
      </c>
      <c r="C289" t="s">
        <v>1365</v>
      </c>
      <c r="D289" t="s">
        <v>1366</v>
      </c>
      <c r="E289" t="s">
        <v>1367</v>
      </c>
      <c r="F289" t="s">
        <v>27</v>
      </c>
      <c r="G289">
        <v>1</v>
      </c>
      <c r="H289" t="s">
        <v>1368</v>
      </c>
      <c r="I289" t="s">
        <v>1369</v>
      </c>
      <c r="J289" t="s">
        <v>1370</v>
      </c>
      <c r="K289" t="s">
        <v>1369</v>
      </c>
      <c r="L289" t="s">
        <v>83</v>
      </c>
      <c r="M289" s="1" t="str">
        <f t="shared" si="28"/>
        <v>15H402</v>
      </c>
      <c r="N289" s="1" t="str">
        <f t="shared" si="29"/>
        <v>C/O</v>
      </c>
      <c r="O289" s="1" t="str">
        <f t="shared" si="30"/>
        <v>Replenishing Pump No 1 LH</v>
      </c>
      <c r="P289" s="1" t="str">
        <f t="shared" si="31"/>
        <v>6D60</v>
      </c>
      <c r="Q289" s="2" t="str">
        <f t="shared" si="32"/>
        <v>6D60Replenishing Pump No 1 LH</v>
      </c>
      <c r="R289" s="2" t="str">
        <f>New_Xref[[#This Row],[Serial Prefix]]&amp;IF(New_Xref[[#This Row],[Func Loc]]&lt;&gt;"",New_Xref[[#This Row],[Func Loc]],"NO MATCH")</f>
        <v>6D60NO MATCH</v>
      </c>
      <c r="S289" s="3" t="str">
        <f t="shared" si="33"/>
        <v>6D6020R2022Replenishing Pump No 1 LH</v>
      </c>
      <c r="T289" s="3" t="s">
        <v>220</v>
      </c>
      <c r="U289" s="3" t="s">
        <v>108</v>
      </c>
      <c r="V289" t="str">
        <f t="shared" si="34"/>
        <v>5070LT</v>
      </c>
    </row>
    <row r="290" spans="1:22">
      <c r="A290" t="s">
        <v>1086</v>
      </c>
      <c r="B290" t="s">
        <v>1132</v>
      </c>
      <c r="C290" t="s">
        <v>1365</v>
      </c>
      <c r="D290" t="s">
        <v>1366</v>
      </c>
      <c r="E290" t="s">
        <v>1367</v>
      </c>
      <c r="F290" t="s">
        <v>27</v>
      </c>
      <c r="G290">
        <v>1</v>
      </c>
      <c r="H290" t="s">
        <v>1371</v>
      </c>
      <c r="I290" t="s">
        <v>1372</v>
      </c>
      <c r="J290" t="s">
        <v>1373</v>
      </c>
      <c r="K290" t="s">
        <v>1372</v>
      </c>
      <c r="L290" t="s">
        <v>83</v>
      </c>
      <c r="M290" s="1" t="str">
        <f t="shared" si="28"/>
        <v>15H402</v>
      </c>
      <c r="N290" s="1" t="str">
        <f t="shared" si="29"/>
        <v>C/O</v>
      </c>
      <c r="O290" s="1" t="str">
        <f t="shared" si="30"/>
        <v>Replenishing Pump No 2 RH</v>
      </c>
      <c r="P290" s="1" t="str">
        <f t="shared" si="31"/>
        <v>6D60</v>
      </c>
      <c r="Q290" s="2" t="str">
        <f t="shared" si="32"/>
        <v>6D60Replenishing Pump No 2 RH</v>
      </c>
      <c r="R290" s="2" t="str">
        <f>New_Xref[[#This Row],[Serial Prefix]]&amp;IF(New_Xref[[#This Row],[Func Loc]]&lt;&gt;"",New_Xref[[#This Row],[Func Loc]],"NO MATCH")</f>
        <v>6D60NO MATCH</v>
      </c>
      <c r="S290" s="3" t="str">
        <f t="shared" si="33"/>
        <v>6D6020R2022Replenishing Pump No 2 RH</v>
      </c>
      <c r="T290" s="3" t="s">
        <v>220</v>
      </c>
      <c r="U290" s="3" t="s">
        <v>115</v>
      </c>
      <c r="V290" t="str">
        <f t="shared" si="34"/>
        <v>5070RI</v>
      </c>
    </row>
    <row r="291" spans="1:22">
      <c r="A291" t="s">
        <v>1086</v>
      </c>
      <c r="B291" t="s">
        <v>1102</v>
      </c>
      <c r="C291" t="s">
        <v>1365</v>
      </c>
      <c r="D291" t="s">
        <v>1366</v>
      </c>
      <c r="E291" t="s">
        <v>1367</v>
      </c>
      <c r="F291" t="s">
        <v>27</v>
      </c>
      <c r="G291">
        <v>1</v>
      </c>
      <c r="H291" t="s">
        <v>1368</v>
      </c>
      <c r="I291" t="s">
        <v>1374</v>
      </c>
      <c r="J291" t="s">
        <v>1375</v>
      </c>
      <c r="K291" t="s">
        <v>1374</v>
      </c>
      <c r="L291" t="s">
        <v>83</v>
      </c>
      <c r="M291" s="1" t="str">
        <f t="shared" si="28"/>
        <v>15B405</v>
      </c>
      <c r="N291" s="1" t="str">
        <f t="shared" si="29"/>
        <v>C/O</v>
      </c>
      <c r="O291" s="1" t="str">
        <f t="shared" si="30"/>
        <v>Replenishing Pump No 1 LH</v>
      </c>
      <c r="P291" s="1" t="str">
        <f t="shared" si="31"/>
        <v>6P60</v>
      </c>
      <c r="Q291" s="2" t="str">
        <f t="shared" si="32"/>
        <v>6P60Replenishing Pump No 1 LH</v>
      </c>
      <c r="R291" s="2" t="str">
        <f>New_Xref[[#This Row],[Serial Prefix]]&amp;IF(New_Xref[[#This Row],[Func Loc]]&lt;&gt;"",New_Xref[[#This Row],[Func Loc]],"NO MATCH")</f>
        <v>6P60NO MATCH</v>
      </c>
      <c r="S291" s="3" t="str">
        <f t="shared" si="33"/>
        <v>6P6020R2022Replenishing Pump No 1 LH</v>
      </c>
      <c r="T291" s="3" t="s">
        <v>220</v>
      </c>
      <c r="U291" s="3" t="s">
        <v>108</v>
      </c>
      <c r="V291" t="str">
        <f t="shared" si="34"/>
        <v>5070LT</v>
      </c>
    </row>
    <row r="292" spans="1:22">
      <c r="A292" t="s">
        <v>1086</v>
      </c>
      <c r="B292" t="s">
        <v>1102</v>
      </c>
      <c r="C292" t="s">
        <v>1365</v>
      </c>
      <c r="D292" t="s">
        <v>1366</v>
      </c>
      <c r="E292" t="s">
        <v>1367</v>
      </c>
      <c r="F292" t="s">
        <v>27</v>
      </c>
      <c r="G292">
        <v>1</v>
      </c>
      <c r="H292" t="s">
        <v>1371</v>
      </c>
      <c r="I292" t="s">
        <v>1376</v>
      </c>
      <c r="J292" t="s">
        <v>1377</v>
      </c>
      <c r="K292" t="s">
        <v>1376</v>
      </c>
      <c r="L292" t="s">
        <v>83</v>
      </c>
      <c r="M292" s="1" t="str">
        <f t="shared" si="28"/>
        <v>15B290</v>
      </c>
      <c r="N292" s="1" t="str">
        <f t="shared" si="29"/>
        <v>C/O</v>
      </c>
      <c r="O292" s="1" t="str">
        <f t="shared" si="30"/>
        <v>Replenishing Pump No 2 RH</v>
      </c>
      <c r="P292" s="1" t="str">
        <f t="shared" si="31"/>
        <v>6P60</v>
      </c>
      <c r="Q292" s="2" t="str">
        <f t="shared" si="32"/>
        <v>6P60Replenishing Pump No 2 RH</v>
      </c>
      <c r="R292" s="2" t="str">
        <f>New_Xref[[#This Row],[Serial Prefix]]&amp;IF(New_Xref[[#This Row],[Func Loc]]&lt;&gt;"",New_Xref[[#This Row],[Func Loc]],"NO MATCH")</f>
        <v>6P60NO MATCH</v>
      </c>
      <c r="S292" s="3" t="str">
        <f t="shared" si="33"/>
        <v>6P6020R2022Replenishing Pump No 2 RH</v>
      </c>
      <c r="T292" s="3" t="s">
        <v>220</v>
      </c>
      <c r="U292" s="3" t="s">
        <v>115</v>
      </c>
      <c r="V292" t="str">
        <f t="shared" si="34"/>
        <v>5070RI</v>
      </c>
    </row>
    <row r="293" spans="1:22">
      <c r="A293" t="s">
        <v>1086</v>
      </c>
      <c r="B293" t="s">
        <v>1087</v>
      </c>
      <c r="C293" t="s">
        <v>1378</v>
      </c>
      <c r="D293" t="s">
        <v>1379</v>
      </c>
      <c r="E293" t="s">
        <v>1380</v>
      </c>
      <c r="F293" t="s">
        <v>27</v>
      </c>
      <c r="G293">
        <v>1</v>
      </c>
      <c r="H293" t="s">
        <v>1381</v>
      </c>
      <c r="I293" t="s">
        <v>1382</v>
      </c>
      <c r="J293" t="s">
        <v>1383</v>
      </c>
      <c r="K293" t="s">
        <v>1384</v>
      </c>
      <c r="L293" t="s">
        <v>83</v>
      </c>
      <c r="M293" s="1" t="str">
        <f t="shared" si="28"/>
        <v>15B290</v>
      </c>
      <c r="N293" s="1" t="str">
        <f t="shared" si="29"/>
        <v>C/O</v>
      </c>
      <c r="O293" s="1" t="str">
        <f t="shared" si="30"/>
        <v>Main Hydraulic Pump 1 &amp; 2</v>
      </c>
      <c r="P293" s="1" t="str">
        <f t="shared" si="31"/>
        <v>6D60</v>
      </c>
      <c r="Q293" s="2" t="str">
        <f t="shared" si="32"/>
        <v>6D60Main Hydraulic Pump 1 &amp; 2</v>
      </c>
      <c r="R293" s="2" t="str">
        <f>New_Xref[[#This Row],[Serial Prefix]]&amp;IF(New_Xref[[#This Row],[Func Loc]]&lt;&gt;"",New_Xref[[#This Row],[Func Loc]],"NO MATCH")</f>
        <v>6D60NO MATCH</v>
      </c>
      <c r="S293" s="3" t="str">
        <f t="shared" si="33"/>
        <v>6D6020R2009Main Hydraulic Pump 1 &amp; 2</v>
      </c>
      <c r="T293" s="3" t="s">
        <v>371</v>
      </c>
      <c r="U293" s="3" t="s">
        <v>89</v>
      </c>
      <c r="V293" t="str">
        <f t="shared" si="34"/>
        <v>5084LF</v>
      </c>
    </row>
    <row r="294" spans="1:22">
      <c r="A294" t="s">
        <v>1086</v>
      </c>
      <c r="B294" t="s">
        <v>1087</v>
      </c>
      <c r="C294" t="s">
        <v>1378</v>
      </c>
      <c r="D294" t="s">
        <v>1379</v>
      </c>
      <c r="E294" t="s">
        <v>1380</v>
      </c>
      <c r="F294" t="s">
        <v>27</v>
      </c>
      <c r="G294">
        <v>1</v>
      </c>
      <c r="H294" t="s">
        <v>1381</v>
      </c>
      <c r="I294" t="s">
        <v>1385</v>
      </c>
      <c r="J294" t="s">
        <v>1386</v>
      </c>
      <c r="K294" t="s">
        <v>1387</v>
      </c>
      <c r="L294" t="s">
        <v>83</v>
      </c>
      <c r="M294" s="1" t="str">
        <f t="shared" si="28"/>
        <v>15B290</v>
      </c>
      <c r="N294" s="1" t="str">
        <f t="shared" si="29"/>
        <v>C/O</v>
      </c>
      <c r="O294" s="1" t="str">
        <f t="shared" si="30"/>
        <v>Main Hydraulic Pump 3 &amp; 4</v>
      </c>
      <c r="P294" s="1" t="str">
        <f t="shared" si="31"/>
        <v>6D60</v>
      </c>
      <c r="Q294" s="2" t="str">
        <f t="shared" si="32"/>
        <v>6D60Main Hydraulic Pump 3 &amp; 4</v>
      </c>
      <c r="R294" s="2" t="str">
        <f>New_Xref[[#This Row],[Serial Prefix]]&amp;IF(New_Xref[[#This Row],[Func Loc]]&lt;&gt;"",New_Xref[[#This Row],[Func Loc]],"NO MATCH")</f>
        <v>6D60NO MATCH</v>
      </c>
      <c r="S294" s="3" t="str">
        <f t="shared" si="33"/>
        <v>6D6020R2009Main Hydraulic Pump 3 &amp; 4</v>
      </c>
      <c r="T294" s="3" t="s">
        <v>371</v>
      </c>
      <c r="U294" s="3" t="s">
        <v>92</v>
      </c>
      <c r="V294" t="str">
        <f t="shared" si="34"/>
        <v>5084RF</v>
      </c>
    </row>
    <row r="295" spans="1:22">
      <c r="A295" t="s">
        <v>1086</v>
      </c>
      <c r="B295" t="s">
        <v>1087</v>
      </c>
      <c r="C295" t="s">
        <v>1378</v>
      </c>
      <c r="D295" t="s">
        <v>1379</v>
      </c>
      <c r="E295" t="s">
        <v>1380</v>
      </c>
      <c r="F295" t="s">
        <v>27</v>
      </c>
      <c r="G295">
        <v>1</v>
      </c>
      <c r="H295" t="s">
        <v>1381</v>
      </c>
      <c r="I295" t="s">
        <v>1388</v>
      </c>
      <c r="J295" t="s">
        <v>1389</v>
      </c>
      <c r="K295" t="s">
        <v>1390</v>
      </c>
      <c r="L295" t="s">
        <v>83</v>
      </c>
      <c r="M295" s="1" t="str">
        <f t="shared" si="28"/>
        <v>15B290</v>
      </c>
      <c r="N295" s="1" t="str">
        <f t="shared" si="29"/>
        <v>C/O</v>
      </c>
      <c r="O295" s="1" t="str">
        <f t="shared" si="30"/>
        <v>Main Hydraulic Pump 5 &amp; 6</v>
      </c>
      <c r="P295" s="1" t="str">
        <f t="shared" si="31"/>
        <v>6D60</v>
      </c>
      <c r="Q295" s="2" t="str">
        <f t="shared" si="32"/>
        <v>6D60Main Hydraulic Pump 5 &amp; 6</v>
      </c>
      <c r="R295" s="2" t="str">
        <f>New_Xref[[#This Row],[Serial Prefix]]&amp;IF(New_Xref[[#This Row],[Func Loc]]&lt;&gt;"",New_Xref[[#This Row],[Func Loc]],"NO MATCH")</f>
        <v>6D60NO MATCH</v>
      </c>
      <c r="S295" s="3" t="str">
        <f t="shared" si="33"/>
        <v>6D6020R2009Main Hydraulic Pump 5 &amp; 6</v>
      </c>
      <c r="T295" s="3" t="s">
        <v>371</v>
      </c>
      <c r="U295" s="3" t="s">
        <v>99</v>
      </c>
      <c r="V295" t="str">
        <f t="shared" si="34"/>
        <v>5084RR</v>
      </c>
    </row>
    <row r="296" spans="1:22">
      <c r="A296" t="s">
        <v>1086</v>
      </c>
      <c r="B296" t="s">
        <v>1087</v>
      </c>
      <c r="C296" t="s">
        <v>1378</v>
      </c>
      <c r="D296" t="s">
        <v>1379</v>
      </c>
      <c r="E296" t="s">
        <v>1380</v>
      </c>
      <c r="F296" t="s">
        <v>27</v>
      </c>
      <c r="G296">
        <v>1</v>
      </c>
      <c r="H296" t="s">
        <v>1381</v>
      </c>
      <c r="I296" t="s">
        <v>1391</v>
      </c>
      <c r="J296" t="s">
        <v>1392</v>
      </c>
      <c r="K296" t="s">
        <v>1393</v>
      </c>
      <c r="L296" t="s">
        <v>83</v>
      </c>
      <c r="M296" s="1" t="str">
        <f t="shared" si="28"/>
        <v>15B290</v>
      </c>
      <c r="N296" s="1" t="str">
        <f t="shared" si="29"/>
        <v>C/O</v>
      </c>
      <c r="O296" s="1" t="str">
        <f t="shared" si="30"/>
        <v>Main Hydraulic Pump 7 &amp; 8</v>
      </c>
      <c r="P296" s="1" t="str">
        <f t="shared" si="31"/>
        <v>6D60</v>
      </c>
      <c r="Q296" s="2" t="str">
        <f t="shared" si="32"/>
        <v>6D60Main Hydraulic Pump 7 &amp; 8</v>
      </c>
      <c r="R296" s="2" t="str">
        <f>New_Xref[[#This Row],[Serial Prefix]]&amp;IF(New_Xref[[#This Row],[Func Loc]]&lt;&gt;"",New_Xref[[#This Row],[Func Loc]],"NO MATCH")</f>
        <v>6D60NO MATCH</v>
      </c>
      <c r="S296" s="3" t="str">
        <f t="shared" si="33"/>
        <v>6D6020R2009Main Hydraulic Pump 7 &amp; 8</v>
      </c>
      <c r="T296" s="3" t="s">
        <v>371</v>
      </c>
      <c r="U296" s="3" t="s">
        <v>96</v>
      </c>
      <c r="V296" t="str">
        <f t="shared" si="34"/>
        <v>5084LR</v>
      </c>
    </row>
    <row r="297" spans="1:22">
      <c r="A297" t="s">
        <v>1086</v>
      </c>
      <c r="B297" t="s">
        <v>1102</v>
      </c>
      <c r="C297" t="s">
        <v>1378</v>
      </c>
      <c r="D297" t="s">
        <v>1379</v>
      </c>
      <c r="E297" t="s">
        <v>1380</v>
      </c>
      <c r="F297" t="s">
        <v>27</v>
      </c>
      <c r="G297">
        <v>1</v>
      </c>
      <c r="H297" t="s">
        <v>1381</v>
      </c>
      <c r="I297" t="s">
        <v>1394</v>
      </c>
      <c r="J297" t="s">
        <v>1395</v>
      </c>
      <c r="K297" t="s">
        <v>1396</v>
      </c>
      <c r="L297" t="s">
        <v>83</v>
      </c>
      <c r="M297" s="1" t="str">
        <f t="shared" si="28"/>
        <v>15B405</v>
      </c>
      <c r="N297" s="1" t="str">
        <f t="shared" si="29"/>
        <v>C/O</v>
      </c>
      <c r="O297" s="1" t="str">
        <f t="shared" si="30"/>
        <v>Main Hydraulic Pump 1 &amp; 2</v>
      </c>
      <c r="P297" s="1" t="str">
        <f t="shared" si="31"/>
        <v>6P60</v>
      </c>
      <c r="Q297" s="2" t="str">
        <f t="shared" si="32"/>
        <v>6P60Main Hydraulic Pump 1 &amp; 2</v>
      </c>
      <c r="R297" s="2" t="str">
        <f>New_Xref[[#This Row],[Serial Prefix]]&amp;IF(New_Xref[[#This Row],[Func Loc]]&lt;&gt;"",New_Xref[[#This Row],[Func Loc]],"NO MATCH")</f>
        <v>6P60NO MATCH</v>
      </c>
      <c r="S297" s="3" t="str">
        <f t="shared" si="33"/>
        <v>6P6020R2009Main Hydraulic Pump 1 &amp; 2</v>
      </c>
      <c r="T297" s="3" t="s">
        <v>371</v>
      </c>
      <c r="U297" s="3" t="s">
        <v>89</v>
      </c>
      <c r="V297" t="str">
        <f t="shared" si="34"/>
        <v>5084LF</v>
      </c>
    </row>
    <row r="298" spans="1:22">
      <c r="A298" t="s">
        <v>1086</v>
      </c>
      <c r="B298" t="s">
        <v>1102</v>
      </c>
      <c r="C298" t="s">
        <v>1378</v>
      </c>
      <c r="D298" t="s">
        <v>1379</v>
      </c>
      <c r="E298" t="s">
        <v>1380</v>
      </c>
      <c r="F298" t="s">
        <v>27</v>
      </c>
      <c r="G298">
        <v>1</v>
      </c>
      <c r="H298" t="s">
        <v>1381</v>
      </c>
      <c r="I298" t="s">
        <v>1397</v>
      </c>
      <c r="J298" t="s">
        <v>1398</v>
      </c>
      <c r="K298" t="s">
        <v>1399</v>
      </c>
      <c r="L298" t="s">
        <v>83</v>
      </c>
      <c r="M298" s="1" t="str">
        <f t="shared" si="28"/>
        <v>15B405</v>
      </c>
      <c r="N298" s="1" t="str">
        <f t="shared" si="29"/>
        <v>C/O</v>
      </c>
      <c r="O298" s="1" t="str">
        <f t="shared" si="30"/>
        <v>Main Hydraulic Pump 3 &amp; 4</v>
      </c>
      <c r="P298" s="1" t="str">
        <f t="shared" si="31"/>
        <v>6P60</v>
      </c>
      <c r="Q298" s="2" t="str">
        <f t="shared" si="32"/>
        <v>6P60Main Hydraulic Pump 3 &amp; 4</v>
      </c>
      <c r="R298" s="2" t="str">
        <f>New_Xref[[#This Row],[Serial Prefix]]&amp;IF(New_Xref[[#This Row],[Func Loc]]&lt;&gt;"",New_Xref[[#This Row],[Func Loc]],"NO MATCH")</f>
        <v>6P60NO MATCH</v>
      </c>
      <c r="S298" s="3" t="str">
        <f t="shared" si="33"/>
        <v>6P6020R2009Main Hydraulic Pump 3 &amp; 4</v>
      </c>
      <c r="T298" s="3" t="s">
        <v>371</v>
      </c>
      <c r="U298" s="3" t="s">
        <v>96</v>
      </c>
      <c r="V298" t="str">
        <f t="shared" si="34"/>
        <v>5084LR</v>
      </c>
    </row>
    <row r="299" spans="1:22">
      <c r="A299" t="s">
        <v>1086</v>
      </c>
      <c r="B299" t="s">
        <v>1102</v>
      </c>
      <c r="C299" t="s">
        <v>1378</v>
      </c>
      <c r="D299" t="s">
        <v>1379</v>
      </c>
      <c r="E299" t="s">
        <v>1380</v>
      </c>
      <c r="F299" t="s">
        <v>27</v>
      </c>
      <c r="G299">
        <v>1</v>
      </c>
      <c r="H299" t="s">
        <v>1381</v>
      </c>
      <c r="I299" t="s">
        <v>1400</v>
      </c>
      <c r="J299" t="s">
        <v>1401</v>
      </c>
      <c r="K299" t="s">
        <v>1402</v>
      </c>
      <c r="L299" t="s">
        <v>83</v>
      </c>
      <c r="M299" s="1" t="str">
        <f t="shared" si="28"/>
        <v>15B405</v>
      </c>
      <c r="N299" s="1" t="str">
        <f t="shared" si="29"/>
        <v>C/O</v>
      </c>
      <c r="O299" s="1" t="str">
        <f t="shared" si="30"/>
        <v>Main Hydraulic Pump 5 &amp; 6</v>
      </c>
      <c r="P299" s="1" t="str">
        <f t="shared" si="31"/>
        <v>6P60</v>
      </c>
      <c r="Q299" s="2" t="str">
        <f t="shared" si="32"/>
        <v>6P60Main Hydraulic Pump 5 &amp; 6</v>
      </c>
      <c r="R299" s="2" t="str">
        <f>New_Xref[[#This Row],[Serial Prefix]]&amp;IF(New_Xref[[#This Row],[Func Loc]]&lt;&gt;"",New_Xref[[#This Row],[Func Loc]],"NO MATCH")</f>
        <v>6P60NO MATCH</v>
      </c>
      <c r="S299" s="3" t="str">
        <f t="shared" si="33"/>
        <v>6P6020R2009Main Hydraulic Pump 5 &amp; 6</v>
      </c>
      <c r="T299" s="3" t="s">
        <v>371</v>
      </c>
      <c r="U299" s="3" t="s">
        <v>92</v>
      </c>
      <c r="V299" t="str">
        <f t="shared" si="34"/>
        <v>5084RF</v>
      </c>
    </row>
    <row r="300" spans="1:22">
      <c r="A300" t="s">
        <v>1086</v>
      </c>
      <c r="B300" t="s">
        <v>1102</v>
      </c>
      <c r="C300" t="s">
        <v>1378</v>
      </c>
      <c r="D300" t="s">
        <v>1379</v>
      </c>
      <c r="E300" t="s">
        <v>1380</v>
      </c>
      <c r="F300" t="s">
        <v>27</v>
      </c>
      <c r="G300">
        <v>1</v>
      </c>
      <c r="H300" t="s">
        <v>1381</v>
      </c>
      <c r="I300" t="s">
        <v>1403</v>
      </c>
      <c r="J300" t="s">
        <v>1404</v>
      </c>
      <c r="K300" t="s">
        <v>1405</v>
      </c>
      <c r="L300" t="s">
        <v>83</v>
      </c>
      <c r="M300" s="1" t="str">
        <f t="shared" si="28"/>
        <v>15B405</v>
      </c>
      <c r="N300" s="1" t="str">
        <f t="shared" si="29"/>
        <v>C/O</v>
      </c>
      <c r="O300" s="1" t="str">
        <f t="shared" si="30"/>
        <v>Main Hydraulic Pump 7 &amp; 8</v>
      </c>
      <c r="P300" s="1" t="str">
        <f t="shared" si="31"/>
        <v>6P60</v>
      </c>
      <c r="Q300" s="2" t="str">
        <f t="shared" si="32"/>
        <v>6P60Main Hydraulic Pump 7 &amp; 8</v>
      </c>
      <c r="R300" s="2" t="str">
        <f>New_Xref[[#This Row],[Serial Prefix]]&amp;IF(New_Xref[[#This Row],[Func Loc]]&lt;&gt;"",New_Xref[[#This Row],[Func Loc]],"NO MATCH")</f>
        <v>6P60NO MATCH</v>
      </c>
      <c r="S300" s="3" t="str">
        <f t="shared" si="33"/>
        <v>6P6020R2009Main Hydraulic Pump 7 &amp; 8</v>
      </c>
      <c r="T300" s="3" t="s">
        <v>371</v>
      </c>
      <c r="U300" s="3" t="s">
        <v>99</v>
      </c>
      <c r="V300" t="str">
        <f t="shared" si="34"/>
        <v>5084RR</v>
      </c>
    </row>
    <row r="301" spans="1:22">
      <c r="A301" t="s">
        <v>1086</v>
      </c>
      <c r="B301" t="s">
        <v>1087</v>
      </c>
      <c r="C301" t="s">
        <v>1406</v>
      </c>
      <c r="D301" t="s">
        <v>1407</v>
      </c>
      <c r="E301" t="s">
        <v>1408</v>
      </c>
      <c r="F301" t="s">
        <v>27</v>
      </c>
      <c r="G301">
        <v>1</v>
      </c>
      <c r="H301" t="s">
        <v>1409</v>
      </c>
      <c r="I301" t="s">
        <v>1410</v>
      </c>
      <c r="J301" t="s">
        <v>1411</v>
      </c>
      <c r="K301" t="s">
        <v>1410</v>
      </c>
      <c r="L301" t="s">
        <v>992</v>
      </c>
      <c r="M301" s="1" t="str">
        <f t="shared" si="28"/>
        <v>15B290</v>
      </c>
      <c r="N301" s="1" t="str">
        <f t="shared" si="29"/>
        <v>C/O</v>
      </c>
      <c r="O301" s="1" t="str">
        <f t="shared" si="30"/>
        <v>Pilot Pump LH No 1</v>
      </c>
      <c r="P301" s="1" t="str">
        <f t="shared" si="31"/>
        <v>6D60</v>
      </c>
      <c r="Q301" s="2" t="str">
        <f t="shared" si="32"/>
        <v>6D60Pilot Pump LH No 1</v>
      </c>
      <c r="R301" s="2" t="str">
        <f>New_Xref[[#This Row],[Serial Prefix]]&amp;IF(New_Xref[[#This Row],[Func Loc]]&lt;&gt;"",New_Xref[[#This Row],[Func Loc]],"NO MATCH")</f>
        <v>6D60MYHD .PUMP.PPL1</v>
      </c>
      <c r="S301" s="3" t="str">
        <f t="shared" si="33"/>
        <v>6D604715778Pilot Pump LH No 1</v>
      </c>
      <c r="T301" s="3" t="s">
        <v>993</v>
      </c>
      <c r="U301" s="3" t="s">
        <v>34</v>
      </c>
      <c r="V301" t="str">
        <f t="shared" si="34"/>
        <v>508500</v>
      </c>
    </row>
    <row r="302" spans="1:22">
      <c r="A302" t="s">
        <v>1086</v>
      </c>
      <c r="B302" t="s">
        <v>1087</v>
      </c>
      <c r="C302" t="s">
        <v>1406</v>
      </c>
      <c r="D302" t="s">
        <v>1407</v>
      </c>
      <c r="E302" t="s">
        <v>1408</v>
      </c>
      <c r="F302" t="s">
        <v>27</v>
      </c>
      <c r="G302">
        <v>1</v>
      </c>
      <c r="H302" t="s">
        <v>1409</v>
      </c>
      <c r="I302" t="s">
        <v>1412</v>
      </c>
      <c r="J302" t="s">
        <v>1413</v>
      </c>
      <c r="K302" t="s">
        <v>1412</v>
      </c>
      <c r="L302" t="s">
        <v>1414</v>
      </c>
      <c r="M302" s="1" t="str">
        <f t="shared" si="28"/>
        <v>15B290</v>
      </c>
      <c r="N302" s="1" t="str">
        <f t="shared" si="29"/>
        <v>C/O</v>
      </c>
      <c r="O302" s="1" t="str">
        <f t="shared" si="30"/>
        <v>Pilot Pump LH No 2</v>
      </c>
      <c r="P302" s="1" t="str">
        <f t="shared" si="31"/>
        <v>6D60</v>
      </c>
      <c r="Q302" s="2" t="str">
        <f t="shared" si="32"/>
        <v>6D60Pilot Pump LH No 2</v>
      </c>
      <c r="R302" s="2" t="str">
        <f>New_Xref[[#This Row],[Serial Prefix]]&amp;IF(New_Xref[[#This Row],[Func Loc]]&lt;&gt;"",New_Xref[[#This Row],[Func Loc]],"NO MATCH")</f>
        <v>6D60MYHD .PUMP.PPL2</v>
      </c>
      <c r="S302" s="3" t="str">
        <f t="shared" si="33"/>
        <v>6D604715778Pilot Pump LH No 2</v>
      </c>
      <c r="T302" s="3" t="s">
        <v>993</v>
      </c>
      <c r="U302" s="3" t="s">
        <v>34</v>
      </c>
      <c r="V302" t="str">
        <f t="shared" si="34"/>
        <v>508500</v>
      </c>
    </row>
    <row r="303" spans="1:22">
      <c r="A303" t="s">
        <v>1086</v>
      </c>
      <c r="B303" t="s">
        <v>1087</v>
      </c>
      <c r="C303" t="s">
        <v>1406</v>
      </c>
      <c r="D303" t="s">
        <v>1407</v>
      </c>
      <c r="E303" t="s">
        <v>1408</v>
      </c>
      <c r="F303" t="s">
        <v>27</v>
      </c>
      <c r="G303">
        <v>1</v>
      </c>
      <c r="H303" t="s">
        <v>1409</v>
      </c>
      <c r="I303" t="s">
        <v>1415</v>
      </c>
      <c r="J303" t="s">
        <v>1416</v>
      </c>
      <c r="K303" t="s">
        <v>1415</v>
      </c>
      <c r="L303" t="s">
        <v>996</v>
      </c>
      <c r="M303" s="1" t="str">
        <f t="shared" si="28"/>
        <v>15B290</v>
      </c>
      <c r="N303" s="1" t="str">
        <f t="shared" si="29"/>
        <v>C/O</v>
      </c>
      <c r="O303" s="1" t="str">
        <f t="shared" si="30"/>
        <v>Pilot Pump RH No 1</v>
      </c>
      <c r="P303" s="1" t="str">
        <f t="shared" si="31"/>
        <v>6D60</v>
      </c>
      <c r="Q303" s="2" t="str">
        <f t="shared" si="32"/>
        <v>6D60Pilot Pump RH No 1</v>
      </c>
      <c r="R303" s="2" t="str">
        <f>New_Xref[[#This Row],[Serial Prefix]]&amp;IF(New_Xref[[#This Row],[Func Loc]]&lt;&gt;"",New_Xref[[#This Row],[Func Loc]],"NO MATCH")</f>
        <v>6D60MYHD .PUMP.PPR1</v>
      </c>
      <c r="S303" s="3" t="str">
        <f t="shared" si="33"/>
        <v>6D604715778Pilot Pump RH No 1</v>
      </c>
      <c r="T303" s="3" t="s">
        <v>993</v>
      </c>
      <c r="U303" s="3" t="s">
        <v>34</v>
      </c>
      <c r="V303" t="str">
        <f t="shared" si="34"/>
        <v>508500</v>
      </c>
    </row>
    <row r="304" spans="1:22">
      <c r="A304" t="s">
        <v>1086</v>
      </c>
      <c r="B304" t="s">
        <v>1087</v>
      </c>
      <c r="C304" t="s">
        <v>1406</v>
      </c>
      <c r="D304" t="s">
        <v>1407</v>
      </c>
      <c r="E304" t="s">
        <v>1408</v>
      </c>
      <c r="F304" t="s">
        <v>27</v>
      </c>
      <c r="G304">
        <v>1</v>
      </c>
      <c r="H304" t="s">
        <v>1409</v>
      </c>
      <c r="I304" t="s">
        <v>1417</v>
      </c>
      <c r="J304" t="s">
        <v>1418</v>
      </c>
      <c r="K304" t="s">
        <v>1417</v>
      </c>
      <c r="L304" t="s">
        <v>1419</v>
      </c>
      <c r="M304" s="1" t="str">
        <f t="shared" si="28"/>
        <v>15B290</v>
      </c>
      <c r="N304" s="1" t="str">
        <f t="shared" si="29"/>
        <v>C/O</v>
      </c>
      <c r="O304" s="1" t="str">
        <f t="shared" si="30"/>
        <v>Pilot Pump RH No 2</v>
      </c>
      <c r="P304" s="1" t="str">
        <f t="shared" si="31"/>
        <v>6D60</v>
      </c>
      <c r="Q304" s="2" t="str">
        <f t="shared" si="32"/>
        <v>6D60Pilot Pump RH No 2</v>
      </c>
      <c r="R304" s="2" t="str">
        <f>New_Xref[[#This Row],[Serial Prefix]]&amp;IF(New_Xref[[#This Row],[Func Loc]]&lt;&gt;"",New_Xref[[#This Row],[Func Loc]],"NO MATCH")</f>
        <v>6D60MYHD .PUMP.PPR2</v>
      </c>
      <c r="S304" s="3" t="str">
        <f t="shared" si="33"/>
        <v>6D604715778Pilot Pump RH No 2</v>
      </c>
      <c r="T304" s="3" t="s">
        <v>993</v>
      </c>
      <c r="U304" s="3" t="s">
        <v>34</v>
      </c>
      <c r="V304" t="str">
        <f t="shared" si="34"/>
        <v>508500</v>
      </c>
    </row>
    <row r="305" spans="1:22">
      <c r="A305" t="s">
        <v>1086</v>
      </c>
      <c r="B305" t="s">
        <v>1087</v>
      </c>
      <c r="C305" t="s">
        <v>1420</v>
      </c>
      <c r="D305" t="s">
        <v>1421</v>
      </c>
      <c r="E305" t="s">
        <v>1422</v>
      </c>
      <c r="F305" t="s">
        <v>27</v>
      </c>
      <c r="G305">
        <v>1</v>
      </c>
      <c r="H305" t="s">
        <v>1423</v>
      </c>
      <c r="I305" t="s">
        <v>1424</v>
      </c>
      <c r="J305" t="s">
        <v>1425</v>
      </c>
      <c r="K305" t="s">
        <v>1424</v>
      </c>
      <c r="L305" t="s">
        <v>1014</v>
      </c>
      <c r="M305" s="1" t="str">
        <f t="shared" si="28"/>
        <v>15B290</v>
      </c>
      <c r="N305" s="1" t="str">
        <f t="shared" si="29"/>
        <v>C/O</v>
      </c>
      <c r="O305" s="1" t="str">
        <f t="shared" si="30"/>
        <v>Boom Cylinder LH</v>
      </c>
      <c r="P305" s="1" t="str">
        <f t="shared" si="31"/>
        <v>6D60</v>
      </c>
      <c r="Q305" s="2" t="str">
        <f t="shared" si="32"/>
        <v>6D60Boom Cylinder LH</v>
      </c>
      <c r="R305" s="2" t="str">
        <f>New_Xref[[#This Row],[Serial Prefix]]&amp;IF(New_Xref[[#This Row],[Func Loc]]&lt;&gt;"",New_Xref[[#This Row],[Func Loc]],"NO MATCH")</f>
        <v>6D60MYHD .CYLI.BOOL</v>
      </c>
      <c r="S305" s="3" t="str">
        <f t="shared" si="33"/>
        <v>6D604869962XBoom Cylinder LH</v>
      </c>
      <c r="T305" s="3" t="s">
        <v>1015</v>
      </c>
      <c r="U305" s="3" t="s">
        <v>108</v>
      </c>
      <c r="V305" t="str">
        <f t="shared" si="34"/>
        <v>5456LT</v>
      </c>
    </row>
    <row r="306" spans="1:22">
      <c r="A306" t="s">
        <v>1086</v>
      </c>
      <c r="B306" t="s">
        <v>1087</v>
      </c>
      <c r="C306" t="s">
        <v>1420</v>
      </c>
      <c r="D306" t="s">
        <v>1421</v>
      </c>
      <c r="E306" t="s">
        <v>1422</v>
      </c>
      <c r="F306" t="s">
        <v>27</v>
      </c>
      <c r="G306">
        <v>1</v>
      </c>
      <c r="H306" t="s">
        <v>1423</v>
      </c>
      <c r="I306" t="s">
        <v>1426</v>
      </c>
      <c r="J306" t="s">
        <v>1427</v>
      </c>
      <c r="K306" t="s">
        <v>1426</v>
      </c>
      <c r="L306" t="s">
        <v>1018</v>
      </c>
      <c r="M306" s="1" t="str">
        <f t="shared" si="28"/>
        <v>15B290</v>
      </c>
      <c r="N306" s="1" t="str">
        <f t="shared" si="29"/>
        <v>C/O</v>
      </c>
      <c r="O306" s="1" t="str">
        <f t="shared" si="30"/>
        <v>Boom Cylinder RH</v>
      </c>
      <c r="P306" s="1" t="str">
        <f t="shared" si="31"/>
        <v>6D60</v>
      </c>
      <c r="Q306" s="2" t="str">
        <f t="shared" si="32"/>
        <v>6D60Boom Cylinder RH</v>
      </c>
      <c r="R306" s="2" t="str">
        <f>New_Xref[[#This Row],[Serial Prefix]]&amp;IF(New_Xref[[#This Row],[Func Loc]]&lt;&gt;"",New_Xref[[#This Row],[Func Loc]],"NO MATCH")</f>
        <v>6D60MYHD .CYLI.BOOR</v>
      </c>
      <c r="S306" s="3" t="str">
        <f t="shared" si="33"/>
        <v>6D604869962XBoom Cylinder RH</v>
      </c>
      <c r="T306" s="3" t="s">
        <v>1015</v>
      </c>
      <c r="U306" s="3" t="s">
        <v>115</v>
      </c>
      <c r="V306" t="str">
        <f t="shared" si="34"/>
        <v>5456RI</v>
      </c>
    </row>
    <row r="307" spans="1:22">
      <c r="A307" t="s">
        <v>1086</v>
      </c>
      <c r="B307" t="s">
        <v>1102</v>
      </c>
      <c r="C307" t="s">
        <v>1420</v>
      </c>
      <c r="D307" t="s">
        <v>1421</v>
      </c>
      <c r="E307" t="s">
        <v>1422</v>
      </c>
      <c r="F307" t="s">
        <v>27</v>
      </c>
      <c r="G307">
        <v>1</v>
      </c>
      <c r="H307" t="s">
        <v>1423</v>
      </c>
      <c r="I307" t="s">
        <v>1428</v>
      </c>
      <c r="J307" t="s">
        <v>1429</v>
      </c>
      <c r="K307" t="s">
        <v>1428</v>
      </c>
      <c r="L307" t="s">
        <v>1018</v>
      </c>
      <c r="M307" s="1" t="str">
        <f t="shared" si="28"/>
        <v>15B405</v>
      </c>
      <c r="N307" s="1" t="str">
        <f t="shared" si="29"/>
        <v>C/O</v>
      </c>
      <c r="O307" s="1" t="str">
        <f t="shared" si="30"/>
        <v>Boom Cylinder RH</v>
      </c>
      <c r="P307" s="1" t="str">
        <f t="shared" si="31"/>
        <v>6P60</v>
      </c>
      <c r="Q307" s="2" t="str">
        <f t="shared" si="32"/>
        <v>6P60Boom Cylinder RH</v>
      </c>
      <c r="R307" s="2" t="str">
        <f>New_Xref[[#This Row],[Serial Prefix]]&amp;IF(New_Xref[[#This Row],[Func Loc]]&lt;&gt;"",New_Xref[[#This Row],[Func Loc]],"NO MATCH")</f>
        <v>6P60MYHD .CYLI.BOOR</v>
      </c>
      <c r="S307" s="3" t="str">
        <f t="shared" si="33"/>
        <v>6P604869962XBoom Cylinder RH</v>
      </c>
      <c r="T307" s="3" t="s">
        <v>1015</v>
      </c>
      <c r="U307" s="3" t="s">
        <v>115</v>
      </c>
      <c r="V307" t="str">
        <f t="shared" si="34"/>
        <v>5456RI</v>
      </c>
    </row>
    <row r="308" spans="1:22">
      <c r="A308" t="s">
        <v>1086</v>
      </c>
      <c r="B308" t="s">
        <v>1102</v>
      </c>
      <c r="C308" t="s">
        <v>1420</v>
      </c>
      <c r="D308" t="s">
        <v>1421</v>
      </c>
      <c r="E308" t="s">
        <v>1422</v>
      </c>
      <c r="F308" t="s">
        <v>27</v>
      </c>
      <c r="G308">
        <v>1</v>
      </c>
      <c r="H308" t="s">
        <v>1423</v>
      </c>
      <c r="I308" t="s">
        <v>1430</v>
      </c>
      <c r="J308" t="s">
        <v>1431</v>
      </c>
      <c r="K308" t="s">
        <v>1430</v>
      </c>
      <c r="L308" t="s">
        <v>1014</v>
      </c>
      <c r="M308" s="1" t="str">
        <f t="shared" si="28"/>
        <v>15B405</v>
      </c>
      <c r="N308" s="1" t="str">
        <f t="shared" si="29"/>
        <v>C/O</v>
      </c>
      <c r="O308" s="1" t="str">
        <f t="shared" si="30"/>
        <v>Boom Cylinder LH</v>
      </c>
      <c r="P308" s="1" t="str">
        <f t="shared" si="31"/>
        <v>6P60</v>
      </c>
      <c r="Q308" s="2" t="str">
        <f t="shared" si="32"/>
        <v>6P60Boom Cylinder LH</v>
      </c>
      <c r="R308" s="2" t="str">
        <f>New_Xref[[#This Row],[Serial Prefix]]&amp;IF(New_Xref[[#This Row],[Func Loc]]&lt;&gt;"",New_Xref[[#This Row],[Func Loc]],"NO MATCH")</f>
        <v>6P60MYHD .CYLI.BOOL</v>
      </c>
      <c r="S308" s="3" t="str">
        <f t="shared" si="33"/>
        <v>6P604869962XBoom Cylinder LH</v>
      </c>
      <c r="T308" s="3" t="s">
        <v>1015</v>
      </c>
      <c r="U308" s="3" t="s">
        <v>108</v>
      </c>
      <c r="V308" t="str">
        <f t="shared" si="34"/>
        <v>5456LT</v>
      </c>
    </row>
    <row r="309" spans="1:22">
      <c r="A309" t="s">
        <v>1086</v>
      </c>
      <c r="B309" t="s">
        <v>1087</v>
      </c>
      <c r="C309" t="s">
        <v>1432</v>
      </c>
      <c r="D309" t="s">
        <v>1433</v>
      </c>
      <c r="E309" t="s">
        <v>1434</v>
      </c>
      <c r="F309" t="s">
        <v>27</v>
      </c>
      <c r="G309">
        <v>1</v>
      </c>
      <c r="H309" t="s">
        <v>1435</v>
      </c>
      <c r="I309" t="s">
        <v>1436</v>
      </c>
      <c r="J309" t="s">
        <v>1437</v>
      </c>
      <c r="K309" t="s">
        <v>1436</v>
      </c>
      <c r="L309" t="s">
        <v>1025</v>
      </c>
      <c r="M309" s="1" t="str">
        <f t="shared" si="28"/>
        <v>15B290</v>
      </c>
      <c r="N309" s="1" t="str">
        <f t="shared" si="29"/>
        <v>C/O</v>
      </c>
      <c r="O309" s="1" t="str">
        <f t="shared" si="30"/>
        <v>Bucket Cylinder LH</v>
      </c>
      <c r="P309" s="1" t="str">
        <f t="shared" si="31"/>
        <v>6D60</v>
      </c>
      <c r="Q309" s="2" t="str">
        <f t="shared" si="32"/>
        <v>6D60Bucket Cylinder LH</v>
      </c>
      <c r="R309" s="2" t="str">
        <f>New_Xref[[#This Row],[Serial Prefix]]&amp;IF(New_Xref[[#This Row],[Func Loc]]&lt;&gt;"",New_Xref[[#This Row],[Func Loc]],"NO MATCH")</f>
        <v>6D60MYHD .CYLI.BUCL</v>
      </c>
      <c r="S309" s="3" t="str">
        <f t="shared" si="33"/>
        <v>6D605881455XBucket Cylinder LH</v>
      </c>
      <c r="T309" s="3" t="s">
        <v>1026</v>
      </c>
      <c r="U309" s="3" t="s">
        <v>108</v>
      </c>
      <c r="V309" t="str">
        <f t="shared" si="34"/>
        <v>5457LT</v>
      </c>
    </row>
    <row r="310" spans="1:22">
      <c r="A310" t="s">
        <v>1086</v>
      </c>
      <c r="B310" t="s">
        <v>1087</v>
      </c>
      <c r="C310" t="s">
        <v>1432</v>
      </c>
      <c r="D310" t="s">
        <v>1433</v>
      </c>
      <c r="E310" t="s">
        <v>1434</v>
      </c>
      <c r="F310" t="s">
        <v>27</v>
      </c>
      <c r="G310">
        <v>1</v>
      </c>
      <c r="H310" t="s">
        <v>1435</v>
      </c>
      <c r="I310" t="s">
        <v>1438</v>
      </c>
      <c r="J310" t="s">
        <v>1439</v>
      </c>
      <c r="K310" t="s">
        <v>1438</v>
      </c>
      <c r="L310" t="s">
        <v>1029</v>
      </c>
      <c r="M310" s="1" t="str">
        <f t="shared" si="28"/>
        <v>15B290</v>
      </c>
      <c r="N310" s="1" t="str">
        <f t="shared" si="29"/>
        <v>C/O</v>
      </c>
      <c r="O310" s="1" t="str">
        <f t="shared" si="30"/>
        <v>Bucket Cylinder RH</v>
      </c>
      <c r="P310" s="1" t="str">
        <f t="shared" si="31"/>
        <v>6D60</v>
      </c>
      <c r="Q310" s="2" t="str">
        <f t="shared" si="32"/>
        <v>6D60Bucket Cylinder RH</v>
      </c>
      <c r="R310" s="2" t="str">
        <f>New_Xref[[#This Row],[Serial Prefix]]&amp;IF(New_Xref[[#This Row],[Func Loc]]&lt;&gt;"",New_Xref[[#This Row],[Func Loc]],"NO MATCH")</f>
        <v>6D60MYHD .CYLI.BUCR</v>
      </c>
      <c r="S310" s="3" t="str">
        <f t="shared" si="33"/>
        <v>6D605881455XBucket Cylinder RH</v>
      </c>
      <c r="T310" s="3" t="s">
        <v>1026</v>
      </c>
      <c r="U310" s="3" t="s">
        <v>115</v>
      </c>
      <c r="V310" t="str">
        <f t="shared" si="34"/>
        <v>5457RI</v>
      </c>
    </row>
    <row r="311" spans="1:22">
      <c r="A311" t="s">
        <v>1086</v>
      </c>
      <c r="B311" t="s">
        <v>1102</v>
      </c>
      <c r="C311" t="s">
        <v>1432</v>
      </c>
      <c r="D311" t="s">
        <v>1433</v>
      </c>
      <c r="E311" t="s">
        <v>1021</v>
      </c>
      <c r="F311" t="s">
        <v>27</v>
      </c>
      <c r="G311">
        <v>1</v>
      </c>
      <c r="H311" t="s">
        <v>1435</v>
      </c>
      <c r="I311" t="s">
        <v>1440</v>
      </c>
      <c r="J311" t="s">
        <v>1441</v>
      </c>
      <c r="K311" t="s">
        <v>1440</v>
      </c>
      <c r="L311" t="s">
        <v>1029</v>
      </c>
      <c r="M311" s="1" t="str">
        <f t="shared" si="28"/>
        <v>15B405</v>
      </c>
      <c r="N311" s="1" t="str">
        <f t="shared" si="29"/>
        <v>C/O</v>
      </c>
      <c r="O311" s="1" t="str">
        <f t="shared" si="30"/>
        <v>Bucket Cylinder RH</v>
      </c>
      <c r="P311" s="1" t="str">
        <f t="shared" si="31"/>
        <v>6P60</v>
      </c>
      <c r="Q311" s="2" t="str">
        <f t="shared" si="32"/>
        <v>6P60Bucket Cylinder RH</v>
      </c>
      <c r="R311" s="2" t="str">
        <f>New_Xref[[#This Row],[Serial Prefix]]&amp;IF(New_Xref[[#This Row],[Func Loc]]&lt;&gt;"",New_Xref[[#This Row],[Func Loc]],"NO MATCH")</f>
        <v>6P60MYHD .CYLI.BUCR</v>
      </c>
      <c r="S311" s="3" t="str">
        <f t="shared" si="33"/>
        <v>6P605881455XBucket Cylinder RH</v>
      </c>
      <c r="T311" s="3" t="s">
        <v>1026</v>
      </c>
      <c r="U311" s="3" t="s">
        <v>115</v>
      </c>
      <c r="V311" t="str">
        <f t="shared" si="34"/>
        <v>5457RI</v>
      </c>
    </row>
    <row r="312" spans="1:22">
      <c r="A312" t="s">
        <v>1086</v>
      </c>
      <c r="B312" t="s">
        <v>1102</v>
      </c>
      <c r="C312" t="s">
        <v>1432</v>
      </c>
      <c r="D312" t="s">
        <v>1433</v>
      </c>
      <c r="E312" t="s">
        <v>1021</v>
      </c>
      <c r="F312" t="s">
        <v>27</v>
      </c>
      <c r="G312">
        <v>1</v>
      </c>
      <c r="H312" t="s">
        <v>1435</v>
      </c>
      <c r="I312" t="s">
        <v>1442</v>
      </c>
      <c r="J312" t="s">
        <v>1443</v>
      </c>
      <c r="K312" t="s">
        <v>1442</v>
      </c>
      <c r="L312" t="s">
        <v>1025</v>
      </c>
      <c r="M312" s="1" t="str">
        <f t="shared" si="28"/>
        <v>15B405</v>
      </c>
      <c r="N312" s="1" t="str">
        <f t="shared" si="29"/>
        <v>C/O</v>
      </c>
      <c r="O312" s="1" t="str">
        <f t="shared" si="30"/>
        <v>Bucket Cylinder LH</v>
      </c>
      <c r="P312" s="1" t="str">
        <f t="shared" si="31"/>
        <v>6P60</v>
      </c>
      <c r="Q312" s="2" t="str">
        <f t="shared" si="32"/>
        <v>6P60Bucket Cylinder LH</v>
      </c>
      <c r="R312" s="2" t="str">
        <f>New_Xref[[#This Row],[Serial Prefix]]&amp;IF(New_Xref[[#This Row],[Func Loc]]&lt;&gt;"",New_Xref[[#This Row],[Func Loc]],"NO MATCH")</f>
        <v>6P60MYHD .CYLI.BUCL</v>
      </c>
      <c r="S312" s="3" t="str">
        <f t="shared" si="33"/>
        <v>6P605881455XBucket Cylinder LH</v>
      </c>
      <c r="T312" s="3" t="s">
        <v>1026</v>
      </c>
      <c r="U312" s="3" t="s">
        <v>108</v>
      </c>
      <c r="V312" t="str">
        <f t="shared" si="34"/>
        <v>5457LT</v>
      </c>
    </row>
    <row r="313" spans="1:22">
      <c r="A313" t="s">
        <v>1086</v>
      </c>
      <c r="B313" t="s">
        <v>1087</v>
      </c>
      <c r="C313" t="s">
        <v>1444</v>
      </c>
      <c r="D313" t="s">
        <v>1445</v>
      </c>
      <c r="E313" t="s">
        <v>1446</v>
      </c>
      <c r="F313" t="s">
        <v>27</v>
      </c>
      <c r="G313">
        <v>1</v>
      </c>
      <c r="H313" t="s">
        <v>1447</v>
      </c>
      <c r="I313" t="s">
        <v>1448</v>
      </c>
      <c r="J313" t="s">
        <v>1449</v>
      </c>
      <c r="K313" t="s">
        <v>1448</v>
      </c>
      <c r="L313" t="s">
        <v>1036</v>
      </c>
      <c r="M313" s="1" t="str">
        <f t="shared" si="28"/>
        <v>15B290</v>
      </c>
      <c r="N313" s="1" t="str">
        <f t="shared" si="29"/>
        <v>C/O</v>
      </c>
      <c r="O313" s="1" t="str">
        <f t="shared" si="30"/>
        <v>Arm Cylinder LH</v>
      </c>
      <c r="P313" s="1" t="str">
        <f t="shared" si="31"/>
        <v>6D60</v>
      </c>
      <c r="Q313" s="2" t="str">
        <f t="shared" si="32"/>
        <v>6D60Arm Cylinder LH</v>
      </c>
      <c r="R313" s="2" t="str">
        <f>New_Xref[[#This Row],[Serial Prefix]]&amp;IF(New_Xref[[#This Row],[Func Loc]]&lt;&gt;"",New_Xref[[#This Row],[Func Loc]],"NO MATCH")</f>
        <v>6D60MYHD .CYLI.ARML</v>
      </c>
      <c r="S313" s="3" t="str">
        <f t="shared" si="33"/>
        <v>6D605039745XArm Cylinder LH</v>
      </c>
      <c r="T313" s="3" t="s">
        <v>1037</v>
      </c>
      <c r="U313" s="3" t="s">
        <v>108</v>
      </c>
      <c r="V313" t="str">
        <f t="shared" si="34"/>
        <v>5458LT</v>
      </c>
    </row>
    <row r="314" spans="1:22">
      <c r="A314" t="s">
        <v>1086</v>
      </c>
      <c r="B314" t="s">
        <v>1087</v>
      </c>
      <c r="C314" t="s">
        <v>1444</v>
      </c>
      <c r="D314" t="s">
        <v>1445</v>
      </c>
      <c r="E314" t="s">
        <v>1446</v>
      </c>
      <c r="F314" t="s">
        <v>27</v>
      </c>
      <c r="G314">
        <v>1</v>
      </c>
      <c r="H314" t="s">
        <v>1447</v>
      </c>
      <c r="I314" t="s">
        <v>1450</v>
      </c>
      <c r="J314" t="s">
        <v>1451</v>
      </c>
      <c r="K314" t="s">
        <v>1450</v>
      </c>
      <c r="L314" t="s">
        <v>1040</v>
      </c>
      <c r="M314" s="1" t="str">
        <f t="shared" si="28"/>
        <v>15B290</v>
      </c>
      <c r="N314" s="1" t="str">
        <f t="shared" si="29"/>
        <v>C/O</v>
      </c>
      <c r="O314" s="1" t="str">
        <f t="shared" si="30"/>
        <v>Arm Cylinder RH</v>
      </c>
      <c r="P314" s="1" t="str">
        <f t="shared" si="31"/>
        <v>6D60</v>
      </c>
      <c r="Q314" s="2" t="str">
        <f t="shared" si="32"/>
        <v>6D60Arm Cylinder RH</v>
      </c>
      <c r="R314" s="2" t="str">
        <f>New_Xref[[#This Row],[Serial Prefix]]&amp;IF(New_Xref[[#This Row],[Func Loc]]&lt;&gt;"",New_Xref[[#This Row],[Func Loc]],"NO MATCH")</f>
        <v>6D60MYHD .CYLI.ARMR</v>
      </c>
      <c r="S314" s="3" t="str">
        <f t="shared" si="33"/>
        <v>6D605039745XArm Cylinder RH</v>
      </c>
      <c r="T314" s="3" t="s">
        <v>1037</v>
      </c>
      <c r="U314" s="3" t="s">
        <v>115</v>
      </c>
      <c r="V314" t="str">
        <f t="shared" si="34"/>
        <v>5458RI</v>
      </c>
    </row>
    <row r="315" spans="1:22">
      <c r="A315" t="s">
        <v>1086</v>
      </c>
      <c r="B315" t="s">
        <v>1102</v>
      </c>
      <c r="C315" t="s">
        <v>1444</v>
      </c>
      <c r="D315" t="s">
        <v>1445</v>
      </c>
      <c r="E315" t="s">
        <v>1446</v>
      </c>
      <c r="F315" t="s">
        <v>27</v>
      </c>
      <c r="G315">
        <v>1</v>
      </c>
      <c r="H315" t="s">
        <v>1447</v>
      </c>
      <c r="I315" t="s">
        <v>1452</v>
      </c>
      <c r="J315" t="s">
        <v>1453</v>
      </c>
      <c r="K315" t="s">
        <v>1452</v>
      </c>
      <c r="L315" t="s">
        <v>1036</v>
      </c>
      <c r="M315" s="1" t="str">
        <f t="shared" si="28"/>
        <v>15B405</v>
      </c>
      <c r="N315" s="1" t="str">
        <f t="shared" si="29"/>
        <v>C/O</v>
      </c>
      <c r="O315" s="1" t="str">
        <f t="shared" si="30"/>
        <v>Arm Cylinder LH</v>
      </c>
      <c r="P315" s="1" t="str">
        <f t="shared" si="31"/>
        <v>6P60</v>
      </c>
      <c r="Q315" s="2" t="str">
        <f t="shared" si="32"/>
        <v>6P60Arm Cylinder LH</v>
      </c>
      <c r="R315" s="2" t="str">
        <f>New_Xref[[#This Row],[Serial Prefix]]&amp;IF(New_Xref[[#This Row],[Func Loc]]&lt;&gt;"",New_Xref[[#This Row],[Func Loc]],"NO MATCH")</f>
        <v>6P60MYHD .CYLI.ARML</v>
      </c>
      <c r="S315" s="3" t="str">
        <f t="shared" si="33"/>
        <v>6P605039745XArm Cylinder LH</v>
      </c>
      <c r="T315" s="3" t="s">
        <v>1037</v>
      </c>
      <c r="U315" s="3" t="s">
        <v>108</v>
      </c>
      <c r="V315" t="str">
        <f t="shared" si="34"/>
        <v>5458LT</v>
      </c>
    </row>
    <row r="316" spans="1:22">
      <c r="A316" t="s">
        <v>1086</v>
      </c>
      <c r="B316" t="s">
        <v>1102</v>
      </c>
      <c r="C316" t="s">
        <v>1444</v>
      </c>
      <c r="D316" t="s">
        <v>1445</v>
      </c>
      <c r="E316" t="s">
        <v>1446</v>
      </c>
      <c r="F316" t="s">
        <v>27</v>
      </c>
      <c r="G316">
        <v>1</v>
      </c>
      <c r="H316" t="s">
        <v>1447</v>
      </c>
      <c r="I316" t="s">
        <v>1454</v>
      </c>
      <c r="J316" t="s">
        <v>1455</v>
      </c>
      <c r="K316" t="s">
        <v>1454</v>
      </c>
      <c r="L316" t="s">
        <v>1040</v>
      </c>
      <c r="M316" s="1" t="str">
        <f t="shared" si="28"/>
        <v>15B405</v>
      </c>
      <c r="N316" s="1" t="str">
        <f t="shared" si="29"/>
        <v>C/O</v>
      </c>
      <c r="O316" s="1" t="str">
        <f t="shared" si="30"/>
        <v>Arm Cylinder RH</v>
      </c>
      <c r="P316" s="1" t="str">
        <f t="shared" si="31"/>
        <v>6P60</v>
      </c>
      <c r="Q316" s="2" t="str">
        <f t="shared" si="32"/>
        <v>6P60Arm Cylinder RH</v>
      </c>
      <c r="R316" s="2" t="str">
        <f>New_Xref[[#This Row],[Serial Prefix]]&amp;IF(New_Xref[[#This Row],[Func Loc]]&lt;&gt;"",New_Xref[[#This Row],[Func Loc]],"NO MATCH")</f>
        <v>6P60MYHD .CYLI.ARMR</v>
      </c>
      <c r="S316" s="3" t="str">
        <f t="shared" si="33"/>
        <v>6P605039745XArm Cylinder RH</v>
      </c>
      <c r="T316" s="3" t="s">
        <v>1037</v>
      </c>
      <c r="U316" s="3" t="s">
        <v>115</v>
      </c>
      <c r="V316" t="str">
        <f t="shared" si="34"/>
        <v>5458RI</v>
      </c>
    </row>
    <row r="317" spans="1:22">
      <c r="A317" t="s">
        <v>1086</v>
      </c>
      <c r="B317" t="s">
        <v>1087</v>
      </c>
      <c r="C317" t="s">
        <v>1456</v>
      </c>
      <c r="D317" t="s">
        <v>1457</v>
      </c>
      <c r="E317" t="s">
        <v>1458</v>
      </c>
      <c r="F317" t="s">
        <v>27</v>
      </c>
      <c r="G317">
        <v>1</v>
      </c>
      <c r="H317" t="s">
        <v>1459</v>
      </c>
      <c r="I317" t="s">
        <v>1460</v>
      </c>
      <c r="J317" t="s">
        <v>1461</v>
      </c>
      <c r="K317" t="s">
        <v>1460</v>
      </c>
      <c r="L317" t="s">
        <v>1462</v>
      </c>
      <c r="M317" s="1" t="str">
        <f t="shared" si="28"/>
        <v>15B290</v>
      </c>
      <c r="N317" s="1" t="str">
        <f t="shared" si="29"/>
        <v>C/O</v>
      </c>
      <c r="O317" s="1" t="str">
        <f t="shared" si="30"/>
        <v>Swing Transmission LHF</v>
      </c>
      <c r="P317" s="1" t="str">
        <f t="shared" si="31"/>
        <v>6D60</v>
      </c>
      <c r="Q317" s="2" t="str">
        <f t="shared" si="32"/>
        <v>6D60Swing Transmission LHF</v>
      </c>
      <c r="R317" s="2" t="str">
        <f>New_Xref[[#This Row],[Serial Prefix]]&amp;IF(New_Xref[[#This Row],[Func Loc]]&lt;&gt;"",New_Xref[[#This Row],[Func Loc]],"NO MATCH")</f>
        <v>6D60TRAN .SWTR.STLF</v>
      </c>
      <c r="S317" s="3" t="str">
        <f t="shared" si="33"/>
        <v>6D604780706XSwing Transmission LHF</v>
      </c>
      <c r="T317" s="3" t="s">
        <v>1048</v>
      </c>
      <c r="U317" s="3" t="s">
        <v>89</v>
      </c>
      <c r="V317" t="str">
        <f t="shared" si="34"/>
        <v>5459LF</v>
      </c>
    </row>
    <row r="318" spans="1:22">
      <c r="A318" t="s">
        <v>1086</v>
      </c>
      <c r="B318" t="s">
        <v>1087</v>
      </c>
      <c r="C318" t="s">
        <v>1456</v>
      </c>
      <c r="D318" t="s">
        <v>1457</v>
      </c>
      <c r="E318" t="s">
        <v>1458</v>
      </c>
      <c r="F318" t="s">
        <v>27</v>
      </c>
      <c r="G318">
        <v>1</v>
      </c>
      <c r="H318" t="s">
        <v>1459</v>
      </c>
      <c r="I318" t="s">
        <v>1463</v>
      </c>
      <c r="J318" t="s">
        <v>1464</v>
      </c>
      <c r="K318" t="s">
        <v>1463</v>
      </c>
      <c r="L318" t="s">
        <v>1051</v>
      </c>
      <c r="M318" s="1" t="str">
        <f t="shared" si="28"/>
        <v>15B290</v>
      </c>
      <c r="N318" s="1" t="str">
        <f t="shared" si="29"/>
        <v>C/O</v>
      </c>
      <c r="O318" s="1" t="str">
        <f t="shared" si="30"/>
        <v>Swing Transmission LHR</v>
      </c>
      <c r="P318" s="1" t="str">
        <f t="shared" si="31"/>
        <v>6D60</v>
      </c>
      <c r="Q318" s="2" t="str">
        <f t="shared" si="32"/>
        <v>6D60Swing Transmission LHR</v>
      </c>
      <c r="R318" s="2" t="str">
        <f>New_Xref[[#This Row],[Serial Prefix]]&amp;IF(New_Xref[[#This Row],[Func Loc]]&lt;&gt;"",New_Xref[[#This Row],[Func Loc]],"NO MATCH")</f>
        <v>6D60TRAN .SWTR.STLR</v>
      </c>
      <c r="S318" s="3" t="str">
        <f t="shared" si="33"/>
        <v>6D604780706XSwing Transmission LHR</v>
      </c>
      <c r="T318" s="3" t="s">
        <v>1048</v>
      </c>
      <c r="U318" s="3" t="s">
        <v>96</v>
      </c>
      <c r="V318" t="str">
        <f t="shared" si="34"/>
        <v>5459LR</v>
      </c>
    </row>
    <row r="319" spans="1:22">
      <c r="A319" t="s">
        <v>1086</v>
      </c>
      <c r="B319" t="s">
        <v>1087</v>
      </c>
      <c r="C319" t="s">
        <v>1456</v>
      </c>
      <c r="D319" t="s">
        <v>1457</v>
      </c>
      <c r="E319" t="s">
        <v>1458</v>
      </c>
      <c r="F319" t="s">
        <v>27</v>
      </c>
      <c r="G319">
        <v>1</v>
      </c>
      <c r="H319" t="s">
        <v>1459</v>
      </c>
      <c r="I319" t="s">
        <v>1465</v>
      </c>
      <c r="J319" t="s">
        <v>1466</v>
      </c>
      <c r="K319" t="s">
        <v>1465</v>
      </c>
      <c r="L319" t="s">
        <v>1467</v>
      </c>
      <c r="M319" s="1" t="str">
        <f t="shared" si="28"/>
        <v>15B290</v>
      </c>
      <c r="N319" s="1" t="str">
        <f t="shared" si="29"/>
        <v>C/O</v>
      </c>
      <c r="O319" s="1" t="str">
        <f t="shared" si="30"/>
        <v>Swing Transmission RHF</v>
      </c>
      <c r="P319" s="1" t="str">
        <f t="shared" si="31"/>
        <v>6D60</v>
      </c>
      <c r="Q319" s="2" t="str">
        <f t="shared" si="32"/>
        <v>6D60Swing Transmission RHF</v>
      </c>
      <c r="R319" s="2" t="str">
        <f>New_Xref[[#This Row],[Serial Prefix]]&amp;IF(New_Xref[[#This Row],[Func Loc]]&lt;&gt;"",New_Xref[[#This Row],[Func Loc]],"NO MATCH")</f>
        <v>6D60TRAN .SWTR.STRF</v>
      </c>
      <c r="S319" s="3" t="str">
        <f t="shared" si="33"/>
        <v>6D604780706XSwing Transmission RHF</v>
      </c>
      <c r="T319" s="3" t="s">
        <v>1048</v>
      </c>
      <c r="U319" s="3" t="s">
        <v>92</v>
      </c>
      <c r="V319" t="str">
        <f t="shared" si="34"/>
        <v>5459RF</v>
      </c>
    </row>
    <row r="320" spans="1:22">
      <c r="A320" t="s">
        <v>1086</v>
      </c>
      <c r="B320" t="s">
        <v>1087</v>
      </c>
      <c r="C320" t="s">
        <v>1456</v>
      </c>
      <c r="D320" t="s">
        <v>1457</v>
      </c>
      <c r="E320" t="s">
        <v>1458</v>
      </c>
      <c r="F320" t="s">
        <v>27</v>
      </c>
      <c r="G320">
        <v>1</v>
      </c>
      <c r="H320" t="s">
        <v>1459</v>
      </c>
      <c r="I320" t="s">
        <v>1468</v>
      </c>
      <c r="J320" t="s">
        <v>1469</v>
      </c>
      <c r="K320" t="s">
        <v>1468</v>
      </c>
      <c r="L320" t="s">
        <v>1054</v>
      </c>
      <c r="M320" s="1" t="str">
        <f t="shared" si="28"/>
        <v>15B290</v>
      </c>
      <c r="N320" s="1" t="str">
        <f t="shared" si="29"/>
        <v>C/O</v>
      </c>
      <c r="O320" s="1" t="str">
        <f t="shared" si="30"/>
        <v>Swing Transmission RHR</v>
      </c>
      <c r="P320" s="1" t="str">
        <f t="shared" si="31"/>
        <v>6D60</v>
      </c>
      <c r="Q320" s="2" t="str">
        <f t="shared" si="32"/>
        <v>6D60Swing Transmission RHR</v>
      </c>
      <c r="R320" s="2" t="str">
        <f>New_Xref[[#This Row],[Serial Prefix]]&amp;IF(New_Xref[[#This Row],[Func Loc]]&lt;&gt;"",New_Xref[[#This Row],[Func Loc]],"NO MATCH")</f>
        <v>6D60TRAN .SWTR.STRR</v>
      </c>
      <c r="S320" s="3" t="str">
        <f t="shared" si="33"/>
        <v>6D604780706XSwing Transmission RHR</v>
      </c>
      <c r="T320" s="3" t="s">
        <v>1048</v>
      </c>
      <c r="U320" s="3" t="s">
        <v>99</v>
      </c>
      <c r="V320" t="str">
        <f t="shared" si="34"/>
        <v>5459RR</v>
      </c>
    </row>
    <row r="321" spans="1:22">
      <c r="A321" t="s">
        <v>1086</v>
      </c>
      <c r="B321" t="s">
        <v>1102</v>
      </c>
      <c r="C321" t="s">
        <v>1456</v>
      </c>
      <c r="D321" t="s">
        <v>1457</v>
      </c>
      <c r="E321" t="s">
        <v>1458</v>
      </c>
      <c r="F321" t="s">
        <v>27</v>
      </c>
      <c r="G321">
        <v>1</v>
      </c>
      <c r="H321" t="s">
        <v>1459</v>
      </c>
      <c r="I321" t="s">
        <v>1470</v>
      </c>
      <c r="J321" t="s">
        <v>1471</v>
      </c>
      <c r="K321" t="s">
        <v>1470</v>
      </c>
      <c r="L321" t="s">
        <v>1462</v>
      </c>
      <c r="M321" s="1" t="str">
        <f t="shared" si="28"/>
        <v>15B405</v>
      </c>
      <c r="N321" s="1" t="str">
        <f t="shared" si="29"/>
        <v>C/O</v>
      </c>
      <c r="O321" s="1" t="str">
        <f t="shared" si="30"/>
        <v>Swing Transmission LHF</v>
      </c>
      <c r="P321" s="1" t="str">
        <f t="shared" si="31"/>
        <v>6P60</v>
      </c>
      <c r="Q321" s="2" t="str">
        <f t="shared" si="32"/>
        <v>6P60Swing Transmission LHF</v>
      </c>
      <c r="R321" s="2" t="str">
        <f>New_Xref[[#This Row],[Serial Prefix]]&amp;IF(New_Xref[[#This Row],[Func Loc]]&lt;&gt;"",New_Xref[[#This Row],[Func Loc]],"NO MATCH")</f>
        <v>6P60TRAN .SWTR.STLF</v>
      </c>
      <c r="S321" s="3" t="str">
        <f t="shared" si="33"/>
        <v>6P604780706XSwing Transmission LHF</v>
      </c>
      <c r="T321" s="3" t="s">
        <v>1048</v>
      </c>
      <c r="U321" s="3" t="s">
        <v>89</v>
      </c>
      <c r="V321" t="str">
        <f t="shared" si="34"/>
        <v>5459LF</v>
      </c>
    </row>
    <row r="322" spans="1:22">
      <c r="A322" t="s">
        <v>1086</v>
      </c>
      <c r="B322" t="s">
        <v>1102</v>
      </c>
      <c r="C322" t="s">
        <v>1456</v>
      </c>
      <c r="D322" t="s">
        <v>1457</v>
      </c>
      <c r="E322" t="s">
        <v>1458</v>
      </c>
      <c r="F322" t="s">
        <v>27</v>
      </c>
      <c r="G322">
        <v>1</v>
      </c>
      <c r="H322" t="s">
        <v>1459</v>
      </c>
      <c r="I322" t="s">
        <v>1472</v>
      </c>
      <c r="J322" t="s">
        <v>1473</v>
      </c>
      <c r="K322" t="s">
        <v>1472</v>
      </c>
      <c r="L322" t="s">
        <v>1051</v>
      </c>
      <c r="M322" s="1" t="str">
        <f t="shared" ref="M322:M385" si="35">LEFT(K322,FIND(" ",K322,1)-1)</f>
        <v>15B405</v>
      </c>
      <c r="N322" s="1" t="str">
        <f t="shared" ref="N322:N385" si="36">MID(K322,LEN(M322)+2,FIND(" ",K322,LEN(M322)+2)-LEN(M322)-2)</f>
        <v>C/O</v>
      </c>
      <c r="O322" s="1" t="str">
        <f t="shared" ref="O322:O385" si="37">MID(K322,FIND(N322,K322,1)+LEN(N322)+1, 150)</f>
        <v>Swing Transmission LHR</v>
      </c>
      <c r="P322" s="1" t="str">
        <f t="shared" ref="P322:P385" si="38">LEFT(B322,4)</f>
        <v>6P60</v>
      </c>
      <c r="Q322" s="2" t="str">
        <f t="shared" ref="Q322:Q385" si="39">P322&amp;O322</f>
        <v>6P60Swing Transmission LHR</v>
      </c>
      <c r="R322" s="2" t="str">
        <f>New_Xref[[#This Row],[Serial Prefix]]&amp;IF(New_Xref[[#This Row],[Func Loc]]&lt;&gt;"",New_Xref[[#This Row],[Func Loc]],"NO MATCH")</f>
        <v>6P60TRAN .SWTR.STLR</v>
      </c>
      <c r="S322" s="3" t="str">
        <f t="shared" ref="S322:S385" si="40">P322&amp;D322&amp;O322</f>
        <v>6P604780706XSwing Transmission LHR</v>
      </c>
      <c r="T322" s="3" t="s">
        <v>1048</v>
      </c>
      <c r="U322" s="3" t="s">
        <v>96</v>
      </c>
      <c r="V322" t="str">
        <f t="shared" ref="V322:V385" si="41">LEFT(T322,FIND(" -",T322,1)-1)&amp;LEFT(U322,FIND(" -",U322,1)-1)</f>
        <v>5459LR</v>
      </c>
    </row>
    <row r="323" spans="1:22">
      <c r="A323" t="s">
        <v>1086</v>
      </c>
      <c r="B323" t="s">
        <v>1102</v>
      </c>
      <c r="C323" t="s">
        <v>1456</v>
      </c>
      <c r="D323" t="s">
        <v>1457</v>
      </c>
      <c r="E323" t="s">
        <v>1458</v>
      </c>
      <c r="F323" t="s">
        <v>27</v>
      </c>
      <c r="G323">
        <v>1</v>
      </c>
      <c r="H323" t="s">
        <v>1459</v>
      </c>
      <c r="I323" t="s">
        <v>1474</v>
      </c>
      <c r="J323" t="s">
        <v>1475</v>
      </c>
      <c r="K323" t="s">
        <v>1474</v>
      </c>
      <c r="L323" t="s">
        <v>1467</v>
      </c>
      <c r="M323" s="1" t="str">
        <f t="shared" si="35"/>
        <v>15B405</v>
      </c>
      <c r="N323" s="1" t="str">
        <f t="shared" si="36"/>
        <v>C/O</v>
      </c>
      <c r="O323" s="1" t="str">
        <f t="shared" si="37"/>
        <v>Swing Transmission RHF</v>
      </c>
      <c r="P323" s="1" t="str">
        <f t="shared" si="38"/>
        <v>6P60</v>
      </c>
      <c r="Q323" s="2" t="str">
        <f t="shared" si="39"/>
        <v>6P60Swing Transmission RHF</v>
      </c>
      <c r="R323" s="2" t="str">
        <f>New_Xref[[#This Row],[Serial Prefix]]&amp;IF(New_Xref[[#This Row],[Func Loc]]&lt;&gt;"",New_Xref[[#This Row],[Func Loc]],"NO MATCH")</f>
        <v>6P60TRAN .SWTR.STRF</v>
      </c>
      <c r="S323" s="3" t="str">
        <f t="shared" si="40"/>
        <v>6P604780706XSwing Transmission RHF</v>
      </c>
      <c r="T323" s="3" t="s">
        <v>1048</v>
      </c>
      <c r="U323" s="3" t="s">
        <v>92</v>
      </c>
      <c r="V323" t="str">
        <f t="shared" si="41"/>
        <v>5459RF</v>
      </c>
    </row>
    <row r="324" spans="1:22">
      <c r="A324" t="s">
        <v>1086</v>
      </c>
      <c r="B324" t="s">
        <v>1102</v>
      </c>
      <c r="C324" t="s">
        <v>1456</v>
      </c>
      <c r="D324" t="s">
        <v>1457</v>
      </c>
      <c r="E324" t="s">
        <v>1458</v>
      </c>
      <c r="F324" t="s">
        <v>27</v>
      </c>
      <c r="G324">
        <v>1</v>
      </c>
      <c r="H324" t="s">
        <v>1459</v>
      </c>
      <c r="I324" t="s">
        <v>1476</v>
      </c>
      <c r="J324" t="s">
        <v>1477</v>
      </c>
      <c r="K324" t="s">
        <v>1476</v>
      </c>
      <c r="L324" t="s">
        <v>1054</v>
      </c>
      <c r="M324" s="1" t="str">
        <f t="shared" si="35"/>
        <v>15B405</v>
      </c>
      <c r="N324" s="1" t="str">
        <f t="shared" si="36"/>
        <v>C/O</v>
      </c>
      <c r="O324" s="1" t="str">
        <f t="shared" si="37"/>
        <v>Swing Transmission RHR</v>
      </c>
      <c r="P324" s="1" t="str">
        <f t="shared" si="38"/>
        <v>6P60</v>
      </c>
      <c r="Q324" s="2" t="str">
        <f t="shared" si="39"/>
        <v>6P60Swing Transmission RHR</v>
      </c>
      <c r="R324" s="2" t="str">
        <f>New_Xref[[#This Row],[Serial Prefix]]&amp;IF(New_Xref[[#This Row],[Func Loc]]&lt;&gt;"",New_Xref[[#This Row],[Func Loc]],"NO MATCH")</f>
        <v>6P60TRAN .SWTR.STRR</v>
      </c>
      <c r="S324" s="3" t="str">
        <f t="shared" si="40"/>
        <v>6P604780706XSwing Transmission RHR</v>
      </c>
      <c r="T324" s="3" t="s">
        <v>1048</v>
      </c>
      <c r="U324" s="3" t="s">
        <v>99</v>
      </c>
      <c r="V324" t="str">
        <f t="shared" si="41"/>
        <v>5459RR</v>
      </c>
    </row>
    <row r="325" spans="1:22">
      <c r="A325" t="s">
        <v>1086</v>
      </c>
      <c r="B325" t="s">
        <v>1087</v>
      </c>
      <c r="C325" t="s">
        <v>1478</v>
      </c>
      <c r="D325" t="s">
        <v>1479</v>
      </c>
      <c r="E325" t="s">
        <v>1480</v>
      </c>
      <c r="F325" t="s">
        <v>27</v>
      </c>
      <c r="G325">
        <v>1</v>
      </c>
      <c r="H325" t="s">
        <v>1481</v>
      </c>
      <c r="I325" t="s">
        <v>1482</v>
      </c>
      <c r="J325" t="s">
        <v>1483</v>
      </c>
      <c r="K325" t="s">
        <v>1482</v>
      </c>
      <c r="L325" t="s">
        <v>1484</v>
      </c>
      <c r="M325" s="1" t="str">
        <f t="shared" si="35"/>
        <v>15B290</v>
      </c>
      <c r="N325" s="1" t="str">
        <f t="shared" si="36"/>
        <v>C/O</v>
      </c>
      <c r="O325" s="1" t="str">
        <f t="shared" si="37"/>
        <v>Swing Pump No 1</v>
      </c>
      <c r="P325" s="1" t="str">
        <f t="shared" si="38"/>
        <v>6D60</v>
      </c>
      <c r="Q325" s="2" t="str">
        <f t="shared" si="39"/>
        <v>6D60Swing Pump No 1</v>
      </c>
      <c r="R325" s="2" t="str">
        <f>New_Xref[[#This Row],[Serial Prefix]]&amp;IF(New_Xref[[#This Row],[Func Loc]]&lt;&gt;"",New_Xref[[#This Row],[Func Loc]],"NO MATCH")</f>
        <v>6D60MYHD .PUMP.SP01</v>
      </c>
      <c r="S325" s="3" t="str">
        <f t="shared" si="40"/>
        <v>6D6020R2012Swing Pump No 1</v>
      </c>
      <c r="T325" s="3" t="s">
        <v>1061</v>
      </c>
      <c r="U325" s="2" t="s">
        <v>870</v>
      </c>
      <c r="V325" t="str">
        <f t="shared" si="41"/>
        <v>5473P01</v>
      </c>
    </row>
    <row r="326" spans="1:22">
      <c r="A326" t="s">
        <v>1086</v>
      </c>
      <c r="B326" t="s">
        <v>1087</v>
      </c>
      <c r="C326" t="s">
        <v>1478</v>
      </c>
      <c r="D326" t="s">
        <v>1479</v>
      </c>
      <c r="E326" t="s">
        <v>1480</v>
      </c>
      <c r="F326" t="s">
        <v>27</v>
      </c>
      <c r="G326">
        <v>1</v>
      </c>
      <c r="H326" t="s">
        <v>1481</v>
      </c>
      <c r="I326" t="s">
        <v>1485</v>
      </c>
      <c r="J326" t="s">
        <v>1486</v>
      </c>
      <c r="K326" t="s">
        <v>1485</v>
      </c>
      <c r="L326" t="s">
        <v>1487</v>
      </c>
      <c r="M326" s="1" t="str">
        <f t="shared" si="35"/>
        <v>15B290</v>
      </c>
      <c r="N326" s="1" t="str">
        <f t="shared" si="36"/>
        <v>C/O</v>
      </c>
      <c r="O326" s="1" t="str">
        <f t="shared" si="37"/>
        <v>Swing Pump No 2</v>
      </c>
      <c r="P326" s="1" t="str">
        <f t="shared" si="38"/>
        <v>6D60</v>
      </c>
      <c r="Q326" s="2" t="str">
        <f t="shared" si="39"/>
        <v>6D60Swing Pump No 2</v>
      </c>
      <c r="R326" s="2" t="str">
        <f>New_Xref[[#This Row],[Serial Prefix]]&amp;IF(New_Xref[[#This Row],[Func Loc]]&lt;&gt;"",New_Xref[[#This Row],[Func Loc]],"NO MATCH")</f>
        <v>6D60MYHD .PUMP.SP02</v>
      </c>
      <c r="S326" s="3" t="str">
        <f t="shared" si="40"/>
        <v>6D6020R2012Swing Pump No 2</v>
      </c>
      <c r="T326" s="3" t="s">
        <v>1061</v>
      </c>
      <c r="U326" s="2" t="s">
        <v>874</v>
      </c>
      <c r="V326" t="str">
        <f t="shared" si="41"/>
        <v>5473P02</v>
      </c>
    </row>
    <row r="327" spans="1:22">
      <c r="A327" t="s">
        <v>1086</v>
      </c>
      <c r="B327" t="s">
        <v>1087</v>
      </c>
      <c r="C327" t="s">
        <v>1478</v>
      </c>
      <c r="D327" t="s">
        <v>1479</v>
      </c>
      <c r="E327" t="s">
        <v>1480</v>
      </c>
      <c r="F327" t="s">
        <v>27</v>
      </c>
      <c r="G327">
        <v>1</v>
      </c>
      <c r="H327" t="s">
        <v>1481</v>
      </c>
      <c r="I327" t="s">
        <v>1488</v>
      </c>
      <c r="J327" t="s">
        <v>1489</v>
      </c>
      <c r="K327" t="s">
        <v>1488</v>
      </c>
      <c r="L327" t="s">
        <v>1490</v>
      </c>
      <c r="M327" s="1" t="str">
        <f t="shared" si="35"/>
        <v>15B290</v>
      </c>
      <c r="N327" s="1" t="str">
        <f t="shared" si="36"/>
        <v>C/O</v>
      </c>
      <c r="O327" s="1" t="str">
        <f t="shared" si="37"/>
        <v>Swing Pump No 3</v>
      </c>
      <c r="P327" s="1" t="str">
        <f t="shared" si="38"/>
        <v>6D60</v>
      </c>
      <c r="Q327" s="2" t="str">
        <f t="shared" si="39"/>
        <v>6D60Swing Pump No 3</v>
      </c>
      <c r="R327" s="2" t="str">
        <f>New_Xref[[#This Row],[Serial Prefix]]&amp;IF(New_Xref[[#This Row],[Func Loc]]&lt;&gt;"",New_Xref[[#This Row],[Func Loc]],"NO MATCH")</f>
        <v>6D60MYHD .PUMP.SP03</v>
      </c>
      <c r="S327" s="3" t="str">
        <f t="shared" si="40"/>
        <v>6D6020R2012Swing Pump No 3</v>
      </c>
      <c r="T327" s="3" t="s">
        <v>1061</v>
      </c>
      <c r="U327" s="2" t="s">
        <v>1491</v>
      </c>
      <c r="V327" t="str">
        <f t="shared" si="41"/>
        <v>5473P03</v>
      </c>
    </row>
    <row r="328" spans="1:22">
      <c r="A328" t="s">
        <v>1086</v>
      </c>
      <c r="B328" t="s">
        <v>1087</v>
      </c>
      <c r="C328" t="s">
        <v>1478</v>
      </c>
      <c r="D328" t="s">
        <v>1479</v>
      </c>
      <c r="E328" t="s">
        <v>1480</v>
      </c>
      <c r="F328" t="s">
        <v>27</v>
      </c>
      <c r="G328">
        <v>1</v>
      </c>
      <c r="H328" t="s">
        <v>1481</v>
      </c>
      <c r="I328" t="s">
        <v>1492</v>
      </c>
      <c r="J328" t="s">
        <v>1493</v>
      </c>
      <c r="K328" t="s">
        <v>1492</v>
      </c>
      <c r="L328" t="s">
        <v>1494</v>
      </c>
      <c r="M328" s="1" t="str">
        <f t="shared" si="35"/>
        <v>15B290</v>
      </c>
      <c r="N328" s="1" t="str">
        <f t="shared" si="36"/>
        <v>C/O</v>
      </c>
      <c r="O328" s="1" t="str">
        <f t="shared" si="37"/>
        <v>Swing Pump No 4</v>
      </c>
      <c r="P328" s="1" t="str">
        <f t="shared" si="38"/>
        <v>6D60</v>
      </c>
      <c r="Q328" s="2" t="str">
        <f t="shared" si="39"/>
        <v>6D60Swing Pump No 4</v>
      </c>
      <c r="R328" s="2" t="str">
        <f>New_Xref[[#This Row],[Serial Prefix]]&amp;IF(New_Xref[[#This Row],[Func Loc]]&lt;&gt;"",New_Xref[[#This Row],[Func Loc]],"NO MATCH")</f>
        <v>6D60MYHD .PUMP.SP04</v>
      </c>
      <c r="S328" s="3" t="str">
        <f t="shared" si="40"/>
        <v>6D6020R2012Swing Pump No 4</v>
      </c>
      <c r="T328" s="3" t="s">
        <v>1061</v>
      </c>
      <c r="U328" s="2" t="s">
        <v>1495</v>
      </c>
      <c r="V328" t="str">
        <f t="shared" si="41"/>
        <v>5473P04</v>
      </c>
    </row>
    <row r="329" spans="1:22">
      <c r="A329" t="s">
        <v>1086</v>
      </c>
      <c r="B329" t="s">
        <v>1102</v>
      </c>
      <c r="C329" t="s">
        <v>1478</v>
      </c>
      <c r="D329" t="s">
        <v>1479</v>
      </c>
      <c r="E329" t="s">
        <v>1480</v>
      </c>
      <c r="F329" t="s">
        <v>27</v>
      </c>
      <c r="G329">
        <v>1</v>
      </c>
      <c r="H329" t="s">
        <v>1481</v>
      </c>
      <c r="I329" t="s">
        <v>1496</v>
      </c>
      <c r="J329" t="s">
        <v>1497</v>
      </c>
      <c r="K329" t="s">
        <v>1496</v>
      </c>
      <c r="L329" t="s">
        <v>1484</v>
      </c>
      <c r="M329" s="1" t="str">
        <f t="shared" si="35"/>
        <v>15B405</v>
      </c>
      <c r="N329" s="1" t="str">
        <f t="shared" si="36"/>
        <v>C/O</v>
      </c>
      <c r="O329" s="1" t="str">
        <f t="shared" si="37"/>
        <v>Swing Pump No 1</v>
      </c>
      <c r="P329" s="1" t="str">
        <f t="shared" si="38"/>
        <v>6P60</v>
      </c>
      <c r="Q329" s="2" t="str">
        <f t="shared" si="39"/>
        <v>6P60Swing Pump No 1</v>
      </c>
      <c r="R329" s="2" t="str">
        <f>New_Xref[[#This Row],[Serial Prefix]]&amp;IF(New_Xref[[#This Row],[Func Loc]]&lt;&gt;"",New_Xref[[#This Row],[Func Loc]],"NO MATCH")</f>
        <v>6P60MYHD .PUMP.SP01</v>
      </c>
      <c r="S329" s="3" t="str">
        <f t="shared" si="40"/>
        <v>6P6020R2012Swing Pump No 1</v>
      </c>
      <c r="T329" s="3" t="s">
        <v>1061</v>
      </c>
      <c r="U329" s="3" t="s">
        <v>870</v>
      </c>
      <c r="V329" t="str">
        <f t="shared" si="41"/>
        <v>5473P01</v>
      </c>
    </row>
    <row r="330" spans="1:22">
      <c r="A330" t="s">
        <v>1086</v>
      </c>
      <c r="B330" t="s">
        <v>1102</v>
      </c>
      <c r="C330" t="s">
        <v>1478</v>
      </c>
      <c r="D330" t="s">
        <v>1479</v>
      </c>
      <c r="E330" t="s">
        <v>1480</v>
      </c>
      <c r="F330" t="s">
        <v>27</v>
      </c>
      <c r="G330">
        <v>1</v>
      </c>
      <c r="H330" t="s">
        <v>1481</v>
      </c>
      <c r="I330" t="s">
        <v>1498</v>
      </c>
      <c r="J330" t="s">
        <v>1499</v>
      </c>
      <c r="K330" t="s">
        <v>1498</v>
      </c>
      <c r="L330" t="s">
        <v>1487</v>
      </c>
      <c r="M330" s="1" t="str">
        <f t="shared" si="35"/>
        <v>15B405</v>
      </c>
      <c r="N330" s="1" t="str">
        <f t="shared" si="36"/>
        <v>C/O</v>
      </c>
      <c r="O330" s="1" t="str">
        <f t="shared" si="37"/>
        <v>Swing Pump No 2</v>
      </c>
      <c r="P330" s="1" t="str">
        <f t="shared" si="38"/>
        <v>6P60</v>
      </c>
      <c r="Q330" s="2" t="str">
        <f t="shared" si="39"/>
        <v>6P60Swing Pump No 2</v>
      </c>
      <c r="R330" s="2" t="str">
        <f>New_Xref[[#This Row],[Serial Prefix]]&amp;IF(New_Xref[[#This Row],[Func Loc]]&lt;&gt;"",New_Xref[[#This Row],[Func Loc]],"NO MATCH")</f>
        <v>6P60MYHD .PUMP.SP02</v>
      </c>
      <c r="S330" s="3" t="str">
        <f t="shared" si="40"/>
        <v>6P6020R2012Swing Pump No 2</v>
      </c>
      <c r="T330" s="3" t="s">
        <v>1061</v>
      </c>
      <c r="U330" s="3" t="s">
        <v>874</v>
      </c>
      <c r="V330" t="str">
        <f t="shared" si="41"/>
        <v>5473P02</v>
      </c>
    </row>
    <row r="331" spans="1:22">
      <c r="A331" t="s">
        <v>1086</v>
      </c>
      <c r="B331" t="s">
        <v>1102</v>
      </c>
      <c r="C331" t="s">
        <v>1478</v>
      </c>
      <c r="D331" t="s">
        <v>1479</v>
      </c>
      <c r="E331" t="s">
        <v>1480</v>
      </c>
      <c r="F331" t="s">
        <v>27</v>
      </c>
      <c r="G331">
        <v>1</v>
      </c>
      <c r="H331" t="s">
        <v>1481</v>
      </c>
      <c r="I331" t="s">
        <v>1500</v>
      </c>
      <c r="J331" t="s">
        <v>1501</v>
      </c>
      <c r="K331" t="s">
        <v>1500</v>
      </c>
      <c r="L331" t="s">
        <v>1490</v>
      </c>
      <c r="M331" s="1" t="str">
        <f t="shared" si="35"/>
        <v>15B405</v>
      </c>
      <c r="N331" s="1" t="str">
        <f t="shared" si="36"/>
        <v>C/O</v>
      </c>
      <c r="O331" s="1" t="str">
        <f t="shared" si="37"/>
        <v>Swing Pump No 3</v>
      </c>
      <c r="P331" s="1" t="str">
        <f t="shared" si="38"/>
        <v>6P60</v>
      </c>
      <c r="Q331" s="2" t="str">
        <f t="shared" si="39"/>
        <v>6P60Swing Pump No 3</v>
      </c>
      <c r="R331" s="2" t="str">
        <f>New_Xref[[#This Row],[Serial Prefix]]&amp;IF(New_Xref[[#This Row],[Func Loc]]&lt;&gt;"",New_Xref[[#This Row],[Func Loc]],"NO MATCH")</f>
        <v>6P60MYHD .PUMP.SP03</v>
      </c>
      <c r="S331" s="3" t="str">
        <f t="shared" si="40"/>
        <v>6P6020R2012Swing Pump No 3</v>
      </c>
      <c r="T331" s="3" t="s">
        <v>1061</v>
      </c>
      <c r="U331" s="3" t="s">
        <v>1491</v>
      </c>
      <c r="V331" t="str">
        <f t="shared" si="41"/>
        <v>5473P03</v>
      </c>
    </row>
    <row r="332" spans="1:22">
      <c r="A332" t="s">
        <v>1086</v>
      </c>
      <c r="B332" t="s">
        <v>1102</v>
      </c>
      <c r="C332" t="s">
        <v>1478</v>
      </c>
      <c r="D332" t="s">
        <v>1479</v>
      </c>
      <c r="E332" t="s">
        <v>1480</v>
      </c>
      <c r="F332" t="s">
        <v>27</v>
      </c>
      <c r="G332">
        <v>1</v>
      </c>
      <c r="H332" t="s">
        <v>1481</v>
      </c>
      <c r="I332" t="s">
        <v>1502</v>
      </c>
      <c r="J332" t="s">
        <v>1503</v>
      </c>
      <c r="K332" t="s">
        <v>1502</v>
      </c>
      <c r="L332" t="s">
        <v>1494</v>
      </c>
      <c r="M332" s="1" t="str">
        <f t="shared" si="35"/>
        <v>15B405</v>
      </c>
      <c r="N332" s="1" t="str">
        <f t="shared" si="36"/>
        <v>C/O</v>
      </c>
      <c r="O332" s="1" t="str">
        <f t="shared" si="37"/>
        <v>Swing Pump No 4</v>
      </c>
      <c r="P332" s="1" t="str">
        <f t="shared" si="38"/>
        <v>6P60</v>
      </c>
      <c r="Q332" s="2" t="str">
        <f t="shared" si="39"/>
        <v>6P60Swing Pump No 4</v>
      </c>
      <c r="R332" s="2" t="str">
        <f>New_Xref[[#This Row],[Serial Prefix]]&amp;IF(New_Xref[[#This Row],[Func Loc]]&lt;&gt;"",New_Xref[[#This Row],[Func Loc]],"NO MATCH")</f>
        <v>6P60MYHD .PUMP.SP04</v>
      </c>
      <c r="S332" s="3" t="str">
        <f t="shared" si="40"/>
        <v>6P6020R2012Swing Pump No 4</v>
      </c>
      <c r="T332" s="3" t="s">
        <v>1061</v>
      </c>
      <c r="U332" s="3" t="s">
        <v>1495</v>
      </c>
      <c r="V332" t="str">
        <f t="shared" si="41"/>
        <v>5473P04</v>
      </c>
    </row>
    <row r="333" spans="1:22">
      <c r="A333" t="s">
        <v>1086</v>
      </c>
      <c r="B333" t="s">
        <v>1087</v>
      </c>
      <c r="C333" t="s">
        <v>1064</v>
      </c>
      <c r="D333" t="s">
        <v>1065</v>
      </c>
      <c r="E333" t="s">
        <v>1066</v>
      </c>
      <c r="F333" t="s">
        <v>27</v>
      </c>
      <c r="G333">
        <v>1</v>
      </c>
      <c r="H333" t="s">
        <v>1504</v>
      </c>
      <c r="I333" t="s">
        <v>1505</v>
      </c>
      <c r="J333" t="s">
        <v>1506</v>
      </c>
      <c r="K333" t="s">
        <v>1505</v>
      </c>
      <c r="L333" t="s">
        <v>1070</v>
      </c>
      <c r="M333" s="1" t="str">
        <f t="shared" si="35"/>
        <v>15B290</v>
      </c>
      <c r="N333" s="1" t="str">
        <f t="shared" si="36"/>
        <v>C/O</v>
      </c>
      <c r="O333" s="1" t="str">
        <f t="shared" si="37"/>
        <v>Auto Lube Pump Front</v>
      </c>
      <c r="P333" s="1" t="str">
        <f t="shared" si="38"/>
        <v>6D60</v>
      </c>
      <c r="Q333" s="2" t="str">
        <f t="shared" si="39"/>
        <v>6D60Auto Lube Pump Front</v>
      </c>
      <c r="R333" s="2" t="str">
        <f>New_Xref[[#This Row],[Serial Prefix]]&amp;IF(New_Xref[[#This Row],[Func Loc]]&lt;&gt;"",New_Xref[[#This Row],[Func Loc]],"NO MATCH")</f>
        <v>6D60LUBE .PUMP.PUMF</v>
      </c>
      <c r="S333" s="3" t="str">
        <f t="shared" si="40"/>
        <v>6D605052463Auto Lube Pump Front</v>
      </c>
      <c r="T333" s="3" t="s">
        <v>1071</v>
      </c>
      <c r="U333" s="3" t="s">
        <v>1072</v>
      </c>
      <c r="V333" t="str">
        <f t="shared" si="41"/>
        <v>7516UZ</v>
      </c>
    </row>
    <row r="334" spans="1:22">
      <c r="A334" t="s">
        <v>1086</v>
      </c>
      <c r="B334" t="s">
        <v>1102</v>
      </c>
      <c r="C334" t="s">
        <v>1064</v>
      </c>
      <c r="D334" t="s">
        <v>1065</v>
      </c>
      <c r="E334" t="s">
        <v>1507</v>
      </c>
      <c r="F334" t="s">
        <v>27</v>
      </c>
      <c r="G334">
        <v>1</v>
      </c>
      <c r="H334" t="s">
        <v>1504</v>
      </c>
      <c r="I334" t="s">
        <v>1508</v>
      </c>
      <c r="J334" t="s">
        <v>1509</v>
      </c>
      <c r="K334" t="s">
        <v>1508</v>
      </c>
      <c r="L334" t="s">
        <v>1070</v>
      </c>
      <c r="M334" s="1" t="str">
        <f t="shared" si="35"/>
        <v>15B405</v>
      </c>
      <c r="N334" s="1" t="str">
        <f t="shared" si="36"/>
        <v>C/O</v>
      </c>
      <c r="O334" s="1" t="str">
        <f t="shared" si="37"/>
        <v>Auto Lube Pump Front</v>
      </c>
      <c r="P334" s="1" t="str">
        <f t="shared" si="38"/>
        <v>6P60</v>
      </c>
      <c r="Q334" s="2" t="str">
        <f t="shared" si="39"/>
        <v>6P60Auto Lube Pump Front</v>
      </c>
      <c r="R334" s="2" t="str">
        <f>New_Xref[[#This Row],[Serial Prefix]]&amp;IF(New_Xref[[#This Row],[Func Loc]]&lt;&gt;"",New_Xref[[#This Row],[Func Loc]],"NO MATCH")</f>
        <v>6P60LUBE .PUMP.PUMF</v>
      </c>
      <c r="S334" s="3" t="str">
        <f t="shared" si="40"/>
        <v>6P605052463Auto Lube Pump Front</v>
      </c>
      <c r="T334" s="3" t="s">
        <v>1071</v>
      </c>
      <c r="U334" s="3" t="s">
        <v>1072</v>
      </c>
      <c r="V334" t="str">
        <f t="shared" si="41"/>
        <v>7516UZ</v>
      </c>
    </row>
    <row r="335" spans="1:22">
      <c r="A335" t="s">
        <v>1086</v>
      </c>
      <c r="B335" t="s">
        <v>1087</v>
      </c>
      <c r="C335" t="s">
        <v>1073</v>
      </c>
      <c r="D335" t="s">
        <v>1074</v>
      </c>
      <c r="E335" t="s">
        <v>852</v>
      </c>
      <c r="F335" t="s">
        <v>27</v>
      </c>
      <c r="G335">
        <v>1</v>
      </c>
      <c r="H335" t="s">
        <v>1510</v>
      </c>
      <c r="I335" t="s">
        <v>1511</v>
      </c>
      <c r="J335" t="s">
        <v>1512</v>
      </c>
      <c r="K335" t="s">
        <v>1511</v>
      </c>
      <c r="L335" t="s">
        <v>1513</v>
      </c>
      <c r="M335" s="1" t="str">
        <f t="shared" si="35"/>
        <v>15B290</v>
      </c>
      <c r="N335" s="1" t="str">
        <f t="shared" si="36"/>
        <v>C/O</v>
      </c>
      <c r="O335" s="1" t="str">
        <f t="shared" si="37"/>
        <v>Swing Motor LHF</v>
      </c>
      <c r="P335" s="1" t="str">
        <f t="shared" si="38"/>
        <v>6D60</v>
      </c>
      <c r="Q335" s="2" t="str">
        <f t="shared" si="39"/>
        <v>6D60Swing Motor LHF</v>
      </c>
      <c r="R335" s="2" t="str">
        <f>New_Xref[[#This Row],[Serial Prefix]]&amp;IF(New_Xref[[#This Row],[Func Loc]]&lt;&gt;"",New_Xref[[#This Row],[Func Loc]],"NO MATCH")</f>
        <v>6D60MYHD .MOTO.SMLF</v>
      </c>
      <c r="S335" s="3" t="str">
        <f t="shared" si="40"/>
        <v>6D6020R2015Swing Motor LHF</v>
      </c>
      <c r="T335" s="3" t="s">
        <v>1079</v>
      </c>
      <c r="U335" s="3" t="s">
        <v>89</v>
      </c>
      <c r="V335" t="str">
        <f t="shared" si="41"/>
        <v>79PALF</v>
      </c>
    </row>
    <row r="336" spans="1:22">
      <c r="A336" t="s">
        <v>1086</v>
      </c>
      <c r="B336" t="s">
        <v>1087</v>
      </c>
      <c r="C336" t="s">
        <v>1073</v>
      </c>
      <c r="D336" t="s">
        <v>1074</v>
      </c>
      <c r="E336" t="s">
        <v>852</v>
      </c>
      <c r="F336" t="s">
        <v>27</v>
      </c>
      <c r="G336">
        <v>1</v>
      </c>
      <c r="H336" t="s">
        <v>1510</v>
      </c>
      <c r="I336" t="s">
        <v>1514</v>
      </c>
      <c r="J336" t="s">
        <v>1515</v>
      </c>
      <c r="K336" t="s">
        <v>1514</v>
      </c>
      <c r="L336" t="s">
        <v>1082</v>
      </c>
      <c r="M336" s="1" t="str">
        <f t="shared" si="35"/>
        <v>15B290</v>
      </c>
      <c r="N336" s="1" t="str">
        <f t="shared" si="36"/>
        <v>C/O</v>
      </c>
      <c r="O336" s="1" t="str">
        <f t="shared" si="37"/>
        <v>Swing Motor LHR</v>
      </c>
      <c r="P336" s="1" t="str">
        <f t="shared" si="38"/>
        <v>6D60</v>
      </c>
      <c r="Q336" s="2" t="str">
        <f t="shared" si="39"/>
        <v>6D60Swing Motor LHR</v>
      </c>
      <c r="R336" s="2" t="str">
        <f>New_Xref[[#This Row],[Serial Prefix]]&amp;IF(New_Xref[[#This Row],[Func Loc]]&lt;&gt;"",New_Xref[[#This Row],[Func Loc]],"NO MATCH")</f>
        <v>6D60MYHD .MOTO.SMLR</v>
      </c>
      <c r="S336" s="3" t="str">
        <f t="shared" si="40"/>
        <v>6D6020R2015Swing Motor LHR</v>
      </c>
      <c r="T336" s="3" t="s">
        <v>1079</v>
      </c>
      <c r="U336" s="3" t="s">
        <v>96</v>
      </c>
      <c r="V336" t="str">
        <f t="shared" si="41"/>
        <v>79PALR</v>
      </c>
    </row>
    <row r="337" spans="1:22">
      <c r="A337" t="s">
        <v>1086</v>
      </c>
      <c r="B337" t="s">
        <v>1087</v>
      </c>
      <c r="C337" t="s">
        <v>1073</v>
      </c>
      <c r="D337" t="s">
        <v>1074</v>
      </c>
      <c r="E337" t="s">
        <v>852</v>
      </c>
      <c r="F337" t="s">
        <v>27</v>
      </c>
      <c r="G337">
        <v>1</v>
      </c>
      <c r="H337" t="s">
        <v>1510</v>
      </c>
      <c r="I337" t="s">
        <v>1516</v>
      </c>
      <c r="J337" t="s">
        <v>1517</v>
      </c>
      <c r="K337" t="s">
        <v>1516</v>
      </c>
      <c r="L337" t="s">
        <v>1518</v>
      </c>
      <c r="M337" s="1" t="str">
        <f t="shared" si="35"/>
        <v>15B290</v>
      </c>
      <c r="N337" s="1" t="str">
        <f t="shared" si="36"/>
        <v>C/O</v>
      </c>
      <c r="O337" s="1" t="str">
        <f t="shared" si="37"/>
        <v>Swing Motor RHF</v>
      </c>
      <c r="P337" s="1" t="str">
        <f t="shared" si="38"/>
        <v>6D60</v>
      </c>
      <c r="Q337" s="2" t="str">
        <f t="shared" si="39"/>
        <v>6D60Swing Motor RHF</v>
      </c>
      <c r="R337" s="2" t="str">
        <f>New_Xref[[#This Row],[Serial Prefix]]&amp;IF(New_Xref[[#This Row],[Func Loc]]&lt;&gt;"",New_Xref[[#This Row],[Func Loc]],"NO MATCH")</f>
        <v>6D60MYHD .MOTO.SMRF</v>
      </c>
      <c r="S337" s="3" t="str">
        <f t="shared" si="40"/>
        <v>6D6020R2015Swing Motor RHF</v>
      </c>
      <c r="T337" s="3" t="s">
        <v>1079</v>
      </c>
      <c r="U337" s="3" t="s">
        <v>92</v>
      </c>
      <c r="V337" t="str">
        <f t="shared" si="41"/>
        <v>79PARF</v>
      </c>
    </row>
    <row r="338" spans="1:22">
      <c r="A338" t="s">
        <v>1086</v>
      </c>
      <c r="B338" t="s">
        <v>1087</v>
      </c>
      <c r="C338" t="s">
        <v>1073</v>
      </c>
      <c r="D338" t="s">
        <v>1074</v>
      </c>
      <c r="E338" t="s">
        <v>852</v>
      </c>
      <c r="F338" t="s">
        <v>27</v>
      </c>
      <c r="G338">
        <v>1</v>
      </c>
      <c r="H338" t="s">
        <v>1510</v>
      </c>
      <c r="I338" t="s">
        <v>1519</v>
      </c>
      <c r="J338" t="s">
        <v>1520</v>
      </c>
      <c r="K338" t="s">
        <v>1519</v>
      </c>
      <c r="L338" t="s">
        <v>1085</v>
      </c>
      <c r="M338" s="1" t="str">
        <f t="shared" si="35"/>
        <v>15B290</v>
      </c>
      <c r="N338" s="1" t="str">
        <f t="shared" si="36"/>
        <v>C/O</v>
      </c>
      <c r="O338" s="1" t="str">
        <f t="shared" si="37"/>
        <v>Swing Motor RHR</v>
      </c>
      <c r="P338" s="1" t="str">
        <f t="shared" si="38"/>
        <v>6D60</v>
      </c>
      <c r="Q338" s="2" t="str">
        <f t="shared" si="39"/>
        <v>6D60Swing Motor RHR</v>
      </c>
      <c r="R338" s="2" t="str">
        <f>New_Xref[[#This Row],[Serial Prefix]]&amp;IF(New_Xref[[#This Row],[Func Loc]]&lt;&gt;"",New_Xref[[#This Row],[Func Loc]],"NO MATCH")</f>
        <v>6D60MYHD .MOTO.SMRR</v>
      </c>
      <c r="S338" s="3" t="str">
        <f t="shared" si="40"/>
        <v>6D6020R2015Swing Motor RHR</v>
      </c>
      <c r="T338" s="3" t="s">
        <v>1079</v>
      </c>
      <c r="U338" s="3" t="s">
        <v>99</v>
      </c>
      <c r="V338" t="str">
        <f t="shared" si="41"/>
        <v>79PARR</v>
      </c>
    </row>
    <row r="339" spans="1:22">
      <c r="A339" t="s">
        <v>1086</v>
      </c>
      <c r="B339" t="s">
        <v>1102</v>
      </c>
      <c r="C339" t="s">
        <v>1073</v>
      </c>
      <c r="D339" t="s">
        <v>1074</v>
      </c>
      <c r="E339" t="s">
        <v>1521</v>
      </c>
      <c r="F339" t="s">
        <v>27</v>
      </c>
      <c r="G339">
        <v>1</v>
      </c>
      <c r="H339" t="s">
        <v>1510</v>
      </c>
      <c r="I339" t="s">
        <v>1522</v>
      </c>
      <c r="J339" t="s">
        <v>1523</v>
      </c>
      <c r="K339" t="s">
        <v>1522</v>
      </c>
      <c r="L339" t="s">
        <v>1513</v>
      </c>
      <c r="M339" s="1" t="str">
        <f t="shared" si="35"/>
        <v>15B405</v>
      </c>
      <c r="N339" s="1" t="str">
        <f t="shared" si="36"/>
        <v>C/O</v>
      </c>
      <c r="O339" s="1" t="str">
        <f t="shared" si="37"/>
        <v>Swing Motor LHF</v>
      </c>
      <c r="P339" s="1" t="str">
        <f t="shared" si="38"/>
        <v>6P60</v>
      </c>
      <c r="Q339" s="2" t="str">
        <f t="shared" si="39"/>
        <v>6P60Swing Motor LHF</v>
      </c>
      <c r="R339" s="2" t="str">
        <f>New_Xref[[#This Row],[Serial Prefix]]&amp;IF(New_Xref[[#This Row],[Func Loc]]&lt;&gt;"",New_Xref[[#This Row],[Func Loc]],"NO MATCH")</f>
        <v>6P60MYHD .MOTO.SMLF</v>
      </c>
      <c r="S339" s="3" t="str">
        <f t="shared" si="40"/>
        <v>6P6020R2015Swing Motor LHF</v>
      </c>
      <c r="T339" s="3" t="s">
        <v>1079</v>
      </c>
      <c r="U339" s="3" t="s">
        <v>89</v>
      </c>
      <c r="V339" t="str">
        <f t="shared" si="41"/>
        <v>79PALF</v>
      </c>
    </row>
    <row r="340" spans="1:22">
      <c r="A340" t="s">
        <v>1086</v>
      </c>
      <c r="B340" t="s">
        <v>1102</v>
      </c>
      <c r="C340" t="s">
        <v>1073</v>
      </c>
      <c r="D340" t="s">
        <v>1074</v>
      </c>
      <c r="E340" t="s">
        <v>1521</v>
      </c>
      <c r="F340" t="s">
        <v>27</v>
      </c>
      <c r="G340">
        <v>1</v>
      </c>
      <c r="H340" t="s">
        <v>1510</v>
      </c>
      <c r="I340" t="s">
        <v>1524</v>
      </c>
      <c r="J340" t="s">
        <v>1525</v>
      </c>
      <c r="K340" t="s">
        <v>1524</v>
      </c>
      <c r="L340" t="s">
        <v>1082</v>
      </c>
      <c r="M340" s="1" t="str">
        <f t="shared" si="35"/>
        <v>15B405</v>
      </c>
      <c r="N340" s="1" t="str">
        <f t="shared" si="36"/>
        <v>C/O</v>
      </c>
      <c r="O340" s="1" t="str">
        <f t="shared" si="37"/>
        <v>Swing Motor LHR</v>
      </c>
      <c r="P340" s="1" t="str">
        <f t="shared" si="38"/>
        <v>6P60</v>
      </c>
      <c r="Q340" s="2" t="str">
        <f t="shared" si="39"/>
        <v>6P60Swing Motor LHR</v>
      </c>
      <c r="R340" s="2" t="str">
        <f>New_Xref[[#This Row],[Serial Prefix]]&amp;IF(New_Xref[[#This Row],[Func Loc]]&lt;&gt;"",New_Xref[[#This Row],[Func Loc]],"NO MATCH")</f>
        <v>6P60MYHD .MOTO.SMLR</v>
      </c>
      <c r="S340" s="3" t="str">
        <f t="shared" si="40"/>
        <v>6P6020R2015Swing Motor LHR</v>
      </c>
      <c r="T340" s="3" t="s">
        <v>1079</v>
      </c>
      <c r="U340" s="3" t="s">
        <v>96</v>
      </c>
      <c r="V340" t="str">
        <f t="shared" si="41"/>
        <v>79PALR</v>
      </c>
    </row>
    <row r="341" spans="1:22">
      <c r="A341" t="s">
        <v>1086</v>
      </c>
      <c r="B341" t="s">
        <v>1102</v>
      </c>
      <c r="C341" t="s">
        <v>1073</v>
      </c>
      <c r="D341" t="s">
        <v>1074</v>
      </c>
      <c r="E341" t="s">
        <v>1521</v>
      </c>
      <c r="F341" t="s">
        <v>27</v>
      </c>
      <c r="G341">
        <v>1</v>
      </c>
      <c r="H341" t="s">
        <v>1510</v>
      </c>
      <c r="I341" t="s">
        <v>1526</v>
      </c>
      <c r="J341" t="s">
        <v>1527</v>
      </c>
      <c r="K341" t="s">
        <v>1526</v>
      </c>
      <c r="L341" t="s">
        <v>1518</v>
      </c>
      <c r="M341" s="1" t="str">
        <f t="shared" si="35"/>
        <v>15B405</v>
      </c>
      <c r="N341" s="1" t="str">
        <f t="shared" si="36"/>
        <v>C/O</v>
      </c>
      <c r="O341" s="1" t="str">
        <f t="shared" si="37"/>
        <v>Swing Motor RHF</v>
      </c>
      <c r="P341" s="1" t="str">
        <f t="shared" si="38"/>
        <v>6P60</v>
      </c>
      <c r="Q341" s="2" t="str">
        <f t="shared" si="39"/>
        <v>6P60Swing Motor RHF</v>
      </c>
      <c r="R341" s="2" t="str">
        <f>New_Xref[[#This Row],[Serial Prefix]]&amp;IF(New_Xref[[#This Row],[Func Loc]]&lt;&gt;"",New_Xref[[#This Row],[Func Loc]],"NO MATCH")</f>
        <v>6P60MYHD .MOTO.SMRF</v>
      </c>
      <c r="S341" s="3" t="str">
        <f t="shared" si="40"/>
        <v>6P6020R2015Swing Motor RHF</v>
      </c>
      <c r="T341" s="3" t="s">
        <v>1079</v>
      </c>
      <c r="U341" s="3" t="s">
        <v>92</v>
      </c>
      <c r="V341" t="str">
        <f t="shared" si="41"/>
        <v>79PARF</v>
      </c>
    </row>
    <row r="342" spans="1:22">
      <c r="A342" t="s">
        <v>1086</v>
      </c>
      <c r="B342" t="s">
        <v>1102</v>
      </c>
      <c r="C342" t="s">
        <v>1073</v>
      </c>
      <c r="D342" t="s">
        <v>1074</v>
      </c>
      <c r="E342" t="s">
        <v>1521</v>
      </c>
      <c r="F342" t="s">
        <v>27</v>
      </c>
      <c r="G342">
        <v>1</v>
      </c>
      <c r="H342" t="s">
        <v>1510</v>
      </c>
      <c r="I342" t="s">
        <v>1528</v>
      </c>
      <c r="J342" t="s">
        <v>1529</v>
      </c>
      <c r="K342" t="s">
        <v>1528</v>
      </c>
      <c r="L342" t="s">
        <v>1085</v>
      </c>
      <c r="M342" s="1" t="str">
        <f t="shared" si="35"/>
        <v>15B405</v>
      </c>
      <c r="N342" s="1" t="str">
        <f t="shared" si="36"/>
        <v>C/O</v>
      </c>
      <c r="O342" s="1" t="str">
        <f t="shared" si="37"/>
        <v>Swing Motor RHR</v>
      </c>
      <c r="P342" s="1" t="str">
        <f t="shared" si="38"/>
        <v>6P60</v>
      </c>
      <c r="Q342" s="2" t="str">
        <f t="shared" si="39"/>
        <v>6P60Swing Motor RHR</v>
      </c>
      <c r="R342" s="2" t="str">
        <f>New_Xref[[#This Row],[Serial Prefix]]&amp;IF(New_Xref[[#This Row],[Func Loc]]&lt;&gt;"",New_Xref[[#This Row],[Func Loc]],"NO MATCH")</f>
        <v>6P60MYHD .MOTO.SMRR</v>
      </c>
      <c r="S342" s="3" t="str">
        <f t="shared" si="40"/>
        <v>6P6020R2015Swing Motor RHR</v>
      </c>
      <c r="T342" s="3" t="s">
        <v>1079</v>
      </c>
      <c r="U342" s="3" t="s">
        <v>99</v>
      </c>
      <c r="V342" t="str">
        <f t="shared" si="41"/>
        <v>79PARR</v>
      </c>
    </row>
    <row r="343" spans="1:22">
      <c r="A343" t="s">
        <v>1086</v>
      </c>
      <c r="B343" t="s">
        <v>1087</v>
      </c>
      <c r="C343" t="s">
        <v>1530</v>
      </c>
      <c r="D343" t="s">
        <v>1531</v>
      </c>
      <c r="E343" t="s">
        <v>852</v>
      </c>
      <c r="F343" t="s">
        <v>27</v>
      </c>
      <c r="G343">
        <v>1</v>
      </c>
      <c r="H343" t="s">
        <v>1532</v>
      </c>
      <c r="I343" t="s">
        <v>1533</v>
      </c>
      <c r="J343" t="s">
        <v>1534</v>
      </c>
      <c r="K343" t="s">
        <v>1533</v>
      </c>
      <c r="L343" t="s">
        <v>856</v>
      </c>
      <c r="M343" s="1" t="str">
        <f t="shared" si="35"/>
        <v>15B290</v>
      </c>
      <c r="N343" s="1" t="str">
        <f t="shared" si="36"/>
        <v>C/O</v>
      </c>
      <c r="O343" s="1" t="str">
        <f t="shared" si="37"/>
        <v>Engine LH Cooling Fan Motor</v>
      </c>
      <c r="P343" s="1" t="str">
        <f t="shared" si="38"/>
        <v>6D60</v>
      </c>
      <c r="Q343" s="2" t="str">
        <f t="shared" si="39"/>
        <v>6D60Engine LH Cooling Fan Motor</v>
      </c>
      <c r="R343" s="2" t="str">
        <f>New_Xref[[#This Row],[Serial Prefix]]&amp;IF(New_Xref[[#This Row],[Func Loc]]&lt;&gt;"",New_Xref[[#This Row],[Func Loc]],"NO MATCH")</f>
        <v>6D60MYHD .MOTO.EFML</v>
      </c>
      <c r="S343" s="3" t="str">
        <f t="shared" si="40"/>
        <v>6D6020R2014Engine LH Cooling Fan Motor</v>
      </c>
      <c r="T343" s="3" t="s">
        <v>1535</v>
      </c>
      <c r="U343" s="3" t="s">
        <v>108</v>
      </c>
      <c r="V343" t="str">
        <f t="shared" si="41"/>
        <v>89CSLT</v>
      </c>
    </row>
    <row r="344" spans="1:22">
      <c r="A344" t="s">
        <v>1086</v>
      </c>
      <c r="B344" t="s">
        <v>1087</v>
      </c>
      <c r="C344" t="s">
        <v>1530</v>
      </c>
      <c r="D344" t="s">
        <v>1531</v>
      </c>
      <c r="E344" t="s">
        <v>852</v>
      </c>
      <c r="F344" t="s">
        <v>27</v>
      </c>
      <c r="G344">
        <v>1</v>
      </c>
      <c r="H344" t="s">
        <v>1532</v>
      </c>
      <c r="I344" t="s">
        <v>1536</v>
      </c>
      <c r="J344" t="s">
        <v>1537</v>
      </c>
      <c r="K344" t="s">
        <v>1536</v>
      </c>
      <c r="L344" t="s">
        <v>859</v>
      </c>
      <c r="M344" s="1" t="str">
        <f t="shared" si="35"/>
        <v>15B290</v>
      </c>
      <c r="N344" s="1" t="str">
        <f t="shared" si="36"/>
        <v>C/O</v>
      </c>
      <c r="O344" s="1" t="str">
        <f t="shared" si="37"/>
        <v>Engine RH Cooling Fan Motor</v>
      </c>
      <c r="P344" s="1" t="str">
        <f t="shared" si="38"/>
        <v>6D60</v>
      </c>
      <c r="Q344" s="2" t="str">
        <f t="shared" si="39"/>
        <v>6D60Engine RH Cooling Fan Motor</v>
      </c>
      <c r="R344" s="2" t="str">
        <f>New_Xref[[#This Row],[Serial Prefix]]&amp;IF(New_Xref[[#This Row],[Func Loc]]&lt;&gt;"",New_Xref[[#This Row],[Func Loc]],"NO MATCH")</f>
        <v>6D60MYHD .MOTO.EFMR</v>
      </c>
      <c r="S344" s="3" t="str">
        <f t="shared" si="40"/>
        <v>6D6020R2014Engine RH Cooling Fan Motor</v>
      </c>
      <c r="T344" s="3" t="s">
        <v>1535</v>
      </c>
      <c r="U344" s="3" t="s">
        <v>115</v>
      </c>
      <c r="V344" t="str">
        <f t="shared" si="41"/>
        <v>89CSRI</v>
      </c>
    </row>
    <row r="345" spans="1:22">
      <c r="A345" t="s">
        <v>1086</v>
      </c>
      <c r="B345" t="s">
        <v>1102</v>
      </c>
      <c r="C345" t="s">
        <v>1530</v>
      </c>
      <c r="D345" t="s">
        <v>1531</v>
      </c>
      <c r="E345" t="s">
        <v>1521</v>
      </c>
      <c r="F345" t="s">
        <v>27</v>
      </c>
      <c r="G345">
        <v>1</v>
      </c>
      <c r="H345" t="s">
        <v>1532</v>
      </c>
      <c r="I345" t="s">
        <v>1538</v>
      </c>
      <c r="J345" t="s">
        <v>1539</v>
      </c>
      <c r="K345" t="s">
        <v>1538</v>
      </c>
      <c r="L345" t="s">
        <v>856</v>
      </c>
      <c r="M345" s="1" t="str">
        <f t="shared" si="35"/>
        <v>15B405</v>
      </c>
      <c r="N345" s="1" t="str">
        <f t="shared" si="36"/>
        <v>C/O</v>
      </c>
      <c r="O345" s="1" t="str">
        <f t="shared" si="37"/>
        <v>Engine LH Cooling Fan Motor</v>
      </c>
      <c r="P345" s="1" t="str">
        <f t="shared" si="38"/>
        <v>6P60</v>
      </c>
      <c r="Q345" s="2" t="str">
        <f t="shared" si="39"/>
        <v>6P60Engine LH Cooling Fan Motor</v>
      </c>
      <c r="R345" s="2" t="str">
        <f>New_Xref[[#This Row],[Serial Prefix]]&amp;IF(New_Xref[[#This Row],[Func Loc]]&lt;&gt;"",New_Xref[[#This Row],[Func Loc]],"NO MATCH")</f>
        <v>6P60MYHD .MOTO.EFML</v>
      </c>
      <c r="S345" s="3" t="str">
        <f t="shared" si="40"/>
        <v>6P6020R2014Engine LH Cooling Fan Motor</v>
      </c>
      <c r="T345" s="3" t="s">
        <v>1535</v>
      </c>
      <c r="U345" s="3" t="s">
        <v>108</v>
      </c>
      <c r="V345" t="str">
        <f t="shared" si="41"/>
        <v>89CSLT</v>
      </c>
    </row>
    <row r="346" spans="1:22">
      <c r="A346" t="s">
        <v>1086</v>
      </c>
      <c r="B346" t="s">
        <v>1102</v>
      </c>
      <c r="C346" t="s">
        <v>1530</v>
      </c>
      <c r="D346" t="s">
        <v>1531</v>
      </c>
      <c r="E346" t="s">
        <v>1521</v>
      </c>
      <c r="F346" t="s">
        <v>27</v>
      </c>
      <c r="G346">
        <v>1</v>
      </c>
      <c r="H346" t="s">
        <v>1532</v>
      </c>
      <c r="I346" t="s">
        <v>1540</v>
      </c>
      <c r="J346" t="s">
        <v>1541</v>
      </c>
      <c r="K346" t="s">
        <v>1540</v>
      </c>
      <c r="L346" t="s">
        <v>859</v>
      </c>
      <c r="M346" s="1" t="str">
        <f t="shared" si="35"/>
        <v>15B405</v>
      </c>
      <c r="N346" s="1" t="str">
        <f t="shared" si="36"/>
        <v>C/O</v>
      </c>
      <c r="O346" s="1" t="str">
        <f t="shared" si="37"/>
        <v>Engine RH Cooling Fan Motor</v>
      </c>
      <c r="P346" s="1" t="str">
        <f t="shared" si="38"/>
        <v>6P60</v>
      </c>
      <c r="Q346" s="2" t="str">
        <f t="shared" si="39"/>
        <v>6P60Engine RH Cooling Fan Motor</v>
      </c>
      <c r="R346" s="2" t="str">
        <f>New_Xref[[#This Row],[Serial Prefix]]&amp;IF(New_Xref[[#This Row],[Func Loc]]&lt;&gt;"",New_Xref[[#This Row],[Func Loc]],"NO MATCH")</f>
        <v>6P60MYHD .MOTO.EFMR</v>
      </c>
      <c r="S346" s="3" t="str">
        <f t="shared" si="40"/>
        <v>6P6020R2014Engine RH Cooling Fan Motor</v>
      </c>
      <c r="T346" s="3" t="s">
        <v>1535</v>
      </c>
      <c r="U346" s="3" t="s">
        <v>115</v>
      </c>
      <c r="V346" t="str">
        <f t="shared" si="41"/>
        <v>89CSRI</v>
      </c>
    </row>
    <row r="347" spans="1:22">
      <c r="A347" t="s">
        <v>1542</v>
      </c>
      <c r="B347" t="s">
        <v>1543</v>
      </c>
      <c r="H347" t="s">
        <v>1544</v>
      </c>
      <c r="I347" t="s">
        <v>1545</v>
      </c>
      <c r="J347" t="s">
        <v>1546</v>
      </c>
      <c r="K347" t="s">
        <v>1547</v>
      </c>
      <c r="L347" t="s">
        <v>32</v>
      </c>
      <c r="M347" s="1" t="str">
        <f t="shared" si="35"/>
        <v>12R0039</v>
      </c>
      <c r="N347" s="1" t="str">
        <f t="shared" si="36"/>
        <v>C/O</v>
      </c>
      <c r="O347" s="1" t="str">
        <f t="shared" si="37"/>
        <v>Engine</v>
      </c>
      <c r="P347" s="1" t="str">
        <f t="shared" si="38"/>
        <v>ATS0</v>
      </c>
      <c r="Q347" s="2" t="str">
        <f t="shared" si="39"/>
        <v>ATS0Engine</v>
      </c>
      <c r="R347" s="2" t="str">
        <f>New_Xref[[#This Row],[Serial Prefix]]&amp;IF(New_Xref[[#This Row],[Func Loc]]&lt;&gt;"",New_Xref[[#This Row],[Func Loc]],"NO MATCH")</f>
        <v>ATS0ENGD</v>
      </c>
      <c r="S347" s="3" t="str">
        <f t="shared" si="40"/>
        <v>ATS0Engine</v>
      </c>
      <c r="T347" s="3" t="s">
        <v>33</v>
      </c>
      <c r="U347" s="3" t="s">
        <v>34</v>
      </c>
      <c r="V347" t="str">
        <f t="shared" si="41"/>
        <v>100000</v>
      </c>
    </row>
    <row r="348" spans="1:22">
      <c r="A348" t="s">
        <v>1542</v>
      </c>
      <c r="B348" t="s">
        <v>1548</v>
      </c>
      <c r="C348" t="s">
        <v>1549</v>
      </c>
      <c r="D348" t="s">
        <v>1550</v>
      </c>
      <c r="E348" t="s">
        <v>263</v>
      </c>
      <c r="F348" t="s">
        <v>27</v>
      </c>
      <c r="G348">
        <v>1</v>
      </c>
      <c r="H348" t="s">
        <v>1551</v>
      </c>
      <c r="I348" t="s">
        <v>1552</v>
      </c>
      <c r="J348" t="s">
        <v>1553</v>
      </c>
      <c r="K348" t="s">
        <v>1554</v>
      </c>
      <c r="L348" t="s">
        <v>719</v>
      </c>
      <c r="M348" s="1" t="str">
        <f t="shared" si="35"/>
        <v>12D1</v>
      </c>
      <c r="N348" s="1" t="str">
        <f t="shared" si="36"/>
        <v>C/O</v>
      </c>
      <c r="O348" s="1" t="str">
        <f t="shared" si="37"/>
        <v>Turbocharger</v>
      </c>
      <c r="P348" s="1" t="str">
        <f t="shared" si="38"/>
        <v>ATS0</v>
      </c>
      <c r="Q348" s="2" t="str">
        <f t="shared" si="39"/>
        <v>ATS0Turbocharger</v>
      </c>
      <c r="R348" s="2" t="str">
        <f>New_Xref[[#This Row],[Serial Prefix]]&amp;IF(New_Xref[[#This Row],[Func Loc]]&lt;&gt;"",New_Xref[[#This Row],[Func Loc]],"NO MATCH")</f>
        <v>ATS0ENGD .TURB.TC01</v>
      </c>
      <c r="S348" s="3" t="str">
        <f t="shared" si="40"/>
        <v>ATS010R0759Turbocharger</v>
      </c>
      <c r="T348" s="3" t="s">
        <v>47</v>
      </c>
      <c r="U348" s="3" t="s">
        <v>34</v>
      </c>
      <c r="V348" t="str">
        <f t="shared" si="41"/>
        <v>105200</v>
      </c>
    </row>
    <row r="349" spans="1:22">
      <c r="A349" t="s">
        <v>1542</v>
      </c>
      <c r="B349" t="s">
        <v>1548</v>
      </c>
      <c r="C349" t="s">
        <v>1555</v>
      </c>
      <c r="D349" t="s">
        <v>1556</v>
      </c>
      <c r="E349" t="s">
        <v>1557</v>
      </c>
      <c r="F349" t="s">
        <v>27</v>
      </c>
      <c r="G349">
        <v>6</v>
      </c>
      <c r="H349" t="s">
        <v>1558</v>
      </c>
      <c r="I349" t="s">
        <v>1552</v>
      </c>
      <c r="J349" t="s">
        <v>1559</v>
      </c>
      <c r="K349" t="s">
        <v>1560</v>
      </c>
      <c r="L349" t="s">
        <v>62</v>
      </c>
      <c r="M349" s="1" t="str">
        <f t="shared" si="35"/>
        <v>12D1</v>
      </c>
      <c r="N349" s="1" t="str">
        <f t="shared" si="36"/>
        <v>C/O</v>
      </c>
      <c r="O349" s="1" t="str">
        <f t="shared" si="37"/>
        <v>Fuel Injectors</v>
      </c>
      <c r="P349" s="1" t="str">
        <f t="shared" si="38"/>
        <v>ATS0</v>
      </c>
      <c r="Q349" s="2" t="str">
        <f t="shared" si="39"/>
        <v>ATS0Fuel Injectors</v>
      </c>
      <c r="R349" s="2" t="str">
        <f>New_Xref[[#This Row],[Serial Prefix]]&amp;IF(New_Xref[[#This Row],[Func Loc]]&lt;&gt;"",New_Xref[[#This Row],[Func Loc]],"NO MATCH")</f>
        <v>ATS0ENGD .FUEL.INJE</v>
      </c>
      <c r="S349" s="3" t="str">
        <f t="shared" si="40"/>
        <v>ATS020R0056Fuel Injectors</v>
      </c>
      <c r="T349" s="3" t="s">
        <v>63</v>
      </c>
      <c r="U349" s="3" t="s">
        <v>34</v>
      </c>
      <c r="V349" t="str">
        <f t="shared" si="41"/>
        <v>125100</v>
      </c>
    </row>
    <row r="350" spans="1:22">
      <c r="A350" t="s">
        <v>1542</v>
      </c>
      <c r="B350" t="s">
        <v>1543</v>
      </c>
      <c r="C350" t="s">
        <v>1561</v>
      </c>
      <c r="D350" t="s">
        <v>1562</v>
      </c>
      <c r="E350" t="s">
        <v>1563</v>
      </c>
      <c r="F350" t="s">
        <v>27</v>
      </c>
      <c r="G350">
        <v>1</v>
      </c>
      <c r="H350" t="s">
        <v>1564</v>
      </c>
      <c r="I350" t="s">
        <v>1545</v>
      </c>
      <c r="J350" t="s">
        <v>1565</v>
      </c>
      <c r="K350" t="s">
        <v>1566</v>
      </c>
      <c r="L350" t="s">
        <v>739</v>
      </c>
      <c r="M350" s="1" t="str">
        <f t="shared" si="35"/>
        <v>12R0039</v>
      </c>
      <c r="N350" s="1" t="str">
        <f t="shared" si="36"/>
        <v>C/O</v>
      </c>
      <c r="O350" s="1" t="str">
        <f t="shared" si="37"/>
        <v>Water Pump Main</v>
      </c>
      <c r="P350" s="1" t="str">
        <f t="shared" si="38"/>
        <v>ATS0</v>
      </c>
      <c r="Q350" s="2" t="str">
        <f t="shared" si="39"/>
        <v>ATS0Water Pump Main</v>
      </c>
      <c r="R350" s="2" t="str">
        <f>New_Xref[[#This Row],[Serial Prefix]]&amp;IF(New_Xref[[#This Row],[Func Loc]]&lt;&gt;"",New_Xref[[#This Row],[Func Loc]],"NO MATCH")</f>
        <v>ATS0ENGD .WAPU.WP01</v>
      </c>
      <c r="S350" s="3" t="str">
        <f t="shared" si="40"/>
        <v>ATS00R0705Water Pump Main</v>
      </c>
      <c r="T350" s="3" t="s">
        <v>183</v>
      </c>
      <c r="U350" s="3" t="s">
        <v>34</v>
      </c>
      <c r="V350" t="str">
        <f t="shared" si="41"/>
        <v>136100</v>
      </c>
    </row>
    <row r="351" spans="1:22">
      <c r="A351" t="s">
        <v>1542</v>
      </c>
      <c r="B351" t="s">
        <v>1548</v>
      </c>
      <c r="C351" t="s">
        <v>1561</v>
      </c>
      <c r="D351" t="s">
        <v>1562</v>
      </c>
      <c r="E351" t="s">
        <v>1563</v>
      </c>
      <c r="F351" t="s">
        <v>27</v>
      </c>
      <c r="G351">
        <v>1</v>
      </c>
      <c r="H351" t="s">
        <v>1564</v>
      </c>
      <c r="I351" t="s">
        <v>1552</v>
      </c>
      <c r="J351" t="s">
        <v>1567</v>
      </c>
      <c r="K351" t="s">
        <v>1568</v>
      </c>
      <c r="L351" t="s">
        <v>83</v>
      </c>
      <c r="M351" s="1" t="str">
        <f t="shared" si="35"/>
        <v>12D1</v>
      </c>
      <c r="N351" s="1" t="str">
        <f t="shared" si="36"/>
        <v>C/O</v>
      </c>
      <c r="O351" s="1" t="str">
        <f t="shared" si="37"/>
        <v>Water Pump</v>
      </c>
      <c r="P351" s="1" t="str">
        <f t="shared" si="38"/>
        <v>ATS0</v>
      </c>
      <c r="Q351" s="2" t="str">
        <f t="shared" si="39"/>
        <v>ATS0Water Pump</v>
      </c>
      <c r="R351" s="2" t="str">
        <f>New_Xref[[#This Row],[Serial Prefix]]&amp;IF(New_Xref[[#This Row],[Func Loc]]&lt;&gt;"",New_Xref[[#This Row],[Func Loc]],"NO MATCH")</f>
        <v>ATS0NO MATCH</v>
      </c>
      <c r="S351" s="3" t="str">
        <f t="shared" si="40"/>
        <v>ATS00R0705Water Pump</v>
      </c>
      <c r="T351" s="3" t="s">
        <v>183</v>
      </c>
      <c r="U351" s="3" t="s">
        <v>34</v>
      </c>
      <c r="V351" t="str">
        <f t="shared" si="41"/>
        <v>136100</v>
      </c>
    </row>
    <row r="352" spans="1:22">
      <c r="A352" t="s">
        <v>1542</v>
      </c>
      <c r="B352" t="s">
        <v>1569</v>
      </c>
      <c r="H352" t="s">
        <v>1570</v>
      </c>
      <c r="I352" t="s">
        <v>1571</v>
      </c>
      <c r="J352" t="s">
        <v>1572</v>
      </c>
      <c r="K352" t="s">
        <v>1571</v>
      </c>
      <c r="L352" t="s">
        <v>463</v>
      </c>
      <c r="M352" s="1" t="str">
        <f t="shared" si="35"/>
        <v>12R06</v>
      </c>
      <c r="N352" s="1" t="str">
        <f t="shared" si="36"/>
        <v>C/O</v>
      </c>
      <c r="O352" s="1" t="str">
        <f t="shared" si="37"/>
        <v>Differential</v>
      </c>
      <c r="P352" s="1" t="str">
        <f t="shared" si="38"/>
        <v>ATS0</v>
      </c>
      <c r="Q352" s="2" t="str">
        <f t="shared" si="39"/>
        <v>ATS0Differential</v>
      </c>
      <c r="R352" s="2" t="str">
        <f>New_Xref[[#This Row],[Serial Prefix]]&amp;IF(New_Xref[[#This Row],[Func Loc]]&lt;&gt;"",New_Xref[[#This Row],[Func Loc]],"NO MATCH")</f>
        <v>ATS0FDRV .AXAR.DIFF</v>
      </c>
      <c r="S352" s="3" t="str">
        <f t="shared" si="40"/>
        <v>ATS0Differential</v>
      </c>
      <c r="T352" s="3" t="s">
        <v>464</v>
      </c>
      <c r="U352" s="3" t="s">
        <v>34</v>
      </c>
      <c r="V352" t="str">
        <f t="shared" si="41"/>
        <v>325800</v>
      </c>
    </row>
    <row r="353" spans="1:22">
      <c r="A353" t="s">
        <v>1542</v>
      </c>
      <c r="B353" t="s">
        <v>1543</v>
      </c>
      <c r="C353" t="s">
        <v>1573</v>
      </c>
      <c r="D353" t="s">
        <v>1574</v>
      </c>
      <c r="E353" t="s">
        <v>1575</v>
      </c>
      <c r="F353" t="s">
        <v>27</v>
      </c>
      <c r="G353">
        <v>1</v>
      </c>
      <c r="H353" t="s">
        <v>1576</v>
      </c>
      <c r="I353" t="s">
        <v>1577</v>
      </c>
      <c r="J353" t="s">
        <v>1578</v>
      </c>
      <c r="K353" t="s">
        <v>1577</v>
      </c>
      <c r="L353" t="s">
        <v>1579</v>
      </c>
      <c r="M353" s="1" t="str">
        <f t="shared" si="35"/>
        <v>12R0039</v>
      </c>
      <c r="N353" s="1" t="str">
        <f t="shared" si="36"/>
        <v>C/O</v>
      </c>
      <c r="O353" s="1" t="str">
        <f t="shared" si="37"/>
        <v>Brake LHR</v>
      </c>
      <c r="P353" s="1" t="str">
        <f t="shared" si="38"/>
        <v>ATS0</v>
      </c>
      <c r="Q353" s="2" t="str">
        <f t="shared" si="39"/>
        <v>ATS0Brake LHR</v>
      </c>
      <c r="R353" s="2" t="str">
        <f>New_Xref[[#This Row],[Serial Prefix]]&amp;IF(New_Xref[[#This Row],[Func Loc]]&lt;&gt;"",New_Xref[[#This Row],[Func Loc]],"NO MATCH")</f>
        <v>ATS0BRAK .SEBR.SB03</v>
      </c>
      <c r="S353" s="3" t="str">
        <f t="shared" si="40"/>
        <v>ATS08D1690FBrake LHR</v>
      </c>
      <c r="T353" s="3" t="s">
        <v>88</v>
      </c>
      <c r="U353" s="3" t="s">
        <v>96</v>
      </c>
      <c r="V353" t="str">
        <f t="shared" si="41"/>
        <v>4006LR</v>
      </c>
    </row>
    <row r="354" spans="1:22">
      <c r="A354" t="s">
        <v>1542</v>
      </c>
      <c r="B354" t="s">
        <v>1543</v>
      </c>
      <c r="C354" t="s">
        <v>1573</v>
      </c>
      <c r="D354" t="s">
        <v>1574</v>
      </c>
      <c r="E354" t="s">
        <v>1575</v>
      </c>
      <c r="F354" t="s">
        <v>27</v>
      </c>
      <c r="G354">
        <v>1</v>
      </c>
      <c r="H354" t="s">
        <v>1576</v>
      </c>
      <c r="I354" t="s">
        <v>1580</v>
      </c>
      <c r="J354" t="s">
        <v>1581</v>
      </c>
      <c r="K354" t="s">
        <v>1580</v>
      </c>
      <c r="L354" t="s">
        <v>1582</v>
      </c>
      <c r="M354" s="1" t="str">
        <f t="shared" si="35"/>
        <v>12R0039</v>
      </c>
      <c r="N354" s="1" t="str">
        <f t="shared" si="36"/>
        <v>C/O</v>
      </c>
      <c r="O354" s="1" t="str">
        <f t="shared" si="37"/>
        <v>Brake RHF</v>
      </c>
      <c r="P354" s="1" t="str">
        <f t="shared" si="38"/>
        <v>ATS0</v>
      </c>
      <c r="Q354" s="2" t="str">
        <f t="shared" si="39"/>
        <v>ATS0Brake RHF</v>
      </c>
      <c r="R354" s="2" t="str">
        <f>New_Xref[[#This Row],[Serial Prefix]]&amp;IF(New_Xref[[#This Row],[Func Loc]]&lt;&gt;"",New_Xref[[#This Row],[Func Loc]],"NO MATCH")</f>
        <v>ATS0BRAK .SEBR.SB02</v>
      </c>
      <c r="S354" s="3" t="str">
        <f t="shared" si="40"/>
        <v>ATS08D1690FBrake RHF</v>
      </c>
      <c r="T354" s="3" t="s">
        <v>88</v>
      </c>
      <c r="U354" s="3" t="s">
        <v>92</v>
      </c>
      <c r="V354" t="str">
        <f t="shared" si="41"/>
        <v>4006RF</v>
      </c>
    </row>
    <row r="355" spans="1:22">
      <c r="A355" t="s">
        <v>1542</v>
      </c>
      <c r="B355" t="s">
        <v>1543</v>
      </c>
      <c r="C355" t="s">
        <v>1573</v>
      </c>
      <c r="D355" t="s">
        <v>1574</v>
      </c>
      <c r="E355" t="s">
        <v>1575</v>
      </c>
      <c r="F355" t="s">
        <v>27</v>
      </c>
      <c r="G355">
        <v>1</v>
      </c>
      <c r="H355" t="s">
        <v>1576</v>
      </c>
      <c r="I355" t="s">
        <v>1583</v>
      </c>
      <c r="J355" t="s">
        <v>1584</v>
      </c>
      <c r="K355" t="s">
        <v>1583</v>
      </c>
      <c r="L355" t="s">
        <v>1585</v>
      </c>
      <c r="M355" s="1" t="str">
        <f t="shared" si="35"/>
        <v>12R0039</v>
      </c>
      <c r="N355" s="1" t="str">
        <f t="shared" si="36"/>
        <v>C/O</v>
      </c>
      <c r="O355" s="1" t="str">
        <f t="shared" si="37"/>
        <v>Brake RHR</v>
      </c>
      <c r="P355" s="1" t="str">
        <f t="shared" si="38"/>
        <v>ATS0</v>
      </c>
      <c r="Q355" s="2" t="str">
        <f t="shared" si="39"/>
        <v>ATS0Brake RHR</v>
      </c>
      <c r="R355" s="2" t="str">
        <f>New_Xref[[#This Row],[Serial Prefix]]&amp;IF(New_Xref[[#This Row],[Func Loc]]&lt;&gt;"",New_Xref[[#This Row],[Func Loc]],"NO MATCH")</f>
        <v>ATS0BRAK .SEBR.SB04</v>
      </c>
      <c r="S355" s="3" t="str">
        <f t="shared" si="40"/>
        <v>ATS08D1690FBrake RHR</v>
      </c>
      <c r="T355" s="3" t="s">
        <v>88</v>
      </c>
      <c r="U355" s="3" t="s">
        <v>99</v>
      </c>
      <c r="V355" t="str">
        <f t="shared" si="41"/>
        <v>4006RR</v>
      </c>
    </row>
    <row r="356" spans="1:22">
      <c r="A356" t="s">
        <v>1542</v>
      </c>
      <c r="B356" t="s">
        <v>1569</v>
      </c>
      <c r="C356" t="s">
        <v>1573</v>
      </c>
      <c r="D356" t="s">
        <v>1574</v>
      </c>
      <c r="E356" t="s">
        <v>1575</v>
      </c>
      <c r="F356" t="s">
        <v>27</v>
      </c>
      <c r="G356">
        <v>1</v>
      </c>
      <c r="H356" t="s">
        <v>1576</v>
      </c>
      <c r="I356" t="s">
        <v>1586</v>
      </c>
      <c r="J356" t="s">
        <v>1587</v>
      </c>
      <c r="K356" t="s">
        <v>1586</v>
      </c>
      <c r="L356" t="s">
        <v>1588</v>
      </c>
      <c r="M356" s="1" t="str">
        <f t="shared" si="35"/>
        <v>12R06</v>
      </c>
      <c r="N356" s="1" t="str">
        <f t="shared" si="36"/>
        <v>C/O</v>
      </c>
      <c r="O356" s="1" t="str">
        <f t="shared" si="37"/>
        <v>Brake LHF</v>
      </c>
      <c r="P356" s="1" t="str">
        <f t="shared" si="38"/>
        <v>ATS0</v>
      </c>
      <c r="Q356" s="2" t="str">
        <f t="shared" si="39"/>
        <v>ATS0Brake LHF</v>
      </c>
      <c r="R356" s="2" t="str">
        <f>New_Xref[[#This Row],[Serial Prefix]]&amp;IF(New_Xref[[#This Row],[Func Loc]]&lt;&gt;"",New_Xref[[#This Row],[Func Loc]],"NO MATCH")</f>
        <v>ATS0BRAK .SEBR.SB01</v>
      </c>
      <c r="S356" s="3" t="str">
        <f t="shared" si="40"/>
        <v>ATS08D1690FBrake LHF</v>
      </c>
      <c r="T356" s="3" t="s">
        <v>88</v>
      </c>
      <c r="U356" s="3" t="s">
        <v>89</v>
      </c>
      <c r="V356" t="str">
        <f t="shared" si="41"/>
        <v>4006LF</v>
      </c>
    </row>
    <row r="357" spans="1:22">
      <c r="A357" t="s">
        <v>1542</v>
      </c>
      <c r="B357" t="s">
        <v>1589</v>
      </c>
      <c r="C357" t="s">
        <v>1573</v>
      </c>
      <c r="D357" t="s">
        <v>1574</v>
      </c>
      <c r="E357" t="s">
        <v>1590</v>
      </c>
      <c r="F357" t="s">
        <v>27</v>
      </c>
      <c r="G357">
        <v>1</v>
      </c>
      <c r="H357" t="s">
        <v>1576</v>
      </c>
      <c r="I357" t="s">
        <v>1591</v>
      </c>
      <c r="J357" t="s">
        <v>1592</v>
      </c>
      <c r="K357" t="s">
        <v>1591</v>
      </c>
      <c r="L357" t="s">
        <v>1588</v>
      </c>
      <c r="M357" s="1" t="str">
        <f t="shared" si="35"/>
        <v>12H1981</v>
      </c>
      <c r="N357" s="1" t="str">
        <f t="shared" si="36"/>
        <v>C/O</v>
      </c>
      <c r="O357" s="1" t="str">
        <f t="shared" si="37"/>
        <v>Brake LHF</v>
      </c>
      <c r="P357" s="1" t="str">
        <f t="shared" si="38"/>
        <v>ATS7</v>
      </c>
      <c r="Q357" s="2" t="str">
        <f t="shared" si="39"/>
        <v>ATS7Brake LHF</v>
      </c>
      <c r="R357" s="2" t="str">
        <f>New_Xref[[#This Row],[Serial Prefix]]&amp;IF(New_Xref[[#This Row],[Func Loc]]&lt;&gt;"",New_Xref[[#This Row],[Func Loc]],"NO MATCH")</f>
        <v>ATS7BRAK .SEBR.SB01</v>
      </c>
      <c r="S357" s="3" t="str">
        <f t="shared" si="40"/>
        <v>ATS78D1690FBrake LHF</v>
      </c>
      <c r="T357" s="3" t="s">
        <v>88</v>
      </c>
      <c r="U357" s="3" t="s">
        <v>89</v>
      </c>
      <c r="V357" t="str">
        <f t="shared" si="41"/>
        <v>4006LF</v>
      </c>
    </row>
    <row r="358" spans="1:22">
      <c r="A358" t="s">
        <v>1542</v>
      </c>
      <c r="B358" t="s">
        <v>1589</v>
      </c>
      <c r="C358" t="s">
        <v>1573</v>
      </c>
      <c r="D358" t="s">
        <v>1574</v>
      </c>
      <c r="E358" t="s">
        <v>1590</v>
      </c>
      <c r="F358" t="s">
        <v>27</v>
      </c>
      <c r="G358">
        <v>1</v>
      </c>
      <c r="H358" t="s">
        <v>1576</v>
      </c>
      <c r="I358" t="s">
        <v>1593</v>
      </c>
      <c r="J358" t="s">
        <v>1594</v>
      </c>
      <c r="K358" t="s">
        <v>1593</v>
      </c>
      <c r="L358" t="s">
        <v>1579</v>
      </c>
      <c r="M358" s="1" t="str">
        <f t="shared" si="35"/>
        <v>12H1981</v>
      </c>
      <c r="N358" s="1" t="str">
        <f t="shared" si="36"/>
        <v>C/O</v>
      </c>
      <c r="O358" s="1" t="str">
        <f t="shared" si="37"/>
        <v>Brake LHR</v>
      </c>
      <c r="P358" s="1" t="str">
        <f t="shared" si="38"/>
        <v>ATS7</v>
      </c>
      <c r="Q358" s="2" t="str">
        <f t="shared" si="39"/>
        <v>ATS7Brake LHR</v>
      </c>
      <c r="R358" s="2" t="str">
        <f>New_Xref[[#This Row],[Serial Prefix]]&amp;IF(New_Xref[[#This Row],[Func Loc]]&lt;&gt;"",New_Xref[[#This Row],[Func Loc]],"NO MATCH")</f>
        <v>ATS7BRAK .SEBR.SB03</v>
      </c>
      <c r="S358" s="3" t="str">
        <f t="shared" si="40"/>
        <v>ATS78D1690FBrake LHR</v>
      </c>
      <c r="T358" s="3" t="s">
        <v>88</v>
      </c>
      <c r="U358" s="3" t="s">
        <v>96</v>
      </c>
      <c r="V358" t="str">
        <f t="shared" si="41"/>
        <v>4006LR</v>
      </c>
    </row>
    <row r="359" spans="1:22">
      <c r="A359" t="s">
        <v>1542</v>
      </c>
      <c r="B359" t="s">
        <v>1589</v>
      </c>
      <c r="C359" t="s">
        <v>1573</v>
      </c>
      <c r="D359" t="s">
        <v>1574</v>
      </c>
      <c r="E359" t="s">
        <v>1590</v>
      </c>
      <c r="F359" t="s">
        <v>27</v>
      </c>
      <c r="G359">
        <v>1</v>
      </c>
      <c r="H359" t="s">
        <v>1576</v>
      </c>
      <c r="I359" t="s">
        <v>1595</v>
      </c>
      <c r="J359" t="s">
        <v>1596</v>
      </c>
      <c r="K359" t="s">
        <v>1595</v>
      </c>
      <c r="L359" t="s">
        <v>1582</v>
      </c>
      <c r="M359" s="1" t="str">
        <f t="shared" si="35"/>
        <v>12H1981</v>
      </c>
      <c r="N359" s="1" t="str">
        <f t="shared" si="36"/>
        <v>C/O</v>
      </c>
      <c r="O359" s="1" t="str">
        <f t="shared" si="37"/>
        <v>Brake RHF</v>
      </c>
      <c r="P359" s="1" t="str">
        <f t="shared" si="38"/>
        <v>ATS7</v>
      </c>
      <c r="Q359" s="2" t="str">
        <f t="shared" si="39"/>
        <v>ATS7Brake RHF</v>
      </c>
      <c r="R359" s="2" t="str">
        <f>New_Xref[[#This Row],[Serial Prefix]]&amp;IF(New_Xref[[#This Row],[Func Loc]]&lt;&gt;"",New_Xref[[#This Row],[Func Loc]],"NO MATCH")</f>
        <v>ATS7BRAK .SEBR.SB02</v>
      </c>
      <c r="S359" s="3" t="str">
        <f t="shared" si="40"/>
        <v>ATS78D1690FBrake RHF</v>
      </c>
      <c r="T359" s="3" t="s">
        <v>88</v>
      </c>
      <c r="U359" s="3" t="s">
        <v>92</v>
      </c>
      <c r="V359" t="str">
        <f t="shared" si="41"/>
        <v>4006RF</v>
      </c>
    </row>
    <row r="360" spans="1:22">
      <c r="A360" t="s">
        <v>1542</v>
      </c>
      <c r="B360" t="s">
        <v>1589</v>
      </c>
      <c r="C360" t="s">
        <v>1573</v>
      </c>
      <c r="D360" t="s">
        <v>1574</v>
      </c>
      <c r="E360" t="s">
        <v>1590</v>
      </c>
      <c r="F360" t="s">
        <v>27</v>
      </c>
      <c r="G360">
        <v>1</v>
      </c>
      <c r="H360" t="s">
        <v>1576</v>
      </c>
      <c r="I360" t="s">
        <v>1597</v>
      </c>
      <c r="J360" t="s">
        <v>1598</v>
      </c>
      <c r="K360" t="s">
        <v>1597</v>
      </c>
      <c r="L360" t="s">
        <v>1585</v>
      </c>
      <c r="M360" s="1" t="str">
        <f t="shared" si="35"/>
        <v>12H1981</v>
      </c>
      <c r="N360" s="1" t="str">
        <f t="shared" si="36"/>
        <v>C/O</v>
      </c>
      <c r="O360" s="1" t="str">
        <f t="shared" si="37"/>
        <v>Brake RHR</v>
      </c>
      <c r="P360" s="1" t="str">
        <f t="shared" si="38"/>
        <v>ATS7</v>
      </c>
      <c r="Q360" s="2" t="str">
        <f t="shared" si="39"/>
        <v>ATS7Brake RHR</v>
      </c>
      <c r="R360" s="2" t="str">
        <f>New_Xref[[#This Row],[Serial Prefix]]&amp;IF(New_Xref[[#This Row],[Func Loc]]&lt;&gt;"",New_Xref[[#This Row],[Func Loc]],"NO MATCH")</f>
        <v>ATS7BRAK .SEBR.SB04</v>
      </c>
      <c r="S360" s="3" t="str">
        <f t="shared" si="40"/>
        <v>ATS78D1690FBrake RHR</v>
      </c>
      <c r="T360" s="3" t="s">
        <v>88</v>
      </c>
      <c r="U360" s="3" t="s">
        <v>99</v>
      </c>
      <c r="V360" t="str">
        <f t="shared" si="41"/>
        <v>4006RR</v>
      </c>
    </row>
    <row r="361" spans="1:22">
      <c r="A361" t="s">
        <v>1542</v>
      </c>
      <c r="B361" t="s">
        <v>1548</v>
      </c>
      <c r="C361" t="s">
        <v>1599</v>
      </c>
      <c r="D361" t="s">
        <v>1600</v>
      </c>
      <c r="E361" t="s">
        <v>1601</v>
      </c>
      <c r="F361" t="s">
        <v>27</v>
      </c>
      <c r="G361">
        <v>1</v>
      </c>
      <c r="H361" t="s">
        <v>1602</v>
      </c>
      <c r="I361" t="s">
        <v>1603</v>
      </c>
      <c r="J361" t="s">
        <v>1604</v>
      </c>
      <c r="K361" t="s">
        <v>1603</v>
      </c>
      <c r="L361" t="s">
        <v>1605</v>
      </c>
      <c r="M361" s="1" t="str">
        <f t="shared" si="35"/>
        <v>12D1</v>
      </c>
      <c r="N361" s="1" t="str">
        <f t="shared" si="36"/>
        <v>C/O</v>
      </c>
      <c r="O361" s="1" t="str">
        <f t="shared" si="37"/>
        <v>Final Drive LH</v>
      </c>
      <c r="P361" s="1" t="str">
        <f t="shared" si="38"/>
        <v>ATS0</v>
      </c>
      <c r="Q361" s="2" t="str">
        <f t="shared" si="39"/>
        <v>ATS0Final Drive LH</v>
      </c>
      <c r="R361" s="2" t="str">
        <f>New_Xref[[#This Row],[Serial Prefix]]&amp;IF(New_Xref[[#This Row],[Func Loc]]&lt;&gt;"",New_Xref[[#This Row],[Func Loc]],"NO MATCH")</f>
        <v>ATS0FDRV .AXAR.FDLH</v>
      </c>
      <c r="S361" s="3" t="str">
        <f t="shared" si="40"/>
        <v>ATS05T7158FFinal Drive LH</v>
      </c>
      <c r="T361" s="3" t="s">
        <v>908</v>
      </c>
      <c r="U361" s="3" t="s">
        <v>108</v>
      </c>
      <c r="V361" t="str">
        <f t="shared" si="41"/>
        <v>4050LT</v>
      </c>
    </row>
    <row r="362" spans="1:22">
      <c r="A362" t="s">
        <v>1542</v>
      </c>
      <c r="B362" t="s">
        <v>1548</v>
      </c>
      <c r="C362" t="s">
        <v>1599</v>
      </c>
      <c r="D362" t="s">
        <v>1600</v>
      </c>
      <c r="E362" t="s">
        <v>1601</v>
      </c>
      <c r="F362" t="s">
        <v>27</v>
      </c>
      <c r="G362">
        <v>1</v>
      </c>
      <c r="H362" t="s">
        <v>1602</v>
      </c>
      <c r="I362" t="s">
        <v>1606</v>
      </c>
      <c r="J362" t="s">
        <v>1607</v>
      </c>
      <c r="K362" t="s">
        <v>1606</v>
      </c>
      <c r="L362" t="s">
        <v>1608</v>
      </c>
      <c r="M362" s="1" t="str">
        <f t="shared" si="35"/>
        <v>12D1</v>
      </c>
      <c r="N362" s="1" t="str">
        <f t="shared" si="36"/>
        <v>C/O</v>
      </c>
      <c r="O362" s="1" t="str">
        <f t="shared" si="37"/>
        <v>Final Drive RH</v>
      </c>
      <c r="P362" s="1" t="str">
        <f t="shared" si="38"/>
        <v>ATS0</v>
      </c>
      <c r="Q362" s="2" t="str">
        <f t="shared" si="39"/>
        <v>ATS0Final Drive RH</v>
      </c>
      <c r="R362" s="2" t="str">
        <f>New_Xref[[#This Row],[Serial Prefix]]&amp;IF(New_Xref[[#This Row],[Func Loc]]&lt;&gt;"",New_Xref[[#This Row],[Func Loc]],"NO MATCH")</f>
        <v>ATS0FDRV .AXAR.FDRH</v>
      </c>
      <c r="S362" s="3" t="str">
        <f t="shared" si="40"/>
        <v>ATS05T7158FFinal Drive RH</v>
      </c>
      <c r="T362" s="3" t="s">
        <v>908</v>
      </c>
      <c r="U362" s="3" t="s">
        <v>115</v>
      </c>
      <c r="V362" t="str">
        <f t="shared" si="41"/>
        <v>4050RI</v>
      </c>
    </row>
    <row r="363" spans="1:22">
      <c r="A363" t="s">
        <v>1542</v>
      </c>
      <c r="B363" t="s">
        <v>1589</v>
      </c>
      <c r="C363" t="s">
        <v>1599</v>
      </c>
      <c r="D363" t="s">
        <v>1600</v>
      </c>
      <c r="E363" t="s">
        <v>1601</v>
      </c>
      <c r="F363" t="s">
        <v>27</v>
      </c>
      <c r="G363">
        <v>1</v>
      </c>
      <c r="H363" t="s">
        <v>1602</v>
      </c>
      <c r="I363" t="s">
        <v>1609</v>
      </c>
      <c r="J363" t="s">
        <v>1610</v>
      </c>
      <c r="K363" t="s">
        <v>1609</v>
      </c>
      <c r="L363" t="s">
        <v>1608</v>
      </c>
      <c r="M363" s="1" t="str">
        <f t="shared" si="35"/>
        <v>12H1981</v>
      </c>
      <c r="N363" s="1" t="str">
        <f t="shared" si="36"/>
        <v>C/O</v>
      </c>
      <c r="O363" s="1" t="str">
        <f t="shared" si="37"/>
        <v>Final Drive RH</v>
      </c>
      <c r="P363" s="1" t="str">
        <f t="shared" si="38"/>
        <v>ATS7</v>
      </c>
      <c r="Q363" s="2" t="str">
        <f t="shared" si="39"/>
        <v>ATS7Final Drive RH</v>
      </c>
      <c r="R363" s="2" t="str">
        <f>New_Xref[[#This Row],[Serial Prefix]]&amp;IF(New_Xref[[#This Row],[Func Loc]]&lt;&gt;"",New_Xref[[#This Row],[Func Loc]],"NO MATCH")</f>
        <v>ATS7FDRV .AXAR.FDRH</v>
      </c>
      <c r="S363" s="3" t="str">
        <f t="shared" si="40"/>
        <v>ATS75T7158FFinal Drive RH</v>
      </c>
      <c r="T363" s="3" t="s">
        <v>908</v>
      </c>
      <c r="U363" s="3" t="s">
        <v>115</v>
      </c>
      <c r="V363" t="str">
        <f t="shared" si="41"/>
        <v>4050RI</v>
      </c>
    </row>
    <row r="364" spans="1:22">
      <c r="A364" t="s">
        <v>1542</v>
      </c>
      <c r="B364" t="s">
        <v>1548</v>
      </c>
      <c r="H364" t="s">
        <v>1611</v>
      </c>
      <c r="I364" t="s">
        <v>1612</v>
      </c>
      <c r="J364" t="s">
        <v>1613</v>
      </c>
      <c r="K364" t="s">
        <v>1612</v>
      </c>
      <c r="L364" t="s">
        <v>767</v>
      </c>
      <c r="M364" s="1" t="str">
        <f t="shared" si="35"/>
        <v>12D1</v>
      </c>
      <c r="N364" s="1" t="str">
        <f t="shared" si="36"/>
        <v>C/O</v>
      </c>
      <c r="O364" s="1" t="str">
        <f t="shared" si="37"/>
        <v>Steering Cylinder LH</v>
      </c>
      <c r="P364" s="1" t="str">
        <f t="shared" si="38"/>
        <v>ATS0</v>
      </c>
      <c r="Q364" s="2" t="str">
        <f t="shared" si="39"/>
        <v>ATS0Steering Cylinder LH</v>
      </c>
      <c r="R364" s="2" t="str">
        <f>New_Xref[[#This Row],[Serial Prefix]]&amp;IF(New_Xref[[#This Row],[Func Loc]]&lt;&gt;"",New_Xref[[#This Row],[Func Loc]],"NO MATCH")</f>
        <v>ATS0STRG .CYLI.SC01</v>
      </c>
      <c r="S364" s="3" t="str">
        <f t="shared" si="40"/>
        <v>ATS0Steering Cylinder LH</v>
      </c>
      <c r="T364" s="3" t="s">
        <v>107</v>
      </c>
      <c r="U364" s="3" t="s">
        <v>108</v>
      </c>
      <c r="V364" t="str">
        <f t="shared" si="41"/>
        <v>4303LT</v>
      </c>
    </row>
    <row r="365" spans="1:22">
      <c r="A365" t="s">
        <v>1542</v>
      </c>
      <c r="B365" t="s">
        <v>1548</v>
      </c>
      <c r="H365" t="s">
        <v>1614</v>
      </c>
      <c r="I365" t="s">
        <v>1615</v>
      </c>
      <c r="J365" t="s">
        <v>1616</v>
      </c>
      <c r="K365" t="s">
        <v>1615</v>
      </c>
      <c r="L365" t="s">
        <v>770</v>
      </c>
      <c r="M365" s="1" t="str">
        <f t="shared" si="35"/>
        <v>12D1</v>
      </c>
      <c r="N365" s="1" t="str">
        <f t="shared" si="36"/>
        <v>C/O</v>
      </c>
      <c r="O365" s="1" t="str">
        <f t="shared" si="37"/>
        <v>Steering Cylinder RH</v>
      </c>
      <c r="P365" s="1" t="str">
        <f t="shared" si="38"/>
        <v>ATS0</v>
      </c>
      <c r="Q365" s="2" t="str">
        <f t="shared" si="39"/>
        <v>ATS0Steering Cylinder RH</v>
      </c>
      <c r="R365" s="2" t="str">
        <f>New_Xref[[#This Row],[Serial Prefix]]&amp;IF(New_Xref[[#This Row],[Func Loc]]&lt;&gt;"",New_Xref[[#This Row],[Func Loc]],"NO MATCH")</f>
        <v>ATS0STRG .CYLI.SC02</v>
      </c>
      <c r="S365" s="3" t="str">
        <f t="shared" si="40"/>
        <v>ATS0Steering Cylinder RH</v>
      </c>
      <c r="T365" s="3" t="s">
        <v>107</v>
      </c>
      <c r="U365" s="3" t="s">
        <v>115</v>
      </c>
      <c r="V365" t="str">
        <f t="shared" si="41"/>
        <v>4303RI</v>
      </c>
    </row>
    <row r="366" spans="1:22">
      <c r="A366" t="s">
        <v>1542</v>
      </c>
      <c r="B366" t="s">
        <v>1548</v>
      </c>
      <c r="H366" t="s">
        <v>1617</v>
      </c>
      <c r="I366" t="s">
        <v>1618</v>
      </c>
      <c r="J366" t="s">
        <v>1619</v>
      </c>
      <c r="K366" t="s">
        <v>1620</v>
      </c>
      <c r="L366" t="s">
        <v>350</v>
      </c>
      <c r="M366" s="1" t="str">
        <f t="shared" si="35"/>
        <v>12D1</v>
      </c>
      <c r="N366" s="1" t="str">
        <f t="shared" si="36"/>
        <v>C/O</v>
      </c>
      <c r="O366" s="1" t="str">
        <f t="shared" si="37"/>
        <v>Axle Assembly Front</v>
      </c>
      <c r="P366" s="1" t="str">
        <f t="shared" si="38"/>
        <v>ATS0</v>
      </c>
      <c r="Q366" s="2" t="str">
        <f t="shared" si="39"/>
        <v>ATS0Axle Assembly Front</v>
      </c>
      <c r="R366" s="2" t="str">
        <f>New_Xref[[#This Row],[Serial Prefix]]&amp;IF(New_Xref[[#This Row],[Func Loc]]&lt;&gt;"",New_Xref[[#This Row],[Func Loc]],"NO MATCH")</f>
        <v>ATS0FDRV .AXAF</v>
      </c>
      <c r="S366" s="3" t="str">
        <f t="shared" si="40"/>
        <v>ATS0Axle Assembly Front</v>
      </c>
      <c r="T366" s="3" t="s">
        <v>351</v>
      </c>
      <c r="U366" s="3" t="s">
        <v>34</v>
      </c>
      <c r="V366" t="str">
        <f t="shared" si="41"/>
        <v>431300</v>
      </c>
    </row>
    <row r="367" spans="1:22">
      <c r="A367" t="s">
        <v>1542</v>
      </c>
      <c r="B367" t="s">
        <v>1543</v>
      </c>
      <c r="C367" t="s">
        <v>1621</v>
      </c>
      <c r="D367" t="s">
        <v>1622</v>
      </c>
      <c r="E367" t="s">
        <v>1623</v>
      </c>
      <c r="F367" t="s">
        <v>27</v>
      </c>
      <c r="G367">
        <v>1</v>
      </c>
      <c r="H367" t="s">
        <v>1624</v>
      </c>
      <c r="I367" t="s">
        <v>1625</v>
      </c>
      <c r="J367" t="s">
        <v>1626</v>
      </c>
      <c r="K367" t="s">
        <v>1625</v>
      </c>
      <c r="L367" t="s">
        <v>224</v>
      </c>
      <c r="M367" s="1" t="str">
        <f t="shared" si="35"/>
        <v>12R0039</v>
      </c>
      <c r="N367" s="1" t="str">
        <f t="shared" si="36"/>
        <v>C/O</v>
      </c>
      <c r="O367" s="1" t="str">
        <f t="shared" si="37"/>
        <v>Blade Tilt Cylinder</v>
      </c>
      <c r="P367" s="1" t="str">
        <f t="shared" si="38"/>
        <v>ATS0</v>
      </c>
      <c r="Q367" s="2" t="str">
        <f t="shared" si="39"/>
        <v>ATS0Blade Tilt Cylinder</v>
      </c>
      <c r="R367" s="2" t="str">
        <f>New_Xref[[#This Row],[Serial Prefix]]&amp;IF(New_Xref[[#This Row],[Func Loc]]&lt;&gt;"",New_Xref[[#This Row],[Func Loc]],"NO MATCH")</f>
        <v>ATS0MYHD .CYLI.BLTI</v>
      </c>
      <c r="S367" s="3" t="str">
        <f t="shared" si="40"/>
        <v>ATS09T8944FBlade Tilt Cylinder</v>
      </c>
      <c r="T367" s="3" t="s">
        <v>225</v>
      </c>
      <c r="U367" s="3" t="s">
        <v>34</v>
      </c>
      <c r="V367" t="str">
        <f t="shared" si="41"/>
        <v>510600</v>
      </c>
    </row>
    <row r="368" spans="1:22">
      <c r="A368" t="s">
        <v>1542</v>
      </c>
      <c r="B368" t="s">
        <v>1548</v>
      </c>
      <c r="C368" t="s">
        <v>1627</v>
      </c>
      <c r="D368" t="s">
        <v>135</v>
      </c>
      <c r="E368" t="s">
        <v>1628</v>
      </c>
      <c r="F368" t="s">
        <v>27</v>
      </c>
      <c r="G368">
        <v>1</v>
      </c>
      <c r="H368" t="s">
        <v>1629</v>
      </c>
      <c r="I368" t="s">
        <v>1630</v>
      </c>
      <c r="J368" t="s">
        <v>1631</v>
      </c>
      <c r="K368" t="s">
        <v>1630</v>
      </c>
      <c r="L368" t="s">
        <v>140</v>
      </c>
      <c r="M368" s="1" t="str">
        <f t="shared" si="35"/>
        <v>12D1</v>
      </c>
      <c r="N368" s="1" t="str">
        <f t="shared" si="36"/>
        <v>C/O</v>
      </c>
      <c r="O368" s="1" t="str">
        <f t="shared" si="37"/>
        <v>Circle Drive Gearbox</v>
      </c>
      <c r="P368" s="1" t="str">
        <f t="shared" si="38"/>
        <v>ATS0</v>
      </c>
      <c r="Q368" s="2" t="str">
        <f t="shared" si="39"/>
        <v>ATS0Circle Drive Gearbox</v>
      </c>
      <c r="R368" s="2" t="str">
        <f>New_Xref[[#This Row],[Serial Prefix]]&amp;IF(New_Xref[[#This Row],[Func Loc]]&lt;&gt;"",New_Xref[[#This Row],[Func Loc]],"NO MATCH")</f>
        <v>ATS0STRU .CHAS.CDGB</v>
      </c>
      <c r="S368" s="3" t="str">
        <f t="shared" si="40"/>
        <v>ATS04827762XCircle Drive Gearbox</v>
      </c>
      <c r="T368" s="3" t="s">
        <v>141</v>
      </c>
      <c r="U368" s="3" t="s">
        <v>34</v>
      </c>
      <c r="V368" t="str">
        <f t="shared" si="41"/>
        <v>520700</v>
      </c>
    </row>
    <row r="369" spans="1:22">
      <c r="A369" t="s">
        <v>1542</v>
      </c>
      <c r="B369" t="s">
        <v>1543</v>
      </c>
      <c r="C369" t="s">
        <v>1632</v>
      </c>
      <c r="D369" t="s">
        <v>1633</v>
      </c>
      <c r="E369" t="s">
        <v>1634</v>
      </c>
      <c r="F369" t="s">
        <v>27</v>
      </c>
      <c r="G369">
        <v>1</v>
      </c>
      <c r="H369" t="s">
        <v>1635</v>
      </c>
      <c r="I369" t="s">
        <v>1636</v>
      </c>
      <c r="J369" t="s">
        <v>1637</v>
      </c>
      <c r="K369" t="s">
        <v>1636</v>
      </c>
      <c r="L369" t="s">
        <v>1638</v>
      </c>
      <c r="M369" s="1" t="str">
        <f t="shared" si="35"/>
        <v>12R0039</v>
      </c>
      <c r="N369" s="1" t="str">
        <f t="shared" si="36"/>
        <v>C/O</v>
      </c>
      <c r="O369" s="1" t="str">
        <f t="shared" si="37"/>
        <v>Wheel Lean Cylinder</v>
      </c>
      <c r="P369" s="1" t="str">
        <f t="shared" si="38"/>
        <v>ATS0</v>
      </c>
      <c r="Q369" s="2" t="str">
        <f t="shared" si="39"/>
        <v>ATS0Wheel Lean Cylinder</v>
      </c>
      <c r="R369" s="2" t="str">
        <f>New_Xref[[#This Row],[Serial Prefix]]&amp;IF(New_Xref[[#This Row],[Func Loc]]&lt;&gt;"",New_Xref[[#This Row],[Func Loc]],"NO MATCH")</f>
        <v>ATS0MYHD .CYLI.WHLE</v>
      </c>
      <c r="S369" s="3" t="str">
        <f t="shared" si="40"/>
        <v>ATS01219244Wheel Lean Cylinder</v>
      </c>
      <c r="T369" s="3" t="s">
        <v>1639</v>
      </c>
      <c r="U369" s="3" t="s">
        <v>34</v>
      </c>
      <c r="V369" t="str">
        <f t="shared" si="41"/>
        <v>521100</v>
      </c>
    </row>
    <row r="370" spans="1:22">
      <c r="A370" t="s">
        <v>1542</v>
      </c>
      <c r="B370" t="s">
        <v>1548</v>
      </c>
      <c r="H370" t="s">
        <v>1640</v>
      </c>
      <c r="I370" t="s">
        <v>1641</v>
      </c>
      <c r="J370" t="s">
        <v>1642</v>
      </c>
      <c r="K370" t="s">
        <v>1641</v>
      </c>
      <c r="L370" t="s">
        <v>145</v>
      </c>
      <c r="M370" s="1" t="str">
        <f t="shared" si="35"/>
        <v>12D1</v>
      </c>
      <c r="N370" s="1" t="str">
        <f t="shared" si="36"/>
        <v>C/O</v>
      </c>
      <c r="O370" s="1" t="str">
        <f t="shared" si="37"/>
        <v>Articulation Cylinder LH</v>
      </c>
      <c r="P370" s="1" t="str">
        <f t="shared" si="38"/>
        <v>ATS0</v>
      </c>
      <c r="Q370" s="2" t="str">
        <f t="shared" si="39"/>
        <v>ATS0Articulation Cylinder LH</v>
      </c>
      <c r="R370" s="2" t="str">
        <f>New_Xref[[#This Row],[Serial Prefix]]&amp;IF(New_Xref[[#This Row],[Func Loc]]&lt;&gt;"",New_Xref[[#This Row],[Func Loc]],"NO MATCH")</f>
        <v>ATS0MYHD .CYLI.ARTL</v>
      </c>
      <c r="S370" s="3" t="str">
        <f t="shared" si="40"/>
        <v>ATS0Articulation Cylinder LH</v>
      </c>
      <c r="T370" s="3" t="s">
        <v>146</v>
      </c>
      <c r="U370" s="3" t="s">
        <v>108</v>
      </c>
      <c r="V370" t="str">
        <f t="shared" si="41"/>
        <v>5265LT</v>
      </c>
    </row>
    <row r="371" spans="1:22">
      <c r="A371" t="s">
        <v>1542</v>
      </c>
      <c r="B371" t="s">
        <v>1548</v>
      </c>
      <c r="H371" t="s">
        <v>1640</v>
      </c>
      <c r="I371" t="s">
        <v>1643</v>
      </c>
      <c r="J371" t="s">
        <v>1644</v>
      </c>
      <c r="K371" t="s">
        <v>1643</v>
      </c>
      <c r="L371" t="s">
        <v>149</v>
      </c>
      <c r="M371" s="1" t="str">
        <f t="shared" si="35"/>
        <v>12D1</v>
      </c>
      <c r="N371" s="1" t="str">
        <f t="shared" si="36"/>
        <v>C/O</v>
      </c>
      <c r="O371" s="1" t="str">
        <f t="shared" si="37"/>
        <v>Articulation Cylinder RH</v>
      </c>
      <c r="P371" s="1" t="str">
        <f t="shared" si="38"/>
        <v>ATS0</v>
      </c>
      <c r="Q371" s="2" t="str">
        <f t="shared" si="39"/>
        <v>ATS0Articulation Cylinder RH</v>
      </c>
      <c r="R371" s="2" t="str">
        <f>New_Xref[[#This Row],[Serial Prefix]]&amp;IF(New_Xref[[#This Row],[Func Loc]]&lt;&gt;"",New_Xref[[#This Row],[Func Loc]],"NO MATCH")</f>
        <v>ATS0MYHD .CYLI.ARTR</v>
      </c>
      <c r="S371" s="3" t="str">
        <f t="shared" si="40"/>
        <v>ATS0Articulation Cylinder RH</v>
      </c>
      <c r="T371" s="3" t="s">
        <v>146</v>
      </c>
      <c r="U371" s="3" t="s">
        <v>115</v>
      </c>
      <c r="V371" t="str">
        <f t="shared" si="41"/>
        <v>5265RI</v>
      </c>
    </row>
    <row r="372" spans="1:22">
      <c r="A372" t="s">
        <v>1542</v>
      </c>
      <c r="B372" t="s">
        <v>1548</v>
      </c>
      <c r="H372" t="s">
        <v>1645</v>
      </c>
      <c r="I372" t="s">
        <v>1646</v>
      </c>
      <c r="J372" t="s">
        <v>1647</v>
      </c>
      <c r="K372" t="s">
        <v>1646</v>
      </c>
      <c r="L372" t="s">
        <v>250</v>
      </c>
      <c r="M372" s="1" t="str">
        <f t="shared" si="35"/>
        <v>12D1</v>
      </c>
      <c r="N372" s="1" t="str">
        <f t="shared" si="36"/>
        <v>C/O</v>
      </c>
      <c r="O372" s="1" t="str">
        <f t="shared" si="37"/>
        <v>Blade Sideshift Cylinder</v>
      </c>
      <c r="P372" s="1" t="str">
        <f t="shared" si="38"/>
        <v>ATS0</v>
      </c>
      <c r="Q372" s="2" t="str">
        <f t="shared" si="39"/>
        <v>ATS0Blade Sideshift Cylinder</v>
      </c>
      <c r="R372" s="2" t="str">
        <f>New_Xref[[#This Row],[Serial Prefix]]&amp;IF(New_Xref[[#This Row],[Func Loc]]&lt;&gt;"",New_Xref[[#This Row],[Func Loc]],"NO MATCH")</f>
        <v>ATS0MYHD .CYLI.BLSI</v>
      </c>
      <c r="S372" s="3" t="str">
        <f t="shared" si="40"/>
        <v>ATS0Blade Sideshift Cylinder</v>
      </c>
      <c r="T372" s="3" t="s">
        <v>251</v>
      </c>
      <c r="U372" s="3" t="s">
        <v>34</v>
      </c>
      <c r="V372" t="str">
        <f t="shared" si="41"/>
        <v>580400</v>
      </c>
    </row>
    <row r="373" spans="1:22">
      <c r="A373" t="s">
        <v>1648</v>
      </c>
      <c r="B373" t="s">
        <v>1649</v>
      </c>
      <c r="C373" t="s">
        <v>1650</v>
      </c>
      <c r="D373" t="s">
        <v>1651</v>
      </c>
      <c r="E373" t="s">
        <v>1652</v>
      </c>
      <c r="F373" t="s">
        <v>27</v>
      </c>
      <c r="G373">
        <v>1</v>
      </c>
      <c r="H373" t="s">
        <v>1653</v>
      </c>
      <c r="I373" t="s">
        <v>1654</v>
      </c>
      <c r="J373" t="s">
        <v>1655</v>
      </c>
      <c r="K373" t="s">
        <v>1656</v>
      </c>
      <c r="L373" t="s">
        <v>32</v>
      </c>
      <c r="M373" s="1" t="str">
        <f t="shared" si="35"/>
        <v>12H130</v>
      </c>
      <c r="N373" s="1" t="str">
        <f t="shared" si="36"/>
        <v>C/O</v>
      </c>
      <c r="O373" s="1" t="str">
        <f t="shared" si="37"/>
        <v>Engine</v>
      </c>
      <c r="P373" s="1" t="str">
        <f t="shared" si="38"/>
        <v>B9H0</v>
      </c>
      <c r="Q373" s="2" t="str">
        <f t="shared" si="39"/>
        <v>B9H0Engine</v>
      </c>
      <c r="R373" s="2" t="str">
        <f>New_Xref[[#This Row],[Serial Prefix]]&amp;IF(New_Xref[[#This Row],[Func Loc]]&lt;&gt;"",New_Xref[[#This Row],[Func Loc]],"NO MATCH")</f>
        <v>B9H0ENGD</v>
      </c>
      <c r="S373" s="3" t="str">
        <f t="shared" si="40"/>
        <v>B9H02310876FEngine</v>
      </c>
      <c r="T373" s="3" t="s">
        <v>33</v>
      </c>
      <c r="U373" s="3" t="s">
        <v>34</v>
      </c>
      <c r="V373" t="str">
        <f t="shared" si="41"/>
        <v>100000</v>
      </c>
    </row>
    <row r="374" spans="1:22">
      <c r="A374" t="s">
        <v>1648</v>
      </c>
      <c r="B374" t="s">
        <v>1657</v>
      </c>
      <c r="C374" t="s">
        <v>1658</v>
      </c>
      <c r="D374" t="s">
        <v>1659</v>
      </c>
      <c r="E374" t="s">
        <v>1660</v>
      </c>
      <c r="F374" t="s">
        <v>27</v>
      </c>
      <c r="G374">
        <v>1</v>
      </c>
      <c r="H374" t="s">
        <v>1661</v>
      </c>
      <c r="I374" t="s">
        <v>1662</v>
      </c>
      <c r="J374" t="s">
        <v>1663</v>
      </c>
      <c r="K374" t="s">
        <v>1664</v>
      </c>
      <c r="L374" t="s">
        <v>32</v>
      </c>
      <c r="M374" s="1" t="str">
        <f t="shared" si="35"/>
        <v>12D09</v>
      </c>
      <c r="N374" s="1" t="str">
        <f t="shared" si="36"/>
        <v>C/O</v>
      </c>
      <c r="O374" s="1" t="str">
        <f t="shared" si="37"/>
        <v>Engine</v>
      </c>
      <c r="P374" s="1" t="str">
        <f t="shared" si="38"/>
        <v>R9H0</v>
      </c>
      <c r="Q374" s="2" t="str">
        <f t="shared" si="39"/>
        <v>R9H0Engine</v>
      </c>
      <c r="R374" s="2" t="str">
        <f>New_Xref[[#This Row],[Serial Prefix]]&amp;IF(New_Xref[[#This Row],[Func Loc]]&lt;&gt;"",New_Xref[[#This Row],[Func Loc]],"NO MATCH")</f>
        <v>R9H0ENGD</v>
      </c>
      <c r="S374" s="3" t="str">
        <f t="shared" si="40"/>
        <v>R9H010R9966Engine</v>
      </c>
      <c r="T374" s="3" t="s">
        <v>33</v>
      </c>
      <c r="U374" s="3" t="s">
        <v>34</v>
      </c>
      <c r="V374" t="str">
        <f t="shared" si="41"/>
        <v>100000</v>
      </c>
    </row>
    <row r="375" spans="1:22">
      <c r="A375" t="s">
        <v>1648</v>
      </c>
      <c r="B375" t="s">
        <v>1665</v>
      </c>
      <c r="C375" t="s">
        <v>1650</v>
      </c>
      <c r="D375" t="s">
        <v>1651</v>
      </c>
      <c r="E375" t="s">
        <v>1652</v>
      </c>
      <c r="F375" t="s">
        <v>27</v>
      </c>
      <c r="G375">
        <v>1</v>
      </c>
      <c r="H375" t="s">
        <v>1661</v>
      </c>
      <c r="I375" t="s">
        <v>1666</v>
      </c>
      <c r="J375" t="s">
        <v>1667</v>
      </c>
      <c r="K375" t="s">
        <v>1668</v>
      </c>
      <c r="L375" t="s">
        <v>32</v>
      </c>
      <c r="M375" s="1" t="str">
        <f t="shared" si="35"/>
        <v>12H423</v>
      </c>
      <c r="N375" s="1" t="str">
        <f t="shared" si="36"/>
        <v>C/O</v>
      </c>
      <c r="O375" s="1" t="str">
        <f t="shared" si="37"/>
        <v>Engine</v>
      </c>
      <c r="P375" s="1" t="str">
        <f t="shared" si="38"/>
        <v>R9H0</v>
      </c>
      <c r="Q375" s="2" t="str">
        <f t="shared" si="39"/>
        <v>R9H0Engine</v>
      </c>
      <c r="R375" s="2" t="str">
        <f>New_Xref[[#This Row],[Serial Prefix]]&amp;IF(New_Xref[[#This Row],[Func Loc]]&lt;&gt;"",New_Xref[[#This Row],[Func Loc]],"NO MATCH")</f>
        <v>R9H0ENGD</v>
      </c>
      <c r="S375" s="3" t="str">
        <f t="shared" si="40"/>
        <v>R9H02310876FEngine</v>
      </c>
      <c r="T375" s="3" t="s">
        <v>33</v>
      </c>
      <c r="U375" s="3" t="s">
        <v>34</v>
      </c>
      <c r="V375" t="str">
        <f t="shared" si="41"/>
        <v>100000</v>
      </c>
    </row>
    <row r="376" spans="1:22">
      <c r="A376" t="s">
        <v>1648</v>
      </c>
      <c r="B376" t="s">
        <v>1669</v>
      </c>
      <c r="C376" t="s">
        <v>1670</v>
      </c>
      <c r="D376" t="s">
        <v>1671</v>
      </c>
      <c r="E376" t="s">
        <v>1672</v>
      </c>
      <c r="F376" t="s">
        <v>27</v>
      </c>
      <c r="G376">
        <v>1</v>
      </c>
      <c r="H376" t="s">
        <v>1673</v>
      </c>
      <c r="I376" t="s">
        <v>1674</v>
      </c>
      <c r="J376" t="s">
        <v>1675</v>
      </c>
      <c r="K376" t="s">
        <v>1676</v>
      </c>
      <c r="L376" t="s">
        <v>46</v>
      </c>
      <c r="M376" s="1" t="str">
        <f t="shared" si="35"/>
        <v>12D3</v>
      </c>
      <c r="N376" s="1" t="str">
        <f t="shared" si="36"/>
        <v>C/O</v>
      </c>
      <c r="O376" s="1" t="str">
        <f t="shared" si="37"/>
        <v>Turbocharger</v>
      </c>
      <c r="P376" s="1" t="str">
        <f t="shared" si="38"/>
        <v>B9H0</v>
      </c>
      <c r="Q376" s="2" t="str">
        <f t="shared" si="39"/>
        <v>B9H0Turbocharger</v>
      </c>
      <c r="R376" s="2" t="str">
        <f>New_Xref[[#This Row],[Serial Prefix]]&amp;IF(New_Xref[[#This Row],[Func Loc]]&lt;&gt;"",New_Xref[[#This Row],[Func Loc]],"NO MATCH")</f>
        <v>B9H0ENGD .TURB.TURB</v>
      </c>
      <c r="S376" s="3" t="str">
        <f t="shared" si="40"/>
        <v>B9H010R3597Turbocharger</v>
      </c>
      <c r="T376" s="3" t="s">
        <v>47</v>
      </c>
      <c r="U376" s="3" t="s">
        <v>34</v>
      </c>
      <c r="V376" t="str">
        <f t="shared" si="41"/>
        <v>105200</v>
      </c>
    </row>
    <row r="377" spans="1:22">
      <c r="A377" t="s">
        <v>1648</v>
      </c>
      <c r="B377" t="s">
        <v>1657</v>
      </c>
      <c r="C377" t="s">
        <v>1670</v>
      </c>
      <c r="D377" t="s">
        <v>1671</v>
      </c>
      <c r="E377" t="s">
        <v>1672</v>
      </c>
      <c r="F377" t="s">
        <v>27</v>
      </c>
      <c r="G377">
        <v>1</v>
      </c>
      <c r="H377" t="s">
        <v>1677</v>
      </c>
      <c r="I377" t="s">
        <v>1662</v>
      </c>
      <c r="J377" t="s">
        <v>1678</v>
      </c>
      <c r="K377" t="s">
        <v>1679</v>
      </c>
      <c r="L377" t="s">
        <v>46</v>
      </c>
      <c r="M377" s="1" t="str">
        <f t="shared" si="35"/>
        <v>12D09</v>
      </c>
      <c r="N377" s="1" t="str">
        <f t="shared" si="36"/>
        <v>C/O</v>
      </c>
      <c r="O377" s="1" t="str">
        <f t="shared" si="37"/>
        <v>Turbocharger</v>
      </c>
      <c r="P377" s="1" t="str">
        <f t="shared" si="38"/>
        <v>R9H0</v>
      </c>
      <c r="Q377" s="2" t="str">
        <f t="shared" si="39"/>
        <v>R9H0Turbocharger</v>
      </c>
      <c r="R377" s="2" t="str">
        <f>New_Xref[[#This Row],[Serial Prefix]]&amp;IF(New_Xref[[#This Row],[Func Loc]]&lt;&gt;"",New_Xref[[#This Row],[Func Loc]],"NO MATCH")</f>
        <v>R9H0ENGD .TURB.TURB</v>
      </c>
      <c r="S377" s="3" t="str">
        <f t="shared" si="40"/>
        <v>R9H010R3597Turbocharger</v>
      </c>
      <c r="T377" s="3" t="s">
        <v>47</v>
      </c>
      <c r="U377" s="3" t="s">
        <v>34</v>
      </c>
      <c r="V377" t="str">
        <f t="shared" si="41"/>
        <v>105200</v>
      </c>
    </row>
    <row r="378" spans="1:22">
      <c r="A378" t="s">
        <v>1648</v>
      </c>
      <c r="B378" t="s">
        <v>1669</v>
      </c>
      <c r="C378" t="s">
        <v>56</v>
      </c>
      <c r="D378" t="s">
        <v>57</v>
      </c>
      <c r="E378" t="s">
        <v>58</v>
      </c>
      <c r="F378" t="s">
        <v>27</v>
      </c>
      <c r="G378">
        <v>6</v>
      </c>
      <c r="H378" t="s">
        <v>1680</v>
      </c>
      <c r="I378" t="s">
        <v>1674</v>
      </c>
      <c r="J378" t="s">
        <v>1681</v>
      </c>
      <c r="K378" t="s">
        <v>1682</v>
      </c>
      <c r="L378" t="s">
        <v>62</v>
      </c>
      <c r="M378" s="1" t="str">
        <f t="shared" si="35"/>
        <v>12D3</v>
      </c>
      <c r="N378" s="1" t="str">
        <f t="shared" si="36"/>
        <v>C/O</v>
      </c>
      <c r="O378" s="1" t="str">
        <f t="shared" si="37"/>
        <v>Fuel Injectors</v>
      </c>
      <c r="P378" s="1" t="str">
        <f t="shared" si="38"/>
        <v>B9H0</v>
      </c>
      <c r="Q378" s="2" t="str">
        <f t="shared" si="39"/>
        <v>B9H0Fuel Injectors</v>
      </c>
      <c r="R378" s="2" t="str">
        <f>New_Xref[[#This Row],[Serial Prefix]]&amp;IF(New_Xref[[#This Row],[Func Loc]]&lt;&gt;"",New_Xref[[#This Row],[Func Loc]],"NO MATCH")</f>
        <v>B9H0ENGD .FUEL.INJE</v>
      </c>
      <c r="S378" s="3" t="str">
        <f t="shared" si="40"/>
        <v>B9H010R3262Fuel Injectors</v>
      </c>
      <c r="T378" s="3" t="s">
        <v>63</v>
      </c>
      <c r="U378" s="3" t="s">
        <v>34</v>
      </c>
      <c r="V378" t="str">
        <f t="shared" si="41"/>
        <v>125100</v>
      </c>
    </row>
    <row r="379" spans="1:22">
      <c r="A379" t="s">
        <v>1648</v>
      </c>
      <c r="B379" t="s">
        <v>1683</v>
      </c>
      <c r="C379" t="s">
        <v>56</v>
      </c>
      <c r="D379" t="s">
        <v>57</v>
      </c>
      <c r="E379" t="s">
        <v>58</v>
      </c>
      <c r="F379" t="s">
        <v>27</v>
      </c>
      <c r="G379">
        <v>6</v>
      </c>
      <c r="H379" t="s">
        <v>1684</v>
      </c>
      <c r="I379" t="s">
        <v>1685</v>
      </c>
      <c r="J379" t="s">
        <v>1686</v>
      </c>
      <c r="K379" t="s">
        <v>1687</v>
      </c>
      <c r="L379" t="s">
        <v>62</v>
      </c>
      <c r="M379" s="1" t="str">
        <f t="shared" si="35"/>
        <v>12H406</v>
      </c>
      <c r="N379" s="1" t="str">
        <f t="shared" si="36"/>
        <v>C/O</v>
      </c>
      <c r="O379" s="1" t="str">
        <f t="shared" si="37"/>
        <v>Fuel Injectors</v>
      </c>
      <c r="P379" s="1" t="str">
        <f t="shared" si="38"/>
        <v>R9H0</v>
      </c>
      <c r="Q379" s="2" t="str">
        <f t="shared" si="39"/>
        <v>R9H0Fuel Injectors</v>
      </c>
      <c r="R379" s="2" t="str">
        <f>New_Xref[[#This Row],[Serial Prefix]]&amp;IF(New_Xref[[#This Row],[Func Loc]]&lt;&gt;"",New_Xref[[#This Row],[Func Loc]],"NO MATCH")</f>
        <v>R9H0ENGD .FUEL.INJE</v>
      </c>
      <c r="S379" s="3" t="str">
        <f t="shared" si="40"/>
        <v>R9H010R3262Fuel Injectors</v>
      </c>
      <c r="T379" s="3" t="s">
        <v>63</v>
      </c>
      <c r="U379" s="3" t="s">
        <v>34</v>
      </c>
      <c r="V379" t="str">
        <f t="shared" si="41"/>
        <v>125100</v>
      </c>
    </row>
    <row r="380" spans="1:22">
      <c r="A380" t="s">
        <v>1648</v>
      </c>
      <c r="B380" t="s">
        <v>1649</v>
      </c>
      <c r="C380" t="s">
        <v>1688</v>
      </c>
      <c r="D380" t="s">
        <v>1689</v>
      </c>
      <c r="E380" t="s">
        <v>1690</v>
      </c>
      <c r="F380" t="s">
        <v>27</v>
      </c>
      <c r="G380">
        <v>1</v>
      </c>
      <c r="H380" t="s">
        <v>1691</v>
      </c>
      <c r="I380" t="s">
        <v>1692</v>
      </c>
      <c r="J380" t="s">
        <v>1693</v>
      </c>
      <c r="K380" t="s">
        <v>1692</v>
      </c>
      <c r="L380" t="s">
        <v>83</v>
      </c>
      <c r="M380" s="1" t="str">
        <f t="shared" si="35"/>
        <v>12H130</v>
      </c>
      <c r="N380" s="1" t="str">
        <f t="shared" si="36"/>
        <v>C/O</v>
      </c>
      <c r="O380" s="1" t="str">
        <f t="shared" si="37"/>
        <v>Engine Radiator Module</v>
      </c>
      <c r="P380" s="1" t="str">
        <f t="shared" si="38"/>
        <v>B9H0</v>
      </c>
      <c r="Q380" s="2" t="str">
        <f t="shared" si="39"/>
        <v>B9H0Engine Radiator Module</v>
      </c>
      <c r="R380" s="2" t="str">
        <f>New_Xref[[#This Row],[Serial Prefix]]&amp;IF(New_Xref[[#This Row],[Func Loc]]&lt;&gt;"",New_Xref[[#This Row],[Func Loc]],"NO MATCH")</f>
        <v>B9H0NO MATCH</v>
      </c>
      <c r="S380" s="3" t="str">
        <f t="shared" si="40"/>
        <v>B9H02497363FEngine Radiator Module</v>
      </c>
      <c r="T380" s="3" t="s">
        <v>1694</v>
      </c>
      <c r="U380" s="3" t="s">
        <v>34</v>
      </c>
      <c r="V380" t="str">
        <f t="shared" si="41"/>
        <v>135000</v>
      </c>
    </row>
    <row r="381" spans="1:22">
      <c r="A381" t="s">
        <v>1648</v>
      </c>
      <c r="B381" t="s">
        <v>1665</v>
      </c>
      <c r="C381" t="s">
        <v>1688</v>
      </c>
      <c r="D381" t="s">
        <v>1689</v>
      </c>
      <c r="E381" t="s">
        <v>1690</v>
      </c>
      <c r="F381" t="s">
        <v>27</v>
      </c>
      <c r="G381">
        <v>1</v>
      </c>
      <c r="H381" t="s">
        <v>1695</v>
      </c>
      <c r="I381" t="s">
        <v>1696</v>
      </c>
      <c r="J381" t="s">
        <v>1697</v>
      </c>
      <c r="K381" t="s">
        <v>1696</v>
      </c>
      <c r="L381" t="s">
        <v>83</v>
      </c>
      <c r="M381" s="1" t="str">
        <f t="shared" si="35"/>
        <v>12H423</v>
      </c>
      <c r="N381" s="1" t="str">
        <f t="shared" si="36"/>
        <v>C/O</v>
      </c>
      <c r="O381" s="1" t="str">
        <f t="shared" si="37"/>
        <v>Engine Radiator Module</v>
      </c>
      <c r="P381" s="1" t="str">
        <f t="shared" si="38"/>
        <v>R9H0</v>
      </c>
      <c r="Q381" s="2" t="str">
        <f t="shared" si="39"/>
        <v>R9H0Engine Radiator Module</v>
      </c>
      <c r="R381" s="2" t="str">
        <f>New_Xref[[#This Row],[Serial Prefix]]&amp;IF(New_Xref[[#This Row],[Func Loc]]&lt;&gt;"",New_Xref[[#This Row],[Func Loc]],"NO MATCH")</f>
        <v>R9H0NO MATCH</v>
      </c>
      <c r="S381" s="3" t="str">
        <f t="shared" si="40"/>
        <v>R9H02497363FEngine Radiator Module</v>
      </c>
      <c r="T381" s="3" t="s">
        <v>1694</v>
      </c>
      <c r="U381" s="3" t="s">
        <v>34</v>
      </c>
      <c r="V381" t="str">
        <f t="shared" si="41"/>
        <v>135000</v>
      </c>
    </row>
    <row r="382" spans="1:22">
      <c r="A382" t="s">
        <v>1648</v>
      </c>
      <c r="B382" t="s">
        <v>1669</v>
      </c>
      <c r="C382" t="s">
        <v>1698</v>
      </c>
      <c r="D382" t="s">
        <v>1699</v>
      </c>
      <c r="E382" t="s">
        <v>1700</v>
      </c>
      <c r="F382" t="s">
        <v>27</v>
      </c>
      <c r="G382">
        <v>1</v>
      </c>
      <c r="H382" t="s">
        <v>1701</v>
      </c>
      <c r="I382" t="s">
        <v>1674</v>
      </c>
      <c r="J382" t="s">
        <v>1702</v>
      </c>
      <c r="K382" t="s">
        <v>1703</v>
      </c>
      <c r="L382" t="s">
        <v>182</v>
      </c>
      <c r="M382" s="1" t="str">
        <f t="shared" si="35"/>
        <v>12D3</v>
      </c>
      <c r="N382" s="1" t="str">
        <f t="shared" si="36"/>
        <v>C/O</v>
      </c>
      <c r="O382" s="1" t="str">
        <f t="shared" si="37"/>
        <v>Water Pump Main</v>
      </c>
      <c r="P382" s="1" t="str">
        <f t="shared" si="38"/>
        <v>B9H0</v>
      </c>
      <c r="Q382" s="2" t="str">
        <f t="shared" si="39"/>
        <v>B9H0Water Pump Main</v>
      </c>
      <c r="R382" s="2" t="str">
        <f>New_Xref[[#This Row],[Serial Prefix]]&amp;IF(New_Xref[[#This Row],[Func Loc]]&lt;&gt;"",New_Xref[[#This Row],[Func Loc]],"NO MATCH")</f>
        <v>B9H0ENGD .WAPU.WAPM</v>
      </c>
      <c r="S382" s="3" t="str">
        <f t="shared" si="40"/>
        <v>B9H020R9976Water Pump Main</v>
      </c>
      <c r="T382" s="3" t="s">
        <v>183</v>
      </c>
      <c r="U382" s="3" t="s">
        <v>34</v>
      </c>
      <c r="V382" t="str">
        <f t="shared" si="41"/>
        <v>136100</v>
      </c>
    </row>
    <row r="383" spans="1:22">
      <c r="A383" t="s">
        <v>1648</v>
      </c>
      <c r="B383" t="s">
        <v>1657</v>
      </c>
      <c r="C383" t="s">
        <v>1698</v>
      </c>
      <c r="D383" t="s">
        <v>1699</v>
      </c>
      <c r="E383" t="s">
        <v>1700</v>
      </c>
      <c r="F383" t="s">
        <v>27</v>
      </c>
      <c r="G383">
        <v>1</v>
      </c>
      <c r="H383" t="s">
        <v>1704</v>
      </c>
      <c r="I383" t="s">
        <v>1662</v>
      </c>
      <c r="J383" t="s">
        <v>1705</v>
      </c>
      <c r="K383" t="s">
        <v>1706</v>
      </c>
      <c r="L383" t="s">
        <v>182</v>
      </c>
      <c r="M383" s="1" t="str">
        <f t="shared" si="35"/>
        <v>12D09</v>
      </c>
      <c r="N383" s="1" t="str">
        <f t="shared" si="36"/>
        <v>C/O</v>
      </c>
      <c r="O383" s="1" t="str">
        <f t="shared" si="37"/>
        <v>Water Pump Main</v>
      </c>
      <c r="P383" s="1" t="str">
        <f t="shared" si="38"/>
        <v>R9H0</v>
      </c>
      <c r="Q383" s="2" t="str">
        <f t="shared" si="39"/>
        <v>R9H0Water Pump Main</v>
      </c>
      <c r="R383" s="2" t="str">
        <f>New_Xref[[#This Row],[Serial Prefix]]&amp;IF(New_Xref[[#This Row],[Func Loc]]&lt;&gt;"",New_Xref[[#This Row],[Func Loc]],"NO MATCH")</f>
        <v>R9H0ENGD .WAPU.WAPM</v>
      </c>
      <c r="S383" s="3" t="str">
        <f t="shared" si="40"/>
        <v>R9H020R9976Water Pump Main</v>
      </c>
      <c r="T383" s="3" t="s">
        <v>183</v>
      </c>
      <c r="U383" s="3" t="s">
        <v>34</v>
      </c>
      <c r="V383" t="str">
        <f t="shared" si="41"/>
        <v>136100</v>
      </c>
    </row>
    <row r="384" spans="1:22">
      <c r="A384" t="s">
        <v>1648</v>
      </c>
      <c r="B384" t="s">
        <v>1669</v>
      </c>
      <c r="C384" t="s">
        <v>1707</v>
      </c>
      <c r="D384" t="s">
        <v>1708</v>
      </c>
      <c r="E384" t="s">
        <v>1709</v>
      </c>
      <c r="F384" t="s">
        <v>125</v>
      </c>
      <c r="G384">
        <v>1</v>
      </c>
      <c r="H384" t="s">
        <v>1710</v>
      </c>
      <c r="I384" t="s">
        <v>1711</v>
      </c>
      <c r="J384" t="s">
        <v>1712</v>
      </c>
      <c r="K384" t="s">
        <v>1711</v>
      </c>
      <c r="L384" t="s">
        <v>72</v>
      </c>
      <c r="M384" s="1" t="str">
        <f t="shared" si="35"/>
        <v>12D3</v>
      </c>
      <c r="N384" s="1" t="str">
        <f t="shared" si="36"/>
        <v>C/O</v>
      </c>
      <c r="O384" s="1" t="str">
        <f t="shared" si="37"/>
        <v>Transmission</v>
      </c>
      <c r="P384" s="1" t="str">
        <f t="shared" si="38"/>
        <v>B9H0</v>
      </c>
      <c r="Q384" s="2" t="str">
        <f t="shared" si="39"/>
        <v>B9H0Transmission</v>
      </c>
      <c r="R384" s="2" t="str">
        <f>New_Xref[[#This Row],[Serial Prefix]]&amp;IF(New_Xref[[#This Row],[Func Loc]]&lt;&gt;"",New_Xref[[#This Row],[Func Loc]],"NO MATCH")</f>
        <v>B9H0TRAN .TRAN</v>
      </c>
      <c r="S384" s="3" t="str">
        <f t="shared" si="40"/>
        <v>B9H02538407XTransmission</v>
      </c>
      <c r="T384" s="3" t="s">
        <v>73</v>
      </c>
      <c r="U384" s="3" t="s">
        <v>34</v>
      </c>
      <c r="V384" t="str">
        <f t="shared" si="41"/>
        <v>303000</v>
      </c>
    </row>
    <row r="385" spans="1:22">
      <c r="A385" t="s">
        <v>1648</v>
      </c>
      <c r="B385" t="s">
        <v>1657</v>
      </c>
      <c r="C385" t="s">
        <v>1713</v>
      </c>
      <c r="D385" t="s">
        <v>1714</v>
      </c>
      <c r="E385" t="s">
        <v>1715</v>
      </c>
      <c r="F385" t="s">
        <v>27</v>
      </c>
      <c r="G385">
        <v>1</v>
      </c>
      <c r="H385" t="s">
        <v>1716</v>
      </c>
      <c r="I385" t="s">
        <v>1717</v>
      </c>
      <c r="J385" t="s">
        <v>1718</v>
      </c>
      <c r="K385" t="s">
        <v>1717</v>
      </c>
      <c r="L385" t="s">
        <v>72</v>
      </c>
      <c r="M385" s="1" t="str">
        <f t="shared" si="35"/>
        <v>12D09</v>
      </c>
      <c r="N385" s="1" t="str">
        <f t="shared" si="36"/>
        <v>C/O</v>
      </c>
      <c r="O385" s="1" t="str">
        <f t="shared" si="37"/>
        <v>Transmission</v>
      </c>
      <c r="P385" s="1" t="str">
        <f t="shared" si="38"/>
        <v>R9H0</v>
      </c>
      <c r="Q385" s="2" t="str">
        <f t="shared" si="39"/>
        <v>R9H0Transmission</v>
      </c>
      <c r="R385" s="2" t="str">
        <f>New_Xref[[#This Row],[Serial Prefix]]&amp;IF(New_Xref[[#This Row],[Func Loc]]&lt;&gt;"",New_Xref[[#This Row],[Func Loc]],"NO MATCH")</f>
        <v>R9H0TRAN .TRAN</v>
      </c>
      <c r="S385" s="3" t="str">
        <f t="shared" si="40"/>
        <v>R9H010R9504Transmission</v>
      </c>
      <c r="T385" s="3" t="s">
        <v>73</v>
      </c>
      <c r="U385" s="3" t="s">
        <v>34</v>
      </c>
      <c r="V385" t="str">
        <f t="shared" si="41"/>
        <v>303000</v>
      </c>
    </row>
    <row r="386" spans="1:22">
      <c r="A386" t="s">
        <v>1648</v>
      </c>
      <c r="B386" t="s">
        <v>1719</v>
      </c>
      <c r="C386" t="s">
        <v>1720</v>
      </c>
      <c r="D386" t="s">
        <v>1721</v>
      </c>
      <c r="E386" t="s">
        <v>1715</v>
      </c>
      <c r="F386" t="s">
        <v>27</v>
      </c>
      <c r="G386">
        <v>1</v>
      </c>
      <c r="H386" t="s">
        <v>1722</v>
      </c>
      <c r="I386" t="s">
        <v>1723</v>
      </c>
      <c r="J386" t="s">
        <v>1724</v>
      </c>
      <c r="K386" t="s">
        <v>1723</v>
      </c>
      <c r="L386" t="s">
        <v>72</v>
      </c>
      <c r="M386" s="1" t="str">
        <f t="shared" ref="M386:M450" si="42">LEFT(K386,FIND(" ",K386,1)-1)</f>
        <v>12H452</v>
      </c>
      <c r="N386" s="1" t="str">
        <f t="shared" ref="N386:N450" si="43">MID(K386,LEN(M386)+2,FIND(" ",K386,LEN(M386)+2)-LEN(M386)-2)</f>
        <v>C/O</v>
      </c>
      <c r="O386" s="1" t="str">
        <f t="shared" ref="O386:O450" si="44">MID(K386,FIND(N386,K386,1)+LEN(N386)+1, 150)</f>
        <v>Transmission</v>
      </c>
      <c r="P386" s="1" t="str">
        <f t="shared" ref="P386:P450" si="45">LEFT(B386,4)</f>
        <v>R9H0</v>
      </c>
      <c r="Q386" s="2" t="str">
        <f t="shared" ref="Q386:Q450" si="46">P386&amp;O386</f>
        <v>R9H0Transmission</v>
      </c>
      <c r="R386" s="2" t="str">
        <f>New_Xref[[#This Row],[Serial Prefix]]&amp;IF(New_Xref[[#This Row],[Func Loc]]&lt;&gt;"",New_Xref[[#This Row],[Func Loc]],"NO MATCH")</f>
        <v>R9H0TRAN .TRAN</v>
      </c>
      <c r="S386" s="3" t="str">
        <f t="shared" ref="S386:S450" si="47">P386&amp;D386&amp;O386</f>
        <v>R9H020R4816Transmission</v>
      </c>
      <c r="T386" s="3" t="s">
        <v>73</v>
      </c>
      <c r="U386" s="3" t="s">
        <v>34</v>
      </c>
      <c r="V386" t="str">
        <f t="shared" ref="V386:V450" si="48">LEFT(T386,FIND(" -",T386,1)-1)&amp;LEFT(U386,FIND(" -",U386,1)-1)</f>
        <v>303000</v>
      </c>
    </row>
    <row r="387" spans="1:22">
      <c r="A387" t="s">
        <v>1648</v>
      </c>
      <c r="B387" t="s">
        <v>1649</v>
      </c>
      <c r="C387" t="s">
        <v>1725</v>
      </c>
      <c r="D387" t="s">
        <v>1726</v>
      </c>
      <c r="E387" t="s">
        <v>1727</v>
      </c>
      <c r="F387" t="s">
        <v>27</v>
      </c>
      <c r="G387">
        <v>1</v>
      </c>
      <c r="H387" t="s">
        <v>1728</v>
      </c>
      <c r="I387" t="s">
        <v>1729</v>
      </c>
      <c r="J387" t="s">
        <v>1730</v>
      </c>
      <c r="K387" t="s">
        <v>1729</v>
      </c>
      <c r="L387" t="s">
        <v>83</v>
      </c>
      <c r="M387" s="1" t="str">
        <f t="shared" si="42"/>
        <v>12H130</v>
      </c>
      <c r="N387" s="1" t="str">
        <f t="shared" si="43"/>
        <v>C/O</v>
      </c>
      <c r="O387" s="1" t="str">
        <f t="shared" si="44"/>
        <v>Differential &amp; Final Drives</v>
      </c>
      <c r="P387" s="1" t="str">
        <f t="shared" si="45"/>
        <v>B9H0</v>
      </c>
      <c r="Q387" s="2" t="str">
        <f t="shared" si="46"/>
        <v>B9H0Differential &amp; Final Drives</v>
      </c>
      <c r="R387" s="2" t="str">
        <f>New_Xref[[#This Row],[Serial Prefix]]&amp;IF(New_Xref[[#This Row],[Func Loc]]&lt;&gt;"",New_Xref[[#This Row],[Func Loc]],"NO MATCH")</f>
        <v>B9H0NO MATCH</v>
      </c>
      <c r="S387" s="3" t="str">
        <f t="shared" si="47"/>
        <v>B9H02845026XDifferential &amp; Final Drives</v>
      </c>
      <c r="T387" s="3" t="s">
        <v>84</v>
      </c>
      <c r="U387" s="3" t="s">
        <v>34</v>
      </c>
      <c r="V387" t="str">
        <f t="shared" si="48"/>
        <v>327800</v>
      </c>
    </row>
    <row r="388" spans="1:22">
      <c r="A388" t="s">
        <v>1648</v>
      </c>
      <c r="B388" t="s">
        <v>1657</v>
      </c>
      <c r="C388" t="s">
        <v>1725</v>
      </c>
      <c r="D388" t="s">
        <v>1726</v>
      </c>
      <c r="E388" t="s">
        <v>1731</v>
      </c>
      <c r="F388" t="s">
        <v>27</v>
      </c>
      <c r="G388">
        <v>1</v>
      </c>
      <c r="H388" t="s">
        <v>1732</v>
      </c>
      <c r="I388" t="s">
        <v>1733</v>
      </c>
      <c r="J388" t="s">
        <v>1734</v>
      </c>
      <c r="K388" t="s">
        <v>1733</v>
      </c>
      <c r="L388" t="s">
        <v>83</v>
      </c>
      <c r="M388" s="1" t="str">
        <f t="shared" si="42"/>
        <v>12D09</v>
      </c>
      <c r="N388" s="1" t="str">
        <f t="shared" si="43"/>
        <v>C/O</v>
      </c>
      <c r="O388" s="1" t="str">
        <f t="shared" si="44"/>
        <v>Differential &amp; Final Drives</v>
      </c>
      <c r="P388" s="1" t="str">
        <f t="shared" si="45"/>
        <v>R9H0</v>
      </c>
      <c r="Q388" s="2" t="str">
        <f t="shared" si="46"/>
        <v>R9H0Differential &amp; Final Drives</v>
      </c>
      <c r="R388" s="2" t="str">
        <f>New_Xref[[#This Row],[Serial Prefix]]&amp;IF(New_Xref[[#This Row],[Func Loc]]&lt;&gt;"",New_Xref[[#This Row],[Func Loc]],"NO MATCH")</f>
        <v>R9H0NO MATCH</v>
      </c>
      <c r="S388" s="3" t="str">
        <f t="shared" si="47"/>
        <v>R9H02845026XDifferential &amp; Final Drives</v>
      </c>
      <c r="T388" s="3" t="s">
        <v>84</v>
      </c>
      <c r="U388" s="3" t="s">
        <v>34</v>
      </c>
      <c r="V388" t="str">
        <f t="shared" si="48"/>
        <v>327800</v>
      </c>
    </row>
    <row r="389" spans="1:22">
      <c r="A389" t="s">
        <v>1648</v>
      </c>
      <c r="B389" t="s">
        <v>1669</v>
      </c>
      <c r="C389" t="s">
        <v>1735</v>
      </c>
      <c r="D389" t="s">
        <v>1736</v>
      </c>
      <c r="E389" t="s">
        <v>1737</v>
      </c>
      <c r="F389" t="s">
        <v>27</v>
      </c>
      <c r="G389">
        <v>1</v>
      </c>
      <c r="H389" t="s">
        <v>1738</v>
      </c>
      <c r="I389" t="s">
        <v>1739</v>
      </c>
      <c r="J389" t="s">
        <v>1740</v>
      </c>
      <c r="K389" t="s">
        <v>1739</v>
      </c>
      <c r="L389" t="s">
        <v>1741</v>
      </c>
      <c r="M389" s="1" t="str">
        <f t="shared" si="42"/>
        <v>12D3</v>
      </c>
      <c r="N389" s="1" t="str">
        <f t="shared" si="43"/>
        <v>C/O</v>
      </c>
      <c r="O389" s="1" t="str">
        <f t="shared" si="44"/>
        <v>Brake LHF</v>
      </c>
      <c r="P389" s="1" t="str">
        <f t="shared" si="45"/>
        <v>B9H0</v>
      </c>
      <c r="Q389" s="2" t="str">
        <f t="shared" si="46"/>
        <v>B9H0Brake LHF</v>
      </c>
      <c r="R389" s="2" t="str">
        <f>New_Xref[[#This Row],[Serial Prefix]]&amp;IF(New_Xref[[#This Row],[Func Loc]]&lt;&gt;"",New_Xref[[#This Row],[Func Loc]],"NO MATCH")</f>
        <v>B9H0BRAK .SEBR.BLTF</v>
      </c>
      <c r="S389" s="3" t="str">
        <f t="shared" si="47"/>
        <v>B9H020R9994Brake LHF</v>
      </c>
      <c r="T389" s="3" t="s">
        <v>88</v>
      </c>
      <c r="U389" s="3" t="s">
        <v>89</v>
      </c>
      <c r="V389" t="str">
        <f t="shared" si="48"/>
        <v>4006LF</v>
      </c>
    </row>
    <row r="390" spans="1:22">
      <c r="A390" t="s">
        <v>1648</v>
      </c>
      <c r="B390" t="s">
        <v>1669</v>
      </c>
      <c r="C390" t="s">
        <v>1735</v>
      </c>
      <c r="D390" t="s">
        <v>1736</v>
      </c>
      <c r="E390" t="s">
        <v>1737</v>
      </c>
      <c r="F390" t="s">
        <v>27</v>
      </c>
      <c r="G390">
        <v>1</v>
      </c>
      <c r="H390" t="s">
        <v>1738</v>
      </c>
      <c r="I390" t="s">
        <v>1742</v>
      </c>
      <c r="J390" t="s">
        <v>1743</v>
      </c>
      <c r="K390" t="s">
        <v>1742</v>
      </c>
      <c r="L390" t="s">
        <v>1744</v>
      </c>
      <c r="M390" s="1" t="str">
        <f t="shared" si="42"/>
        <v>12D3</v>
      </c>
      <c r="N390" s="1" t="str">
        <f t="shared" si="43"/>
        <v>C/O</v>
      </c>
      <c r="O390" s="1" t="str">
        <f t="shared" si="44"/>
        <v>Brake RHF</v>
      </c>
      <c r="P390" s="1" t="str">
        <f t="shared" si="45"/>
        <v>B9H0</v>
      </c>
      <c r="Q390" s="2" t="str">
        <f t="shared" si="46"/>
        <v>B9H0Brake RHF</v>
      </c>
      <c r="R390" s="2" t="str">
        <f>New_Xref[[#This Row],[Serial Prefix]]&amp;IF(New_Xref[[#This Row],[Func Loc]]&lt;&gt;"",New_Xref[[#This Row],[Func Loc]],"NO MATCH")</f>
        <v>B9H0BRAK .SEBR.BRTF</v>
      </c>
      <c r="S390" s="3" t="str">
        <f t="shared" si="47"/>
        <v>B9H020R9994Brake RHF</v>
      </c>
      <c r="T390" s="3" t="s">
        <v>88</v>
      </c>
      <c r="U390" s="3" t="s">
        <v>92</v>
      </c>
      <c r="V390" t="str">
        <f t="shared" si="48"/>
        <v>4006RF</v>
      </c>
    </row>
    <row r="391" spans="1:22">
      <c r="A391" t="s">
        <v>1648</v>
      </c>
      <c r="B391" t="s">
        <v>1669</v>
      </c>
      <c r="C391" t="s">
        <v>1735</v>
      </c>
      <c r="D391" t="s">
        <v>1736</v>
      </c>
      <c r="E391" t="s">
        <v>1737</v>
      </c>
      <c r="F391" t="s">
        <v>27</v>
      </c>
      <c r="G391">
        <v>1</v>
      </c>
      <c r="H391" t="s">
        <v>1745</v>
      </c>
      <c r="I391" t="s">
        <v>1746</v>
      </c>
      <c r="J391" t="s">
        <v>1747</v>
      </c>
      <c r="K391" t="s">
        <v>1746</v>
      </c>
      <c r="L391" t="s">
        <v>1748</v>
      </c>
      <c r="M391" s="1" t="str">
        <f t="shared" si="42"/>
        <v>12D3</v>
      </c>
      <c r="N391" s="1" t="str">
        <f t="shared" si="43"/>
        <v>C/O</v>
      </c>
      <c r="O391" s="1" t="str">
        <f t="shared" si="44"/>
        <v>Brake RHR</v>
      </c>
      <c r="P391" s="1" t="str">
        <f t="shared" si="45"/>
        <v>B9H0</v>
      </c>
      <c r="Q391" s="2" t="str">
        <f t="shared" si="46"/>
        <v>B9H0Brake RHR</v>
      </c>
      <c r="R391" s="2" t="str">
        <f>New_Xref[[#This Row],[Serial Prefix]]&amp;IF(New_Xref[[#This Row],[Func Loc]]&lt;&gt;"",New_Xref[[#This Row],[Func Loc]],"NO MATCH")</f>
        <v>B9H0BRAK .SEBR.BRTR</v>
      </c>
      <c r="S391" s="3" t="str">
        <f t="shared" si="47"/>
        <v>B9H020R9994Brake RHR</v>
      </c>
      <c r="T391" s="3" t="s">
        <v>88</v>
      </c>
      <c r="U391" s="3" t="s">
        <v>99</v>
      </c>
      <c r="V391" t="str">
        <f t="shared" si="48"/>
        <v>4006RR</v>
      </c>
    </row>
    <row r="392" spans="1:22">
      <c r="A392" t="s">
        <v>1648</v>
      </c>
      <c r="B392" t="s">
        <v>1669</v>
      </c>
      <c r="C392" t="s">
        <v>1735</v>
      </c>
      <c r="D392" t="s">
        <v>1736</v>
      </c>
      <c r="E392" t="s">
        <v>1737</v>
      </c>
      <c r="F392" t="s">
        <v>27</v>
      </c>
      <c r="G392">
        <v>1</v>
      </c>
      <c r="H392" t="s">
        <v>1745</v>
      </c>
      <c r="I392" t="s">
        <v>1749</v>
      </c>
      <c r="J392" t="s">
        <v>1750</v>
      </c>
      <c r="K392" t="s">
        <v>1749</v>
      </c>
      <c r="L392" t="s">
        <v>1751</v>
      </c>
      <c r="M392" s="1" t="str">
        <f t="shared" si="42"/>
        <v>12D3</v>
      </c>
      <c r="N392" s="1" t="str">
        <f t="shared" si="43"/>
        <v>C/O</v>
      </c>
      <c r="O392" s="1" t="str">
        <f t="shared" si="44"/>
        <v>Brake LHR</v>
      </c>
      <c r="P392" s="1" t="str">
        <f t="shared" si="45"/>
        <v>B9H0</v>
      </c>
      <c r="Q392" s="2" t="str">
        <f t="shared" si="46"/>
        <v>B9H0Brake LHR</v>
      </c>
      <c r="R392" s="2" t="str">
        <f>New_Xref[[#This Row],[Serial Prefix]]&amp;IF(New_Xref[[#This Row],[Func Loc]]&lt;&gt;"",New_Xref[[#This Row],[Func Loc]],"NO MATCH")</f>
        <v>B9H0BRAK .SEBR.BLTR</v>
      </c>
      <c r="S392" s="3" t="str">
        <f t="shared" si="47"/>
        <v>B9H020R9994Brake LHR</v>
      </c>
      <c r="T392" s="3" t="s">
        <v>88</v>
      </c>
      <c r="U392" s="3" t="s">
        <v>96</v>
      </c>
      <c r="V392" t="str">
        <f t="shared" si="48"/>
        <v>4006LR</v>
      </c>
    </row>
    <row r="393" spans="1:22">
      <c r="A393" t="s">
        <v>1648</v>
      </c>
      <c r="B393" t="s">
        <v>1657</v>
      </c>
      <c r="C393" t="s">
        <v>1735</v>
      </c>
      <c r="D393" t="s">
        <v>1736</v>
      </c>
      <c r="E393" t="s">
        <v>1737</v>
      </c>
      <c r="F393" t="s">
        <v>27</v>
      </c>
      <c r="G393">
        <v>1</v>
      </c>
      <c r="H393" t="s">
        <v>1752</v>
      </c>
      <c r="I393" t="s">
        <v>1753</v>
      </c>
      <c r="J393" t="s">
        <v>1754</v>
      </c>
      <c r="K393" t="s">
        <v>1753</v>
      </c>
      <c r="L393" t="s">
        <v>1741</v>
      </c>
      <c r="M393" s="1" t="str">
        <f t="shared" si="42"/>
        <v>12D09</v>
      </c>
      <c r="N393" s="1" t="str">
        <f t="shared" si="43"/>
        <v>C/O</v>
      </c>
      <c r="O393" s="1" t="str">
        <f t="shared" si="44"/>
        <v>Brake LHF</v>
      </c>
      <c r="P393" s="1" t="str">
        <f t="shared" si="45"/>
        <v>R9H0</v>
      </c>
      <c r="Q393" s="2" t="str">
        <f t="shared" si="46"/>
        <v>R9H0Brake LHF</v>
      </c>
      <c r="R393" s="2" t="str">
        <f>New_Xref[[#This Row],[Serial Prefix]]&amp;IF(New_Xref[[#This Row],[Func Loc]]&lt;&gt;"",New_Xref[[#This Row],[Func Loc]],"NO MATCH")</f>
        <v>R9H0BRAK .SEBR.BLTF</v>
      </c>
      <c r="S393" s="3" t="str">
        <f t="shared" si="47"/>
        <v>R9H020R9994Brake LHF</v>
      </c>
      <c r="T393" s="3" t="s">
        <v>88</v>
      </c>
      <c r="U393" s="3" t="s">
        <v>89</v>
      </c>
      <c r="V393" t="str">
        <f t="shared" si="48"/>
        <v>4006LF</v>
      </c>
    </row>
    <row r="394" spans="1:22">
      <c r="A394" t="s">
        <v>1648</v>
      </c>
      <c r="B394" t="s">
        <v>1657</v>
      </c>
      <c r="C394" t="s">
        <v>1735</v>
      </c>
      <c r="D394" t="s">
        <v>1736</v>
      </c>
      <c r="E394" t="s">
        <v>1737</v>
      </c>
      <c r="F394" t="s">
        <v>27</v>
      </c>
      <c r="G394">
        <v>1</v>
      </c>
      <c r="H394" t="s">
        <v>1755</v>
      </c>
      <c r="I394" t="s">
        <v>1756</v>
      </c>
      <c r="J394" t="s">
        <v>1757</v>
      </c>
      <c r="K394" t="s">
        <v>1756</v>
      </c>
      <c r="L394" t="s">
        <v>1751</v>
      </c>
      <c r="M394" s="1" t="str">
        <f t="shared" si="42"/>
        <v>12D09</v>
      </c>
      <c r="N394" s="1" t="str">
        <f t="shared" si="43"/>
        <v>C/O</v>
      </c>
      <c r="O394" s="1" t="str">
        <f t="shared" si="44"/>
        <v>Brake LHR</v>
      </c>
      <c r="P394" s="1" t="str">
        <f t="shared" si="45"/>
        <v>R9H0</v>
      </c>
      <c r="Q394" s="2" t="str">
        <f t="shared" si="46"/>
        <v>R9H0Brake LHR</v>
      </c>
      <c r="R394" s="2" t="str">
        <f>New_Xref[[#This Row],[Serial Prefix]]&amp;IF(New_Xref[[#This Row],[Func Loc]]&lt;&gt;"",New_Xref[[#This Row],[Func Loc]],"NO MATCH")</f>
        <v>R9H0BRAK .SEBR.BLTR</v>
      </c>
      <c r="S394" s="3" t="str">
        <f t="shared" si="47"/>
        <v>R9H020R9994Brake LHR</v>
      </c>
      <c r="T394" s="3" t="s">
        <v>88</v>
      </c>
      <c r="U394" s="3" t="s">
        <v>96</v>
      </c>
      <c r="V394" t="str">
        <f t="shared" si="48"/>
        <v>4006LR</v>
      </c>
    </row>
    <row r="395" spans="1:22">
      <c r="A395" t="s">
        <v>1648</v>
      </c>
      <c r="B395" t="s">
        <v>1657</v>
      </c>
      <c r="C395" t="s">
        <v>1735</v>
      </c>
      <c r="D395" t="s">
        <v>1736</v>
      </c>
      <c r="E395" t="s">
        <v>1737</v>
      </c>
      <c r="F395" t="s">
        <v>27</v>
      </c>
      <c r="G395">
        <v>1</v>
      </c>
      <c r="H395" t="s">
        <v>1752</v>
      </c>
      <c r="I395" t="s">
        <v>1758</v>
      </c>
      <c r="J395" t="s">
        <v>1759</v>
      </c>
      <c r="K395" t="s">
        <v>1758</v>
      </c>
      <c r="L395" t="s">
        <v>1744</v>
      </c>
      <c r="M395" s="1" t="str">
        <f t="shared" si="42"/>
        <v>12D09</v>
      </c>
      <c r="N395" s="1" t="str">
        <f t="shared" si="43"/>
        <v>C/O</v>
      </c>
      <c r="O395" s="1" t="str">
        <f t="shared" si="44"/>
        <v>Brake RHF</v>
      </c>
      <c r="P395" s="1" t="str">
        <f t="shared" si="45"/>
        <v>R9H0</v>
      </c>
      <c r="Q395" s="2" t="str">
        <f t="shared" si="46"/>
        <v>R9H0Brake RHF</v>
      </c>
      <c r="R395" s="2" t="str">
        <f>New_Xref[[#This Row],[Serial Prefix]]&amp;IF(New_Xref[[#This Row],[Func Loc]]&lt;&gt;"",New_Xref[[#This Row],[Func Loc]],"NO MATCH")</f>
        <v>R9H0BRAK .SEBR.BRTF</v>
      </c>
      <c r="S395" s="3" t="str">
        <f t="shared" si="47"/>
        <v>R9H020R9994Brake RHF</v>
      </c>
      <c r="T395" s="3" t="s">
        <v>88</v>
      </c>
      <c r="U395" s="3" t="s">
        <v>92</v>
      </c>
      <c r="V395" t="str">
        <f t="shared" si="48"/>
        <v>4006RF</v>
      </c>
    </row>
    <row r="396" spans="1:22">
      <c r="A396" t="s">
        <v>1648</v>
      </c>
      <c r="B396" t="s">
        <v>1657</v>
      </c>
      <c r="C396" t="s">
        <v>1735</v>
      </c>
      <c r="D396" t="s">
        <v>1736</v>
      </c>
      <c r="E396" t="s">
        <v>1737</v>
      </c>
      <c r="F396" t="s">
        <v>27</v>
      </c>
      <c r="G396">
        <v>1</v>
      </c>
      <c r="H396" t="s">
        <v>1755</v>
      </c>
      <c r="I396" t="s">
        <v>1760</v>
      </c>
      <c r="J396" t="s">
        <v>1761</v>
      </c>
      <c r="K396" t="s">
        <v>1760</v>
      </c>
      <c r="L396" t="s">
        <v>1748</v>
      </c>
      <c r="M396" s="1" t="str">
        <f t="shared" si="42"/>
        <v>12D09</v>
      </c>
      <c r="N396" s="1" t="str">
        <f t="shared" si="43"/>
        <v>C/O</v>
      </c>
      <c r="O396" s="1" t="str">
        <f t="shared" si="44"/>
        <v>Brake RHR</v>
      </c>
      <c r="P396" s="1" t="str">
        <f t="shared" si="45"/>
        <v>R9H0</v>
      </c>
      <c r="Q396" s="2" t="str">
        <f t="shared" si="46"/>
        <v>R9H0Brake RHR</v>
      </c>
      <c r="R396" s="2" t="str">
        <f>New_Xref[[#This Row],[Serial Prefix]]&amp;IF(New_Xref[[#This Row],[Func Loc]]&lt;&gt;"",New_Xref[[#This Row],[Func Loc]],"NO MATCH")</f>
        <v>R9H0BRAK .SEBR.BRTR</v>
      </c>
      <c r="S396" s="3" t="str">
        <f t="shared" si="47"/>
        <v>R9H020R9994Brake RHR</v>
      </c>
      <c r="T396" s="3" t="s">
        <v>88</v>
      </c>
      <c r="U396" s="3" t="s">
        <v>99</v>
      </c>
      <c r="V396" t="str">
        <f t="shared" si="48"/>
        <v>4006RR</v>
      </c>
    </row>
    <row r="397" spans="1:22">
      <c r="A397" t="s">
        <v>1648</v>
      </c>
      <c r="B397" t="s">
        <v>1762</v>
      </c>
      <c r="H397" t="s">
        <v>1763</v>
      </c>
      <c r="I397" t="s">
        <v>1764</v>
      </c>
      <c r="J397" t="s">
        <v>1765</v>
      </c>
      <c r="K397" t="s">
        <v>1764</v>
      </c>
      <c r="L397" t="s">
        <v>106</v>
      </c>
      <c r="M397" s="1" t="str">
        <f t="shared" si="42"/>
        <v>12H207</v>
      </c>
      <c r="N397" s="1" t="str">
        <f t="shared" si="43"/>
        <v>C/O</v>
      </c>
      <c r="O397" s="1" t="str">
        <f t="shared" si="44"/>
        <v>Steering Cylinder LH</v>
      </c>
      <c r="P397" s="1" t="str">
        <f t="shared" si="45"/>
        <v>B9H0</v>
      </c>
      <c r="Q397" s="2" t="str">
        <f t="shared" si="46"/>
        <v>B9H0Steering Cylinder LH</v>
      </c>
      <c r="R397" s="2" t="str">
        <f>New_Xref[[#This Row],[Serial Prefix]]&amp;IF(New_Xref[[#This Row],[Func Loc]]&lt;&gt;"",New_Xref[[#This Row],[Func Loc]],"NO MATCH")</f>
        <v>B9H0STRG .CYLI.SCLH</v>
      </c>
      <c r="S397" s="3" t="str">
        <f t="shared" si="47"/>
        <v>B9H0Steering Cylinder LH</v>
      </c>
      <c r="T397" s="3" t="s">
        <v>107</v>
      </c>
      <c r="U397" s="3" t="s">
        <v>108</v>
      </c>
      <c r="V397" t="str">
        <f t="shared" si="48"/>
        <v>4303LT</v>
      </c>
    </row>
    <row r="398" spans="1:22">
      <c r="A398" t="s">
        <v>1648</v>
      </c>
      <c r="B398" t="s">
        <v>1762</v>
      </c>
      <c r="H398" t="s">
        <v>1763</v>
      </c>
      <c r="I398" t="s">
        <v>1766</v>
      </c>
      <c r="J398" t="s">
        <v>1767</v>
      </c>
      <c r="K398" t="s">
        <v>1766</v>
      </c>
      <c r="L398" t="s">
        <v>114</v>
      </c>
      <c r="M398" s="1" t="str">
        <f t="shared" si="42"/>
        <v>12H207</v>
      </c>
      <c r="N398" s="1" t="str">
        <f t="shared" si="43"/>
        <v>C/O</v>
      </c>
      <c r="O398" s="1" t="str">
        <f t="shared" si="44"/>
        <v>Steering Cylinder RH</v>
      </c>
      <c r="P398" s="1" t="str">
        <f t="shared" si="45"/>
        <v>B9H0</v>
      </c>
      <c r="Q398" s="2" t="str">
        <f t="shared" si="46"/>
        <v>B9H0Steering Cylinder RH</v>
      </c>
      <c r="R398" s="2" t="str">
        <f>New_Xref[[#This Row],[Serial Prefix]]&amp;IF(New_Xref[[#This Row],[Func Loc]]&lt;&gt;"",New_Xref[[#This Row],[Func Loc]],"NO MATCH")</f>
        <v>B9H0STRG .CYLI.SCRH</v>
      </c>
      <c r="S398" s="3" t="str">
        <f t="shared" si="47"/>
        <v>B9H0Steering Cylinder RH</v>
      </c>
      <c r="T398" s="3" t="s">
        <v>107</v>
      </c>
      <c r="U398" s="3" t="s">
        <v>115</v>
      </c>
      <c r="V398" t="str">
        <f t="shared" si="48"/>
        <v>4303RI</v>
      </c>
    </row>
    <row r="399" spans="1:22">
      <c r="A399" t="s">
        <v>1648</v>
      </c>
      <c r="B399" t="s">
        <v>1657</v>
      </c>
      <c r="H399" t="s">
        <v>1768</v>
      </c>
      <c r="I399" t="s">
        <v>1769</v>
      </c>
      <c r="J399" t="s">
        <v>1770</v>
      </c>
      <c r="K399" t="s">
        <v>1769</v>
      </c>
      <c r="L399" t="s">
        <v>106</v>
      </c>
      <c r="M399" s="1" t="str">
        <f t="shared" si="42"/>
        <v>12D09</v>
      </c>
      <c r="N399" s="1" t="str">
        <f t="shared" si="43"/>
        <v>C/O</v>
      </c>
      <c r="O399" s="1" t="str">
        <f t="shared" si="44"/>
        <v>Steering Cylinder LH</v>
      </c>
      <c r="P399" s="1" t="str">
        <f t="shared" si="45"/>
        <v>R9H0</v>
      </c>
      <c r="Q399" s="2" t="str">
        <f t="shared" si="46"/>
        <v>R9H0Steering Cylinder LH</v>
      </c>
      <c r="R399" s="2" t="str">
        <f>New_Xref[[#This Row],[Serial Prefix]]&amp;IF(New_Xref[[#This Row],[Func Loc]]&lt;&gt;"",New_Xref[[#This Row],[Func Loc]],"NO MATCH")</f>
        <v>R9H0STRG .CYLI.SCLH</v>
      </c>
      <c r="S399" s="3" t="str">
        <f t="shared" si="47"/>
        <v>R9H0Steering Cylinder LH</v>
      </c>
      <c r="T399" s="3" t="s">
        <v>107</v>
      </c>
      <c r="U399" s="3" t="s">
        <v>108</v>
      </c>
      <c r="V399" t="str">
        <f t="shared" si="48"/>
        <v>4303LT</v>
      </c>
    </row>
    <row r="400" spans="1:22">
      <c r="A400" t="s">
        <v>1648</v>
      </c>
      <c r="B400" t="s">
        <v>1657</v>
      </c>
      <c r="H400" t="s">
        <v>1768</v>
      </c>
      <c r="I400" t="s">
        <v>1771</v>
      </c>
      <c r="J400" t="s">
        <v>1772</v>
      </c>
      <c r="K400" t="s">
        <v>1771</v>
      </c>
      <c r="L400" t="s">
        <v>114</v>
      </c>
      <c r="M400" s="1" t="str">
        <f t="shared" si="42"/>
        <v>12D09</v>
      </c>
      <c r="N400" s="1" t="str">
        <f t="shared" si="43"/>
        <v>C/O</v>
      </c>
      <c r="O400" s="1" t="str">
        <f t="shared" si="44"/>
        <v>Steering Cylinder RH</v>
      </c>
      <c r="P400" s="1" t="str">
        <f t="shared" si="45"/>
        <v>R9H0</v>
      </c>
      <c r="Q400" s="2" t="str">
        <f t="shared" si="46"/>
        <v>R9H0Steering Cylinder RH</v>
      </c>
      <c r="R400" s="2" t="str">
        <f>New_Xref[[#This Row],[Serial Prefix]]&amp;IF(New_Xref[[#This Row],[Func Loc]]&lt;&gt;"",New_Xref[[#This Row],[Func Loc]],"NO MATCH")</f>
        <v>R9H0STRG .CYLI.SCRH</v>
      </c>
      <c r="S400" s="3" t="str">
        <f t="shared" si="47"/>
        <v>R9H0Steering Cylinder RH</v>
      </c>
      <c r="T400" s="3" t="s">
        <v>107</v>
      </c>
      <c r="U400" s="3" t="s">
        <v>115</v>
      </c>
      <c r="V400" t="str">
        <f t="shared" si="48"/>
        <v>4303RI</v>
      </c>
    </row>
    <row r="401" spans="1:22">
      <c r="A401" t="s">
        <v>1648</v>
      </c>
      <c r="B401" t="s">
        <v>1649</v>
      </c>
      <c r="H401" t="s">
        <v>1773</v>
      </c>
      <c r="I401" t="s">
        <v>1774</v>
      </c>
      <c r="J401" t="s">
        <v>1775</v>
      </c>
      <c r="K401" t="s">
        <v>1776</v>
      </c>
      <c r="L401" t="s">
        <v>350</v>
      </c>
      <c r="M401" s="1" t="str">
        <f t="shared" si="42"/>
        <v>12H130</v>
      </c>
      <c r="N401" s="1" t="str">
        <f t="shared" si="43"/>
        <v>C/O</v>
      </c>
      <c r="O401" s="1" t="str">
        <f t="shared" si="44"/>
        <v>Axle Assembly Front</v>
      </c>
      <c r="P401" s="1" t="str">
        <f t="shared" si="45"/>
        <v>B9H0</v>
      </c>
      <c r="Q401" s="2" t="str">
        <f t="shared" si="46"/>
        <v>B9H0Axle Assembly Front</v>
      </c>
      <c r="R401" s="2" t="str">
        <f>New_Xref[[#This Row],[Serial Prefix]]&amp;IF(New_Xref[[#This Row],[Func Loc]]&lt;&gt;"",New_Xref[[#This Row],[Func Loc]],"NO MATCH")</f>
        <v>B9H0FDRV .AXAF</v>
      </c>
      <c r="S401" s="3" t="str">
        <f t="shared" si="47"/>
        <v>B9H0Axle Assembly Front</v>
      </c>
      <c r="T401" s="3" t="s">
        <v>351</v>
      </c>
      <c r="U401" s="3" t="s">
        <v>34</v>
      </c>
      <c r="V401" t="str">
        <f t="shared" si="48"/>
        <v>431300</v>
      </c>
    </row>
    <row r="402" spans="1:22">
      <c r="A402" t="s">
        <v>1648</v>
      </c>
      <c r="B402" t="s">
        <v>1657</v>
      </c>
      <c r="H402" t="s">
        <v>1777</v>
      </c>
      <c r="I402" t="s">
        <v>1778</v>
      </c>
      <c r="J402" t="s">
        <v>1779</v>
      </c>
      <c r="K402" t="s">
        <v>1780</v>
      </c>
      <c r="L402" t="s">
        <v>350</v>
      </c>
      <c r="M402" s="1" t="str">
        <f t="shared" si="42"/>
        <v>12D09</v>
      </c>
      <c r="N402" s="1" t="str">
        <f t="shared" si="43"/>
        <v>C/O</v>
      </c>
      <c r="O402" s="1" t="str">
        <f t="shared" si="44"/>
        <v>Axle Assembly Front</v>
      </c>
      <c r="P402" s="1" t="str">
        <f t="shared" si="45"/>
        <v>R9H0</v>
      </c>
      <c r="Q402" s="2" t="str">
        <f t="shared" si="46"/>
        <v>R9H0Axle Assembly Front</v>
      </c>
      <c r="R402" s="2" t="str">
        <f>New_Xref[[#This Row],[Serial Prefix]]&amp;IF(New_Xref[[#This Row],[Func Loc]]&lt;&gt;"",New_Xref[[#This Row],[Func Loc]],"NO MATCH")</f>
        <v>R9H0FDRV .AXAF</v>
      </c>
      <c r="S402" s="3" t="str">
        <f t="shared" si="47"/>
        <v>R9H0Axle Assembly Front</v>
      </c>
      <c r="T402" s="3" t="s">
        <v>351</v>
      </c>
      <c r="U402" s="3" t="s">
        <v>34</v>
      </c>
      <c r="V402" t="str">
        <f t="shared" si="48"/>
        <v>431300</v>
      </c>
    </row>
    <row r="403" spans="1:22">
      <c r="A403" t="s">
        <v>1648</v>
      </c>
      <c r="B403" t="s">
        <v>1781</v>
      </c>
      <c r="C403" t="s">
        <v>1782</v>
      </c>
      <c r="D403" t="s">
        <v>1783</v>
      </c>
      <c r="E403" t="s">
        <v>1784</v>
      </c>
      <c r="F403" t="s">
        <v>27</v>
      </c>
      <c r="G403">
        <v>1</v>
      </c>
      <c r="H403" t="s">
        <v>1785</v>
      </c>
      <c r="I403" t="s">
        <v>1786</v>
      </c>
      <c r="J403" t="s">
        <v>1787</v>
      </c>
      <c r="K403" t="s">
        <v>1786</v>
      </c>
      <c r="L403" t="s">
        <v>219</v>
      </c>
      <c r="M403" s="1" t="str">
        <f t="shared" si="42"/>
        <v>12H206</v>
      </c>
      <c r="N403" s="1" t="str">
        <f t="shared" si="43"/>
        <v>C/O</v>
      </c>
      <c r="O403" s="1" t="str">
        <f t="shared" si="44"/>
        <v>Implement Pump</v>
      </c>
      <c r="P403" s="1" t="str">
        <f t="shared" si="45"/>
        <v>B9H0</v>
      </c>
      <c r="Q403" s="2" t="str">
        <f t="shared" si="46"/>
        <v>B9H0Implement Pump</v>
      </c>
      <c r="R403" s="2" t="str">
        <f>New_Xref[[#This Row],[Serial Prefix]]&amp;IF(New_Xref[[#This Row],[Func Loc]]&lt;&gt;"",New_Xref[[#This Row],[Func Loc]],"NO MATCH")</f>
        <v>B9H0MYHD .PUMP.MAHP</v>
      </c>
      <c r="S403" s="3" t="str">
        <f t="shared" si="47"/>
        <v>B9H020R0010Implement Pump</v>
      </c>
      <c r="T403" s="3" t="s">
        <v>220</v>
      </c>
      <c r="U403" s="3" t="s">
        <v>34</v>
      </c>
      <c r="V403" t="str">
        <f t="shared" si="48"/>
        <v>507000</v>
      </c>
    </row>
    <row r="404" spans="1:22">
      <c r="A404" t="s">
        <v>1648</v>
      </c>
      <c r="B404" t="s">
        <v>1657</v>
      </c>
      <c r="C404" t="s">
        <v>1782</v>
      </c>
      <c r="D404" t="s">
        <v>1783</v>
      </c>
      <c r="E404" t="s">
        <v>1788</v>
      </c>
      <c r="F404" t="s">
        <v>27</v>
      </c>
      <c r="G404">
        <v>1</v>
      </c>
      <c r="H404" t="s">
        <v>1789</v>
      </c>
      <c r="I404" t="s">
        <v>1790</v>
      </c>
      <c r="J404" t="s">
        <v>1791</v>
      </c>
      <c r="K404" t="s">
        <v>1790</v>
      </c>
      <c r="L404" t="s">
        <v>83</v>
      </c>
      <c r="M404" s="1" t="str">
        <f t="shared" si="42"/>
        <v>12D09</v>
      </c>
      <c r="N404" s="1" t="str">
        <f t="shared" si="43"/>
        <v>C/O</v>
      </c>
      <c r="O404" s="1" t="str">
        <f t="shared" si="44"/>
        <v>Implement Pump</v>
      </c>
      <c r="P404" s="1" t="str">
        <f t="shared" si="45"/>
        <v>R9H0</v>
      </c>
      <c r="Q404" s="2" t="str">
        <f t="shared" si="46"/>
        <v>R9H0Implement Pump</v>
      </c>
      <c r="R404" s="2" t="str">
        <f>New_Xref[[#This Row],[Serial Prefix]]&amp;IF(New_Xref[[#This Row],[Func Loc]]&lt;&gt;"",New_Xref[[#This Row],[Func Loc]],"NO MATCH")</f>
        <v>R9H0NO MATCH</v>
      </c>
      <c r="S404" s="3" t="str">
        <f t="shared" si="47"/>
        <v>R9H020R0010Implement Pump</v>
      </c>
      <c r="T404" s="3" t="s">
        <v>220</v>
      </c>
      <c r="U404" s="3" t="s">
        <v>34</v>
      </c>
      <c r="V404" t="str">
        <f t="shared" si="48"/>
        <v>507000</v>
      </c>
    </row>
    <row r="405" spans="1:22">
      <c r="A405" t="s">
        <v>1648</v>
      </c>
      <c r="B405" t="s">
        <v>1669</v>
      </c>
      <c r="H405" t="s">
        <v>1792</v>
      </c>
      <c r="I405" t="s">
        <v>1793</v>
      </c>
      <c r="J405" t="s">
        <v>1794</v>
      </c>
      <c r="K405" t="s">
        <v>1793</v>
      </c>
      <c r="L405" t="s">
        <v>224</v>
      </c>
      <c r="M405" s="1" t="str">
        <f t="shared" si="42"/>
        <v>12D3</v>
      </c>
      <c r="N405" s="1" t="str">
        <f t="shared" si="43"/>
        <v>C/O</v>
      </c>
      <c r="O405" s="1" t="str">
        <f t="shared" si="44"/>
        <v>Blade Tilt Cylinder</v>
      </c>
      <c r="P405" s="1" t="str">
        <f t="shared" si="45"/>
        <v>B9H0</v>
      </c>
      <c r="Q405" s="2" t="str">
        <f t="shared" si="46"/>
        <v>B9H0Blade Tilt Cylinder</v>
      </c>
      <c r="R405" s="2" t="str">
        <f>New_Xref[[#This Row],[Serial Prefix]]&amp;IF(New_Xref[[#This Row],[Func Loc]]&lt;&gt;"",New_Xref[[#This Row],[Func Loc]],"NO MATCH")</f>
        <v>B9H0MYHD .CYLI.BLTI</v>
      </c>
      <c r="S405" s="3" t="str">
        <f t="shared" si="47"/>
        <v>B9H0Blade Tilt Cylinder</v>
      </c>
      <c r="T405" s="3" t="s">
        <v>225</v>
      </c>
      <c r="U405" s="3" t="s">
        <v>34</v>
      </c>
      <c r="V405" t="str">
        <f t="shared" si="48"/>
        <v>510600</v>
      </c>
    </row>
    <row r="406" spans="1:22">
      <c r="A406" t="s">
        <v>1648</v>
      </c>
      <c r="B406" t="s">
        <v>1657</v>
      </c>
      <c r="H406" t="s">
        <v>1795</v>
      </c>
      <c r="I406" t="s">
        <v>1796</v>
      </c>
      <c r="J406" t="s">
        <v>1797</v>
      </c>
      <c r="K406" t="s">
        <v>1796</v>
      </c>
      <c r="L406" t="s">
        <v>224</v>
      </c>
      <c r="M406" s="1" t="str">
        <f t="shared" si="42"/>
        <v>12D09</v>
      </c>
      <c r="N406" s="1" t="str">
        <f t="shared" si="43"/>
        <v>C/O</v>
      </c>
      <c r="O406" s="1" t="str">
        <f t="shared" si="44"/>
        <v>Blade Tilt Cylinder</v>
      </c>
      <c r="P406" s="1" t="str">
        <f t="shared" si="45"/>
        <v>R9H0</v>
      </c>
      <c r="Q406" s="2" t="str">
        <f t="shared" si="46"/>
        <v>R9H0Blade Tilt Cylinder</v>
      </c>
      <c r="R406" s="2" t="str">
        <f>New_Xref[[#This Row],[Serial Prefix]]&amp;IF(New_Xref[[#This Row],[Func Loc]]&lt;&gt;"",New_Xref[[#This Row],[Func Loc]],"NO MATCH")</f>
        <v>R9H0MYHD .CYLI.BLTI</v>
      </c>
      <c r="S406" s="3" t="str">
        <f t="shared" si="47"/>
        <v>R9H0Blade Tilt Cylinder</v>
      </c>
      <c r="T406" s="3" t="s">
        <v>225</v>
      </c>
      <c r="U406" s="3" t="s">
        <v>34</v>
      </c>
      <c r="V406" t="str">
        <f t="shared" si="48"/>
        <v>510600</v>
      </c>
    </row>
    <row r="407" spans="1:22">
      <c r="A407" t="s">
        <v>1648</v>
      </c>
      <c r="B407" t="s">
        <v>1798</v>
      </c>
      <c r="H407" t="s">
        <v>1799</v>
      </c>
      <c r="I407" t="s">
        <v>1800</v>
      </c>
      <c r="J407" t="s">
        <v>1801</v>
      </c>
      <c r="K407" t="s">
        <v>1800</v>
      </c>
      <c r="L407" t="s">
        <v>133</v>
      </c>
      <c r="M407" s="1" t="str">
        <f t="shared" si="42"/>
        <v>12R08</v>
      </c>
      <c r="N407" s="1" t="str">
        <f t="shared" si="43"/>
        <v>C/O</v>
      </c>
      <c r="O407" s="1" t="str">
        <f t="shared" si="44"/>
        <v>Blade Lift Cylinder RH</v>
      </c>
      <c r="P407" s="1" t="str">
        <f t="shared" si="45"/>
        <v>B9H0</v>
      </c>
      <c r="Q407" s="2" t="str">
        <f t="shared" si="46"/>
        <v>B9H0Blade Lift Cylinder RH</v>
      </c>
      <c r="R407" s="2" t="str">
        <f>New_Xref[[#This Row],[Serial Prefix]]&amp;IF(New_Xref[[#This Row],[Func Loc]]&lt;&gt;"",New_Xref[[#This Row],[Func Loc]],"NO MATCH")</f>
        <v>B9H0MYHD .CYLI.BLLR</v>
      </c>
      <c r="S407" s="3" t="str">
        <f t="shared" si="47"/>
        <v>B9H0Blade Lift Cylinder RH</v>
      </c>
      <c r="T407" s="3" t="s">
        <v>130</v>
      </c>
      <c r="U407" s="3" t="s">
        <v>115</v>
      </c>
      <c r="V407" t="str">
        <f t="shared" si="48"/>
        <v>5102RI</v>
      </c>
    </row>
    <row r="408" spans="1:22">
      <c r="A408" t="s">
        <v>1648</v>
      </c>
      <c r="B408" t="s">
        <v>1649</v>
      </c>
      <c r="H408" t="s">
        <v>1799</v>
      </c>
      <c r="I408" t="s">
        <v>1802</v>
      </c>
      <c r="J408" t="s">
        <v>1803</v>
      </c>
      <c r="K408" t="s">
        <v>1802</v>
      </c>
      <c r="L408" t="s">
        <v>129</v>
      </c>
      <c r="M408" s="1" t="str">
        <f t="shared" si="42"/>
        <v>12H130</v>
      </c>
      <c r="N408" s="1" t="str">
        <f t="shared" si="43"/>
        <v>C/O</v>
      </c>
      <c r="O408" s="1" t="str">
        <f t="shared" si="44"/>
        <v>Blade Lift Cylinder LH</v>
      </c>
      <c r="P408" s="1" t="str">
        <f t="shared" si="45"/>
        <v>B9H0</v>
      </c>
      <c r="Q408" s="2" t="str">
        <f t="shared" si="46"/>
        <v>B9H0Blade Lift Cylinder LH</v>
      </c>
      <c r="R408" s="2" t="str">
        <f>New_Xref[[#This Row],[Serial Prefix]]&amp;IF(New_Xref[[#This Row],[Func Loc]]&lt;&gt;"",New_Xref[[#This Row],[Func Loc]],"NO MATCH")</f>
        <v>B9H0MYHD .CYLI.BLLL</v>
      </c>
      <c r="S408" s="3" t="str">
        <f t="shared" si="47"/>
        <v>B9H0Blade Lift Cylinder LH</v>
      </c>
      <c r="T408" s="3" t="s">
        <v>130</v>
      </c>
      <c r="U408" s="3" t="s">
        <v>108</v>
      </c>
      <c r="V408" t="str">
        <f t="shared" si="48"/>
        <v>5102LT</v>
      </c>
    </row>
    <row r="409" spans="1:22">
      <c r="A409" t="s">
        <v>1648</v>
      </c>
      <c r="B409" t="s">
        <v>1804</v>
      </c>
      <c r="H409" t="s">
        <v>1805</v>
      </c>
      <c r="I409" t="s">
        <v>1806</v>
      </c>
      <c r="J409" t="s">
        <v>1807</v>
      </c>
      <c r="K409" t="s">
        <v>1806</v>
      </c>
      <c r="L409" t="s">
        <v>129</v>
      </c>
      <c r="M409" s="1" t="str">
        <f t="shared" si="42"/>
        <v>12H412</v>
      </c>
      <c r="N409" s="1" t="str">
        <f t="shared" si="43"/>
        <v>C/O</v>
      </c>
      <c r="O409" s="1" t="str">
        <f t="shared" si="44"/>
        <v>Blade Lift Cylinder LH</v>
      </c>
      <c r="P409" s="1" t="str">
        <f t="shared" si="45"/>
        <v>R9H0</v>
      </c>
      <c r="Q409" s="2" t="str">
        <f t="shared" si="46"/>
        <v>R9H0Blade Lift Cylinder LH</v>
      </c>
      <c r="R409" s="2" t="str">
        <f>New_Xref[[#This Row],[Serial Prefix]]&amp;IF(New_Xref[[#This Row],[Func Loc]]&lt;&gt;"",New_Xref[[#This Row],[Func Loc]],"NO MATCH")</f>
        <v>R9H0MYHD .CYLI.BLLL</v>
      </c>
      <c r="S409" s="3" t="str">
        <f t="shared" si="47"/>
        <v>R9H0Blade Lift Cylinder LH</v>
      </c>
      <c r="T409" s="3" t="s">
        <v>130</v>
      </c>
      <c r="U409" s="3" t="s">
        <v>108</v>
      </c>
      <c r="V409" t="str">
        <f t="shared" si="48"/>
        <v>5102LT</v>
      </c>
    </row>
    <row r="410" spans="1:22">
      <c r="A410" t="s">
        <v>1648</v>
      </c>
      <c r="B410" t="s">
        <v>1665</v>
      </c>
      <c r="H410" t="s">
        <v>1805</v>
      </c>
      <c r="I410" t="s">
        <v>1808</v>
      </c>
      <c r="J410" t="s">
        <v>1809</v>
      </c>
      <c r="K410" t="s">
        <v>1808</v>
      </c>
      <c r="L410" t="s">
        <v>133</v>
      </c>
      <c r="M410" s="1" t="str">
        <f t="shared" si="42"/>
        <v>12H423</v>
      </c>
      <c r="N410" s="1" t="str">
        <f t="shared" si="43"/>
        <v>C/O</v>
      </c>
      <c r="O410" s="1" t="str">
        <f t="shared" si="44"/>
        <v>Blade Lift Cylinder RH</v>
      </c>
      <c r="P410" s="1" t="str">
        <f t="shared" si="45"/>
        <v>R9H0</v>
      </c>
      <c r="Q410" s="2" t="str">
        <f t="shared" si="46"/>
        <v>R9H0Blade Lift Cylinder RH</v>
      </c>
      <c r="R410" s="2" t="str">
        <f>New_Xref[[#This Row],[Serial Prefix]]&amp;IF(New_Xref[[#This Row],[Func Loc]]&lt;&gt;"",New_Xref[[#This Row],[Func Loc]],"NO MATCH")</f>
        <v>R9H0MYHD .CYLI.BLLR</v>
      </c>
      <c r="S410" s="3" t="str">
        <f t="shared" si="47"/>
        <v>R9H0Blade Lift Cylinder RH</v>
      </c>
      <c r="T410" s="3" t="s">
        <v>130</v>
      </c>
      <c r="U410" s="3" t="s">
        <v>115</v>
      </c>
      <c r="V410" t="str">
        <f t="shared" si="48"/>
        <v>5102RI</v>
      </c>
    </row>
    <row r="411" spans="1:22">
      <c r="A411" t="s">
        <v>1648</v>
      </c>
      <c r="B411" t="s">
        <v>1781</v>
      </c>
      <c r="C411" t="s">
        <v>134</v>
      </c>
      <c r="D411" t="s">
        <v>135</v>
      </c>
      <c r="E411" t="s">
        <v>136</v>
      </c>
      <c r="F411" t="s">
        <v>125</v>
      </c>
      <c r="G411">
        <v>1</v>
      </c>
      <c r="H411" t="s">
        <v>1810</v>
      </c>
      <c r="I411" t="s">
        <v>1811</v>
      </c>
      <c r="J411" t="s">
        <v>1812</v>
      </c>
      <c r="K411" t="s">
        <v>1811</v>
      </c>
      <c r="L411" t="s">
        <v>140</v>
      </c>
      <c r="M411" s="1" t="str">
        <f t="shared" si="42"/>
        <v>12H206</v>
      </c>
      <c r="N411" s="1" t="str">
        <f t="shared" si="43"/>
        <v>C/O</v>
      </c>
      <c r="O411" s="1" t="str">
        <f t="shared" si="44"/>
        <v>Circle Drive Gearbox</v>
      </c>
      <c r="P411" s="1" t="str">
        <f t="shared" si="45"/>
        <v>B9H0</v>
      </c>
      <c r="Q411" s="2" t="str">
        <f t="shared" si="46"/>
        <v>B9H0Circle Drive Gearbox</v>
      </c>
      <c r="R411" s="2" t="str">
        <f>New_Xref[[#This Row],[Serial Prefix]]&amp;IF(New_Xref[[#This Row],[Func Loc]]&lt;&gt;"",New_Xref[[#This Row],[Func Loc]],"NO MATCH")</f>
        <v>B9H0STRU .CHAS.CDGB</v>
      </c>
      <c r="S411" s="3" t="str">
        <f t="shared" si="47"/>
        <v>B9H04827762XCircle Drive Gearbox</v>
      </c>
      <c r="T411" s="3" t="s">
        <v>141</v>
      </c>
      <c r="U411" s="3" t="s">
        <v>34</v>
      </c>
      <c r="V411" t="str">
        <f t="shared" si="48"/>
        <v>520700</v>
      </c>
    </row>
    <row r="412" spans="1:22">
      <c r="A412" t="s">
        <v>1648</v>
      </c>
      <c r="B412" t="s">
        <v>1781</v>
      </c>
      <c r="C412" t="s">
        <v>134</v>
      </c>
      <c r="D412" t="s">
        <v>135</v>
      </c>
      <c r="E412" t="s">
        <v>136</v>
      </c>
      <c r="F412" t="s">
        <v>125</v>
      </c>
      <c r="G412">
        <v>1</v>
      </c>
      <c r="H412" t="s">
        <v>1810</v>
      </c>
      <c r="I412" t="s">
        <v>1811</v>
      </c>
      <c r="J412" t="s">
        <v>1812</v>
      </c>
      <c r="K412" t="s">
        <v>1811</v>
      </c>
      <c r="L412" t="s">
        <v>140</v>
      </c>
      <c r="M412" s="1" t="str">
        <f t="shared" si="42"/>
        <v>12H206</v>
      </c>
      <c r="N412" s="1" t="str">
        <f t="shared" si="43"/>
        <v>C/O</v>
      </c>
      <c r="O412" s="1" t="str">
        <f t="shared" si="44"/>
        <v>Circle Drive Gearbox</v>
      </c>
      <c r="P412" s="1" t="str">
        <f t="shared" si="45"/>
        <v>B9H0</v>
      </c>
      <c r="Q412" s="2" t="str">
        <f t="shared" si="46"/>
        <v>B9H0Circle Drive Gearbox</v>
      </c>
      <c r="R412" s="2" t="str">
        <f>New_Xref[[#This Row],[Serial Prefix]]&amp;IF(New_Xref[[#This Row],[Func Loc]]&lt;&gt;"",New_Xref[[#This Row],[Func Loc]],"NO MATCH")</f>
        <v>B9H0STRU .CHAS.CDGB</v>
      </c>
      <c r="S412" s="3" t="str">
        <f t="shared" si="47"/>
        <v>B9H04827762XCircle Drive Gearbox</v>
      </c>
      <c r="T412" s="3" t="s">
        <v>141</v>
      </c>
      <c r="U412" s="3" t="s">
        <v>34</v>
      </c>
      <c r="V412" t="str">
        <f t="shared" si="48"/>
        <v>520700</v>
      </c>
    </row>
    <row r="413" spans="1:22">
      <c r="A413" t="s">
        <v>1648</v>
      </c>
      <c r="B413" t="s">
        <v>1657</v>
      </c>
      <c r="C413" t="s">
        <v>134</v>
      </c>
      <c r="D413" t="s">
        <v>135</v>
      </c>
      <c r="E413" t="s">
        <v>136</v>
      </c>
      <c r="F413" t="s">
        <v>125</v>
      </c>
      <c r="G413">
        <v>1</v>
      </c>
      <c r="H413" t="s">
        <v>1810</v>
      </c>
      <c r="I413" t="s">
        <v>1813</v>
      </c>
      <c r="J413" t="s">
        <v>1814</v>
      </c>
      <c r="K413" t="s">
        <v>1813</v>
      </c>
      <c r="L413" t="s">
        <v>140</v>
      </c>
      <c r="M413" s="1" t="str">
        <f t="shared" si="42"/>
        <v>12D09</v>
      </c>
      <c r="N413" s="1" t="str">
        <f t="shared" si="43"/>
        <v>C/O</v>
      </c>
      <c r="O413" s="1" t="str">
        <f t="shared" si="44"/>
        <v>Circle Drive Gearbox</v>
      </c>
      <c r="P413" s="1" t="str">
        <f t="shared" si="45"/>
        <v>R9H0</v>
      </c>
      <c r="Q413" s="2" t="str">
        <f t="shared" si="46"/>
        <v>R9H0Circle Drive Gearbox</v>
      </c>
      <c r="R413" s="2" t="str">
        <f>New_Xref[[#This Row],[Serial Prefix]]&amp;IF(New_Xref[[#This Row],[Func Loc]]&lt;&gt;"",New_Xref[[#This Row],[Func Loc]],"NO MATCH")</f>
        <v>R9H0STRU .CHAS.CDGB</v>
      </c>
      <c r="S413" s="3" t="str">
        <f t="shared" si="47"/>
        <v>R9H04827762XCircle Drive Gearbox</v>
      </c>
      <c r="T413" s="3" t="s">
        <v>141</v>
      </c>
      <c r="U413" s="3" t="s">
        <v>34</v>
      </c>
      <c r="V413" t="str">
        <f t="shared" si="48"/>
        <v>520700</v>
      </c>
    </row>
    <row r="414" spans="1:22">
      <c r="A414" t="s">
        <v>1648</v>
      </c>
      <c r="B414" t="s">
        <v>1669</v>
      </c>
      <c r="H414" t="s">
        <v>1815</v>
      </c>
      <c r="I414" t="s">
        <v>1816</v>
      </c>
      <c r="J414" t="s">
        <v>1817</v>
      </c>
      <c r="K414" t="s">
        <v>1816</v>
      </c>
      <c r="L414" t="s">
        <v>1638</v>
      </c>
      <c r="M414" s="1" t="str">
        <f t="shared" si="42"/>
        <v>12D3</v>
      </c>
      <c r="N414" s="1" t="str">
        <f t="shared" si="43"/>
        <v>C/O</v>
      </c>
      <c r="O414" s="1" t="str">
        <f t="shared" si="44"/>
        <v>Wheel Lean Cylinder</v>
      </c>
      <c r="P414" s="1" t="str">
        <f t="shared" si="45"/>
        <v>B9H0</v>
      </c>
      <c r="Q414" s="2" t="str">
        <f t="shared" si="46"/>
        <v>B9H0Wheel Lean Cylinder</v>
      </c>
      <c r="R414" s="2" t="str">
        <f>New_Xref[[#This Row],[Serial Prefix]]&amp;IF(New_Xref[[#This Row],[Func Loc]]&lt;&gt;"",New_Xref[[#This Row],[Func Loc]],"NO MATCH")</f>
        <v>B9H0MYHD .CYLI.WHLE</v>
      </c>
      <c r="S414" s="3" t="str">
        <f t="shared" si="47"/>
        <v>B9H0Wheel Lean Cylinder</v>
      </c>
      <c r="T414" s="3" t="s">
        <v>1639</v>
      </c>
      <c r="U414" s="3" t="s">
        <v>34</v>
      </c>
      <c r="V414" t="str">
        <f t="shared" si="48"/>
        <v>521100</v>
      </c>
    </row>
    <row r="415" spans="1:22">
      <c r="A415" t="s">
        <v>1648</v>
      </c>
      <c r="B415" t="s">
        <v>1657</v>
      </c>
      <c r="H415" t="s">
        <v>1818</v>
      </c>
      <c r="I415" t="s">
        <v>1819</v>
      </c>
      <c r="J415" t="s">
        <v>1820</v>
      </c>
      <c r="K415" t="s">
        <v>1819</v>
      </c>
      <c r="L415" t="s">
        <v>1638</v>
      </c>
      <c r="M415" s="1" t="str">
        <f t="shared" si="42"/>
        <v>12D09</v>
      </c>
      <c r="N415" s="1" t="str">
        <f t="shared" si="43"/>
        <v>C/O</v>
      </c>
      <c r="O415" s="1" t="str">
        <f t="shared" si="44"/>
        <v>Wheel Lean Cylinder</v>
      </c>
      <c r="P415" s="1" t="str">
        <f t="shared" si="45"/>
        <v>R9H0</v>
      </c>
      <c r="Q415" s="2" t="str">
        <f t="shared" si="46"/>
        <v>R9H0Wheel Lean Cylinder</v>
      </c>
      <c r="R415" s="2" t="str">
        <f>New_Xref[[#This Row],[Serial Prefix]]&amp;IF(New_Xref[[#This Row],[Func Loc]]&lt;&gt;"",New_Xref[[#This Row],[Func Loc]],"NO MATCH")</f>
        <v>R9H0MYHD .CYLI.WHLE</v>
      </c>
      <c r="S415" s="3" t="str">
        <f t="shared" si="47"/>
        <v>R9H0Wheel Lean Cylinder</v>
      </c>
      <c r="T415" s="3" t="s">
        <v>1639</v>
      </c>
      <c r="U415" s="3" t="s">
        <v>34</v>
      </c>
      <c r="V415" t="str">
        <f t="shared" si="48"/>
        <v>521100</v>
      </c>
    </row>
    <row r="416" spans="1:22">
      <c r="A416" t="s">
        <v>1648</v>
      </c>
      <c r="B416" t="s">
        <v>1821</v>
      </c>
      <c r="H416" t="s">
        <v>1822</v>
      </c>
      <c r="I416" t="s">
        <v>1823</v>
      </c>
      <c r="J416" t="s">
        <v>1824</v>
      </c>
      <c r="K416" t="s">
        <v>1823</v>
      </c>
      <c r="L416" t="s">
        <v>232</v>
      </c>
      <c r="M416" s="1" t="str">
        <f t="shared" si="42"/>
        <v>12R07</v>
      </c>
      <c r="N416" s="1" t="str">
        <f t="shared" si="43"/>
        <v>C/O</v>
      </c>
      <c r="O416" s="1" t="str">
        <f t="shared" si="44"/>
        <v>Centreshift Cylinder</v>
      </c>
      <c r="P416" s="1" t="str">
        <f t="shared" si="45"/>
        <v>B9H0</v>
      </c>
      <c r="Q416" s="2" t="str">
        <f t="shared" si="46"/>
        <v>B9H0Centreshift Cylinder</v>
      </c>
      <c r="R416" s="2" t="str">
        <f>New_Xref[[#This Row],[Serial Prefix]]&amp;IF(New_Xref[[#This Row],[Func Loc]]&lt;&gt;"",New_Xref[[#This Row],[Func Loc]],"NO MATCH")</f>
        <v>B9H0MYHD .CYLI.CENT</v>
      </c>
      <c r="S416" s="3" t="str">
        <f t="shared" si="47"/>
        <v>B9H0Centreshift Cylinder</v>
      </c>
      <c r="T416" s="3" t="s">
        <v>233</v>
      </c>
      <c r="U416" s="3" t="s">
        <v>34</v>
      </c>
      <c r="V416" t="str">
        <f t="shared" si="48"/>
        <v>522300</v>
      </c>
    </row>
    <row r="417" spans="1:22">
      <c r="A417" t="s">
        <v>1648</v>
      </c>
      <c r="B417" t="s">
        <v>1665</v>
      </c>
      <c r="H417" t="s">
        <v>1825</v>
      </c>
      <c r="I417" t="s">
        <v>1826</v>
      </c>
      <c r="J417" t="s">
        <v>1827</v>
      </c>
      <c r="K417" t="s">
        <v>1826</v>
      </c>
      <c r="L417" t="s">
        <v>232</v>
      </c>
      <c r="M417" s="1" t="str">
        <f t="shared" si="42"/>
        <v>12H423</v>
      </c>
      <c r="N417" s="1" t="str">
        <f t="shared" si="43"/>
        <v>C/O</v>
      </c>
      <c r="O417" s="1" t="str">
        <f t="shared" si="44"/>
        <v>Centreshift Cylinder</v>
      </c>
      <c r="P417" s="1" t="str">
        <f t="shared" si="45"/>
        <v>R9H0</v>
      </c>
      <c r="Q417" s="2" t="str">
        <f t="shared" si="46"/>
        <v>R9H0Centreshift Cylinder</v>
      </c>
      <c r="R417" s="2" t="str">
        <f>New_Xref[[#This Row],[Serial Prefix]]&amp;IF(New_Xref[[#This Row],[Func Loc]]&lt;&gt;"",New_Xref[[#This Row],[Func Loc]],"NO MATCH")</f>
        <v>R9H0MYHD .CYLI.CENT</v>
      </c>
      <c r="S417" s="3" t="str">
        <f t="shared" si="47"/>
        <v>R9H0Centreshift Cylinder</v>
      </c>
      <c r="T417" s="3" t="s">
        <v>233</v>
      </c>
      <c r="U417" s="3" t="s">
        <v>34</v>
      </c>
      <c r="V417" t="str">
        <f t="shared" si="48"/>
        <v>522300</v>
      </c>
    </row>
    <row r="418" spans="1:22">
      <c r="A418" t="s">
        <v>1648</v>
      </c>
      <c r="B418" t="s">
        <v>1821</v>
      </c>
      <c r="H418" t="s">
        <v>1828</v>
      </c>
      <c r="I418" t="s">
        <v>1829</v>
      </c>
      <c r="J418" t="s">
        <v>1830</v>
      </c>
      <c r="K418" t="s">
        <v>1829</v>
      </c>
      <c r="L418" t="s">
        <v>149</v>
      </c>
      <c r="M418" s="1" t="str">
        <f t="shared" si="42"/>
        <v>12R07</v>
      </c>
      <c r="N418" s="1" t="str">
        <f t="shared" si="43"/>
        <v>C/O</v>
      </c>
      <c r="O418" s="1" t="str">
        <f t="shared" si="44"/>
        <v>Articulation Cylinder RH</v>
      </c>
      <c r="P418" s="1" t="str">
        <f t="shared" si="45"/>
        <v>B9H0</v>
      </c>
      <c r="Q418" s="2" t="str">
        <f t="shared" si="46"/>
        <v>B9H0Articulation Cylinder RH</v>
      </c>
      <c r="R418" s="2" t="str">
        <f>New_Xref[[#This Row],[Serial Prefix]]&amp;IF(New_Xref[[#This Row],[Func Loc]]&lt;&gt;"",New_Xref[[#This Row],[Func Loc]],"NO MATCH")</f>
        <v>B9H0MYHD .CYLI.ARTR</v>
      </c>
      <c r="S418" s="3" t="str">
        <f t="shared" si="47"/>
        <v>B9H0Articulation Cylinder RH</v>
      </c>
      <c r="T418" s="3" t="s">
        <v>146</v>
      </c>
      <c r="U418" s="3" t="s">
        <v>115</v>
      </c>
      <c r="V418" t="str">
        <f t="shared" si="48"/>
        <v>5265RI</v>
      </c>
    </row>
    <row r="419" spans="1:22">
      <c r="A419" t="s">
        <v>1648</v>
      </c>
      <c r="B419" t="s">
        <v>1821</v>
      </c>
      <c r="H419" t="s">
        <v>1831</v>
      </c>
      <c r="I419" t="s">
        <v>1832</v>
      </c>
      <c r="J419" t="s">
        <v>1833</v>
      </c>
      <c r="K419" t="s">
        <v>1832</v>
      </c>
      <c r="L419" t="s">
        <v>145</v>
      </c>
      <c r="M419" s="1" t="str">
        <f t="shared" si="42"/>
        <v>12R07</v>
      </c>
      <c r="N419" s="1" t="str">
        <f t="shared" si="43"/>
        <v>C/O</v>
      </c>
      <c r="O419" s="1" t="str">
        <f t="shared" si="44"/>
        <v>Articulation Cylinder LH</v>
      </c>
      <c r="P419" s="1" t="str">
        <f t="shared" si="45"/>
        <v>B9H0</v>
      </c>
      <c r="Q419" s="2" t="str">
        <f t="shared" si="46"/>
        <v>B9H0Articulation Cylinder LH</v>
      </c>
      <c r="R419" s="2" t="str">
        <f>New_Xref[[#This Row],[Serial Prefix]]&amp;IF(New_Xref[[#This Row],[Func Loc]]&lt;&gt;"",New_Xref[[#This Row],[Func Loc]],"NO MATCH")</f>
        <v>B9H0MYHD .CYLI.ARTL</v>
      </c>
      <c r="S419" s="3" t="str">
        <f t="shared" si="47"/>
        <v>B9H0Articulation Cylinder LH</v>
      </c>
      <c r="T419" s="3" t="s">
        <v>146</v>
      </c>
      <c r="U419" s="3" t="s">
        <v>108</v>
      </c>
      <c r="V419" t="str">
        <f t="shared" si="48"/>
        <v>5265LT</v>
      </c>
    </row>
    <row r="420" spans="1:22">
      <c r="A420" t="s">
        <v>1648</v>
      </c>
      <c r="B420" t="s">
        <v>1657</v>
      </c>
      <c r="H420" t="s">
        <v>1834</v>
      </c>
      <c r="I420" t="s">
        <v>1835</v>
      </c>
      <c r="J420" t="s">
        <v>1836</v>
      </c>
      <c r="K420" t="s">
        <v>1835</v>
      </c>
      <c r="L420" t="s">
        <v>145</v>
      </c>
      <c r="M420" s="1" t="str">
        <f t="shared" si="42"/>
        <v>12D09</v>
      </c>
      <c r="N420" s="1" t="str">
        <f t="shared" si="43"/>
        <v>C/O</v>
      </c>
      <c r="O420" s="1" t="str">
        <f t="shared" si="44"/>
        <v>Articulation Cylinder LH</v>
      </c>
      <c r="P420" s="1" t="str">
        <f t="shared" si="45"/>
        <v>R9H0</v>
      </c>
      <c r="Q420" s="2" t="str">
        <f t="shared" si="46"/>
        <v>R9H0Articulation Cylinder LH</v>
      </c>
      <c r="R420" s="2" t="str">
        <f>New_Xref[[#This Row],[Serial Prefix]]&amp;IF(New_Xref[[#This Row],[Func Loc]]&lt;&gt;"",New_Xref[[#This Row],[Func Loc]],"NO MATCH")</f>
        <v>R9H0MYHD .CYLI.ARTL</v>
      </c>
      <c r="S420" s="3" t="str">
        <f t="shared" si="47"/>
        <v>R9H0Articulation Cylinder LH</v>
      </c>
      <c r="T420" s="3" t="s">
        <v>146</v>
      </c>
      <c r="U420" s="3" t="s">
        <v>108</v>
      </c>
      <c r="V420" t="str">
        <f t="shared" si="48"/>
        <v>5265LT</v>
      </c>
    </row>
    <row r="421" spans="1:22">
      <c r="A421" t="s">
        <v>1648</v>
      </c>
      <c r="B421" t="s">
        <v>1657</v>
      </c>
      <c r="H421" t="s">
        <v>1837</v>
      </c>
      <c r="I421" t="s">
        <v>1838</v>
      </c>
      <c r="J421" t="s">
        <v>1839</v>
      </c>
      <c r="K421" t="s">
        <v>1838</v>
      </c>
      <c r="L421" t="s">
        <v>149</v>
      </c>
      <c r="M421" s="1" t="str">
        <f t="shared" si="42"/>
        <v>12D09</v>
      </c>
      <c r="N421" s="1" t="str">
        <f t="shared" si="43"/>
        <v>C/O</v>
      </c>
      <c r="O421" s="1" t="str">
        <f t="shared" si="44"/>
        <v>Articulation Cylinder RH</v>
      </c>
      <c r="P421" s="1" t="str">
        <f t="shared" si="45"/>
        <v>R9H0</v>
      </c>
      <c r="Q421" s="2" t="str">
        <f t="shared" si="46"/>
        <v>R9H0Articulation Cylinder RH</v>
      </c>
      <c r="R421" s="2" t="str">
        <f>New_Xref[[#This Row],[Serial Prefix]]&amp;IF(New_Xref[[#This Row],[Func Loc]]&lt;&gt;"",New_Xref[[#This Row],[Func Loc]],"NO MATCH")</f>
        <v>R9H0MYHD .CYLI.ARTR</v>
      </c>
      <c r="S421" s="3" t="str">
        <f t="shared" si="47"/>
        <v>R9H0Articulation Cylinder RH</v>
      </c>
      <c r="T421" s="3" t="s">
        <v>146</v>
      </c>
      <c r="U421" s="3" t="s">
        <v>115</v>
      </c>
      <c r="V421" t="str">
        <f t="shared" si="48"/>
        <v>5265RI</v>
      </c>
    </row>
    <row r="422" spans="1:22">
      <c r="A422" t="s">
        <v>1648</v>
      </c>
      <c r="B422" t="s">
        <v>1649</v>
      </c>
      <c r="H422" t="s">
        <v>1840</v>
      </c>
      <c r="I422" t="s">
        <v>1841</v>
      </c>
      <c r="J422" t="s">
        <v>1842</v>
      </c>
      <c r="K422" t="s">
        <v>1841</v>
      </c>
      <c r="L422" t="s">
        <v>245</v>
      </c>
      <c r="M422" s="1" t="str">
        <f t="shared" si="42"/>
        <v>12H130</v>
      </c>
      <c r="N422" s="1" t="str">
        <f t="shared" si="43"/>
        <v>C/O</v>
      </c>
      <c r="O422" s="1" t="str">
        <f t="shared" si="44"/>
        <v>Ripper Lift Cylinder</v>
      </c>
      <c r="P422" s="1" t="str">
        <f t="shared" si="45"/>
        <v>B9H0</v>
      </c>
      <c r="Q422" s="2" t="str">
        <f t="shared" si="46"/>
        <v>B9H0Ripper Lift Cylinder</v>
      </c>
      <c r="R422" s="2" t="str">
        <f>New_Xref[[#This Row],[Serial Prefix]]&amp;IF(New_Xref[[#This Row],[Func Loc]]&lt;&gt;"",New_Xref[[#This Row],[Func Loc]],"NO MATCH")</f>
        <v>B9H0MYHD .CYLI.RILI</v>
      </c>
      <c r="S422" s="3" t="str">
        <f t="shared" si="47"/>
        <v>B9H0Ripper Lift Cylinder</v>
      </c>
      <c r="T422" s="3" t="s">
        <v>246</v>
      </c>
      <c r="U422" s="3" t="s">
        <v>34</v>
      </c>
      <c r="V422" t="str">
        <f t="shared" si="48"/>
        <v>535200</v>
      </c>
    </row>
    <row r="423" spans="1:22">
      <c r="A423" t="s">
        <v>1648</v>
      </c>
      <c r="B423" t="s">
        <v>1657</v>
      </c>
      <c r="H423" t="s">
        <v>1843</v>
      </c>
      <c r="I423" t="s">
        <v>1844</v>
      </c>
      <c r="J423" t="s">
        <v>1845</v>
      </c>
      <c r="K423" t="s">
        <v>1844</v>
      </c>
      <c r="L423" t="s">
        <v>245</v>
      </c>
      <c r="M423" s="1" t="str">
        <f t="shared" si="42"/>
        <v>12D09</v>
      </c>
      <c r="N423" s="1" t="str">
        <f t="shared" si="43"/>
        <v>C/O</v>
      </c>
      <c r="O423" s="1" t="str">
        <f t="shared" si="44"/>
        <v>Ripper Lift Cylinder</v>
      </c>
      <c r="P423" s="1" t="str">
        <f t="shared" si="45"/>
        <v>R9H0</v>
      </c>
      <c r="Q423" s="2" t="str">
        <f t="shared" si="46"/>
        <v>R9H0Ripper Lift Cylinder</v>
      </c>
      <c r="R423" s="2" t="str">
        <f>New_Xref[[#This Row],[Serial Prefix]]&amp;IF(New_Xref[[#This Row],[Func Loc]]&lt;&gt;"",New_Xref[[#This Row],[Func Loc]],"NO MATCH")</f>
        <v>R9H0MYHD .CYLI.RILI</v>
      </c>
      <c r="S423" s="3" t="str">
        <f t="shared" si="47"/>
        <v>R9H0Ripper Lift Cylinder</v>
      </c>
      <c r="T423" s="3" t="s">
        <v>246</v>
      </c>
      <c r="U423" s="3" t="s">
        <v>34</v>
      </c>
      <c r="V423" t="str">
        <f t="shared" si="48"/>
        <v>535200</v>
      </c>
    </row>
    <row r="424" spans="1:22">
      <c r="A424" t="s">
        <v>1648</v>
      </c>
      <c r="B424" t="s">
        <v>1762</v>
      </c>
      <c r="H424" t="s">
        <v>1846</v>
      </c>
      <c r="I424" t="s">
        <v>1847</v>
      </c>
      <c r="J424" t="s">
        <v>1848</v>
      </c>
      <c r="K424" t="s">
        <v>1847</v>
      </c>
      <c r="L424" t="s">
        <v>250</v>
      </c>
      <c r="M424" s="1" t="str">
        <f t="shared" si="42"/>
        <v>12H207</v>
      </c>
      <c r="N424" s="1" t="str">
        <f t="shared" si="43"/>
        <v>C/O</v>
      </c>
      <c r="O424" s="1" t="str">
        <f t="shared" si="44"/>
        <v>Blade Sideshift Cylinder</v>
      </c>
      <c r="P424" s="1" t="str">
        <f t="shared" si="45"/>
        <v>B9H0</v>
      </c>
      <c r="Q424" s="2" t="str">
        <f t="shared" si="46"/>
        <v>B9H0Blade Sideshift Cylinder</v>
      </c>
      <c r="R424" s="2" t="str">
        <f>New_Xref[[#This Row],[Serial Prefix]]&amp;IF(New_Xref[[#This Row],[Func Loc]]&lt;&gt;"",New_Xref[[#This Row],[Func Loc]],"NO MATCH")</f>
        <v>B9H0MYHD .CYLI.BLSI</v>
      </c>
      <c r="S424" s="3" t="str">
        <f t="shared" si="47"/>
        <v>B9H0Blade Sideshift Cylinder</v>
      </c>
      <c r="T424" s="3" t="s">
        <v>251</v>
      </c>
      <c r="U424" s="3" t="s">
        <v>34</v>
      </c>
      <c r="V424" t="str">
        <f t="shared" si="48"/>
        <v>580400</v>
      </c>
    </row>
    <row r="425" spans="1:22">
      <c r="A425" t="s">
        <v>1648</v>
      </c>
      <c r="B425" t="s">
        <v>1849</v>
      </c>
      <c r="H425" t="s">
        <v>1850</v>
      </c>
      <c r="I425" t="s">
        <v>1851</v>
      </c>
      <c r="J425" t="s">
        <v>1852</v>
      </c>
      <c r="K425" t="s">
        <v>1851</v>
      </c>
      <c r="L425" t="s">
        <v>250</v>
      </c>
      <c r="M425" s="1" t="str">
        <f t="shared" si="42"/>
        <v>12D11</v>
      </c>
      <c r="N425" s="1" t="str">
        <f t="shared" si="43"/>
        <v>C/O</v>
      </c>
      <c r="O425" s="1" t="str">
        <f t="shared" si="44"/>
        <v>Blade Sideshift Cylinder</v>
      </c>
      <c r="P425" s="1" t="str">
        <f t="shared" si="45"/>
        <v>R9H0</v>
      </c>
      <c r="Q425" s="2" t="str">
        <f t="shared" si="46"/>
        <v>R9H0Blade Sideshift Cylinder</v>
      </c>
      <c r="R425" s="2" t="str">
        <f>New_Xref[[#This Row],[Serial Prefix]]&amp;IF(New_Xref[[#This Row],[Func Loc]]&lt;&gt;"",New_Xref[[#This Row],[Func Loc]],"NO MATCH")</f>
        <v>R9H0MYHD .CYLI.BLSI</v>
      </c>
      <c r="S425" s="3" t="str">
        <f t="shared" si="47"/>
        <v>R9H0Blade Sideshift Cylinder</v>
      </c>
      <c r="T425" s="3" t="s">
        <v>251</v>
      </c>
      <c r="U425" s="3" t="s">
        <v>34</v>
      </c>
      <c r="V425" t="str">
        <f t="shared" si="48"/>
        <v>580400</v>
      </c>
    </row>
    <row r="426" spans="1:22">
      <c r="A426" t="s">
        <v>1853</v>
      </c>
      <c r="B426" t="s">
        <v>1854</v>
      </c>
      <c r="H426" t="s">
        <v>1855</v>
      </c>
      <c r="I426" t="s">
        <v>1856</v>
      </c>
      <c r="J426" t="s">
        <v>1857</v>
      </c>
      <c r="K426" t="s">
        <v>1858</v>
      </c>
      <c r="L426" t="s">
        <v>32</v>
      </c>
      <c r="M426" s="1" t="str">
        <f t="shared" si="42"/>
        <v>12R05</v>
      </c>
      <c r="N426" s="1" t="str">
        <f t="shared" si="43"/>
        <v>C/O</v>
      </c>
      <c r="O426" s="1" t="str">
        <f t="shared" si="44"/>
        <v>Engine</v>
      </c>
      <c r="P426" s="1" t="str">
        <f t="shared" si="45"/>
        <v>7KK0</v>
      </c>
      <c r="Q426" s="2" t="str">
        <f t="shared" si="46"/>
        <v>7KK0Engine</v>
      </c>
      <c r="R426" s="2" t="str">
        <f>New_Xref[[#This Row],[Serial Prefix]]&amp;IF(New_Xref[[#This Row],[Func Loc]]&lt;&gt;"",New_Xref[[#This Row],[Func Loc]],"NO MATCH")</f>
        <v>7KK0ENGD</v>
      </c>
      <c r="S426" s="3" t="str">
        <f t="shared" si="47"/>
        <v>7KK0Engine</v>
      </c>
      <c r="T426" s="3" t="s">
        <v>33</v>
      </c>
      <c r="U426" s="3" t="s">
        <v>34</v>
      </c>
      <c r="V426" t="str">
        <f t="shared" si="48"/>
        <v>100000</v>
      </c>
    </row>
    <row r="427" spans="1:22">
      <c r="A427" t="s">
        <v>1853</v>
      </c>
      <c r="B427" t="s">
        <v>1854</v>
      </c>
      <c r="C427" t="s">
        <v>1859</v>
      </c>
      <c r="D427" t="s">
        <v>1860</v>
      </c>
      <c r="E427" t="s">
        <v>263</v>
      </c>
      <c r="F427" t="s">
        <v>27</v>
      </c>
      <c r="G427">
        <v>1</v>
      </c>
      <c r="H427" t="s">
        <v>1861</v>
      </c>
      <c r="I427" t="s">
        <v>1856</v>
      </c>
      <c r="J427" t="s">
        <v>1862</v>
      </c>
      <c r="K427" t="s">
        <v>1863</v>
      </c>
      <c r="L427" t="s">
        <v>719</v>
      </c>
      <c r="M427" s="1" t="str">
        <f t="shared" si="42"/>
        <v>12R05</v>
      </c>
      <c r="N427" s="1" t="str">
        <f t="shared" si="43"/>
        <v>C/O</v>
      </c>
      <c r="O427" s="1" t="str">
        <f t="shared" si="44"/>
        <v>Turbocharger</v>
      </c>
      <c r="P427" s="1" t="str">
        <f t="shared" si="45"/>
        <v>7KK0</v>
      </c>
      <c r="Q427" s="2" t="str">
        <f t="shared" si="46"/>
        <v>7KK0Turbocharger</v>
      </c>
      <c r="R427" s="2" t="str">
        <f>New_Xref[[#This Row],[Serial Prefix]]&amp;IF(New_Xref[[#This Row],[Func Loc]]&lt;&gt;"",New_Xref[[#This Row],[Func Loc]],"NO MATCH")</f>
        <v>7KK0ENGD .TURB.TC01</v>
      </c>
      <c r="S427" s="3" t="str">
        <f t="shared" si="47"/>
        <v>7KK00R7078Turbocharger</v>
      </c>
      <c r="T427" s="3" t="s">
        <v>47</v>
      </c>
      <c r="U427" s="3" t="s">
        <v>34</v>
      </c>
      <c r="V427" t="str">
        <f t="shared" si="48"/>
        <v>105200</v>
      </c>
    </row>
    <row r="428" spans="1:22">
      <c r="A428" t="s">
        <v>1853</v>
      </c>
      <c r="B428" t="s">
        <v>1854</v>
      </c>
      <c r="C428" t="s">
        <v>1864</v>
      </c>
      <c r="D428" t="s">
        <v>1865</v>
      </c>
      <c r="E428" t="s">
        <v>58</v>
      </c>
      <c r="F428" t="s">
        <v>27</v>
      </c>
      <c r="G428">
        <v>12</v>
      </c>
      <c r="H428" t="s">
        <v>1866</v>
      </c>
      <c r="I428" t="s">
        <v>1856</v>
      </c>
      <c r="J428" t="s">
        <v>1867</v>
      </c>
      <c r="K428" t="s">
        <v>1868</v>
      </c>
      <c r="L428" t="s">
        <v>62</v>
      </c>
      <c r="M428" s="1" t="str">
        <f t="shared" si="42"/>
        <v>12R05</v>
      </c>
      <c r="N428" s="1" t="str">
        <f t="shared" si="43"/>
        <v>C/O</v>
      </c>
      <c r="O428" s="1" t="str">
        <f t="shared" si="44"/>
        <v>Fuel Injectors</v>
      </c>
      <c r="P428" s="1" t="str">
        <f t="shared" si="45"/>
        <v>7KK0</v>
      </c>
      <c r="Q428" s="2" t="str">
        <f t="shared" si="46"/>
        <v>7KK0Fuel Injectors</v>
      </c>
      <c r="R428" s="2" t="str">
        <f>New_Xref[[#This Row],[Serial Prefix]]&amp;IF(New_Xref[[#This Row],[Func Loc]]&lt;&gt;"",New_Xref[[#This Row],[Func Loc]],"NO MATCH")</f>
        <v>7KK0ENGD .FUEL.INJE</v>
      </c>
      <c r="S428" s="3" t="str">
        <f t="shared" si="47"/>
        <v>7KK010R1266Fuel Injectors</v>
      </c>
      <c r="T428" s="3" t="s">
        <v>63</v>
      </c>
      <c r="U428" s="3" t="s">
        <v>34</v>
      </c>
      <c r="V428" t="str">
        <f t="shared" si="48"/>
        <v>125100</v>
      </c>
    </row>
    <row r="429" spans="1:22">
      <c r="A429" t="s">
        <v>1853</v>
      </c>
      <c r="B429" t="s">
        <v>1854</v>
      </c>
      <c r="C429" t="s">
        <v>733</v>
      </c>
      <c r="D429" t="s">
        <v>734</v>
      </c>
      <c r="E429" t="s">
        <v>735</v>
      </c>
      <c r="F429" t="s">
        <v>27</v>
      </c>
      <c r="G429">
        <v>1</v>
      </c>
      <c r="H429" t="s">
        <v>1869</v>
      </c>
      <c r="I429" t="s">
        <v>1856</v>
      </c>
      <c r="J429" t="s">
        <v>1870</v>
      </c>
      <c r="K429" t="s">
        <v>1871</v>
      </c>
      <c r="L429" t="s">
        <v>739</v>
      </c>
      <c r="M429" s="1" t="str">
        <f t="shared" si="42"/>
        <v>12R05</v>
      </c>
      <c r="N429" s="1" t="str">
        <f t="shared" si="43"/>
        <v>C/O</v>
      </c>
      <c r="O429" s="1" t="str">
        <f t="shared" si="44"/>
        <v>Water Pump Main</v>
      </c>
      <c r="P429" s="1" t="str">
        <f t="shared" si="45"/>
        <v>7KK0</v>
      </c>
      <c r="Q429" s="2" t="str">
        <f t="shared" si="46"/>
        <v>7KK0Water Pump Main</v>
      </c>
      <c r="R429" s="2" t="str">
        <f>New_Xref[[#This Row],[Serial Prefix]]&amp;IF(New_Xref[[#This Row],[Func Loc]]&lt;&gt;"",New_Xref[[#This Row],[Func Loc]],"NO MATCH")</f>
        <v>7KK0ENGD .WAPU.WP01</v>
      </c>
      <c r="S429" s="3" t="str">
        <f t="shared" si="47"/>
        <v>7KK00R4680Water Pump Main</v>
      </c>
      <c r="T429" s="3" t="s">
        <v>183</v>
      </c>
      <c r="U429" s="3" t="s">
        <v>34</v>
      </c>
      <c r="V429" t="str">
        <f t="shared" si="48"/>
        <v>136100</v>
      </c>
    </row>
    <row r="430" spans="1:22">
      <c r="A430" t="s">
        <v>1853</v>
      </c>
      <c r="B430" t="s">
        <v>1854</v>
      </c>
      <c r="H430" t="s">
        <v>1872</v>
      </c>
      <c r="I430" t="s">
        <v>1873</v>
      </c>
      <c r="J430" t="s">
        <v>1874</v>
      </c>
      <c r="K430" t="s">
        <v>1873</v>
      </c>
      <c r="L430" t="s">
        <v>72</v>
      </c>
      <c r="M430" s="1" t="str">
        <f t="shared" si="42"/>
        <v>12R05</v>
      </c>
      <c r="N430" s="1" t="str">
        <f t="shared" si="43"/>
        <v>C/O</v>
      </c>
      <c r="O430" s="1" t="str">
        <f t="shared" si="44"/>
        <v>Transmission</v>
      </c>
      <c r="P430" s="1" t="str">
        <f t="shared" si="45"/>
        <v>7KK0</v>
      </c>
      <c r="Q430" s="2" t="str">
        <f t="shared" si="46"/>
        <v>7KK0Transmission</v>
      </c>
      <c r="R430" s="2" t="str">
        <f>New_Xref[[#This Row],[Serial Prefix]]&amp;IF(New_Xref[[#This Row],[Func Loc]]&lt;&gt;"",New_Xref[[#This Row],[Func Loc]],"NO MATCH")</f>
        <v>7KK0TRAN .TRAN</v>
      </c>
      <c r="S430" s="3" t="str">
        <f t="shared" si="47"/>
        <v>7KK0Transmission</v>
      </c>
      <c r="T430" s="3" t="s">
        <v>73</v>
      </c>
      <c r="U430" s="3" t="s">
        <v>34</v>
      </c>
      <c r="V430" t="str">
        <f t="shared" si="48"/>
        <v>303000</v>
      </c>
    </row>
    <row r="431" spans="1:22">
      <c r="A431" t="s">
        <v>1853</v>
      </c>
      <c r="B431" t="s">
        <v>1854</v>
      </c>
      <c r="H431" t="s">
        <v>1875</v>
      </c>
      <c r="I431" t="s">
        <v>1876</v>
      </c>
      <c r="J431" t="s">
        <v>1877</v>
      </c>
      <c r="K431" t="s">
        <v>1876</v>
      </c>
      <c r="L431" t="s">
        <v>304</v>
      </c>
      <c r="M431" s="1" t="str">
        <f t="shared" si="42"/>
        <v>12R05</v>
      </c>
      <c r="N431" s="1" t="str">
        <f t="shared" si="43"/>
        <v>C/O</v>
      </c>
      <c r="O431" s="1" t="str">
        <f t="shared" si="44"/>
        <v>Torque Converter</v>
      </c>
      <c r="P431" s="1" t="str">
        <f t="shared" si="45"/>
        <v>7KK0</v>
      </c>
      <c r="Q431" s="2" t="str">
        <f t="shared" si="46"/>
        <v>7KK0Torque Converter</v>
      </c>
      <c r="R431" s="2" t="str">
        <f>New_Xref[[#This Row],[Serial Prefix]]&amp;IF(New_Xref[[#This Row],[Func Loc]]&lt;&gt;"",New_Xref[[#This Row],[Func Loc]],"NO MATCH")</f>
        <v>7KK0TRAN .TOCO</v>
      </c>
      <c r="S431" s="3" t="str">
        <f t="shared" si="47"/>
        <v>7KK0Torque Converter</v>
      </c>
      <c r="T431" s="3" t="s">
        <v>305</v>
      </c>
      <c r="U431" s="3" t="s">
        <v>34</v>
      </c>
      <c r="V431" t="str">
        <f t="shared" si="48"/>
        <v>310100</v>
      </c>
    </row>
    <row r="432" spans="1:22">
      <c r="A432" t="s">
        <v>1853</v>
      </c>
      <c r="B432" t="s">
        <v>1854</v>
      </c>
      <c r="C432" t="s">
        <v>1878</v>
      </c>
      <c r="D432" t="s">
        <v>1879</v>
      </c>
      <c r="E432" t="s">
        <v>459</v>
      </c>
      <c r="F432" t="s">
        <v>27</v>
      </c>
      <c r="G432">
        <v>1</v>
      </c>
      <c r="H432" t="s">
        <v>1880</v>
      </c>
      <c r="I432" t="s">
        <v>1881</v>
      </c>
      <c r="J432" t="s">
        <v>1882</v>
      </c>
      <c r="K432" t="s">
        <v>1883</v>
      </c>
      <c r="L432" t="s">
        <v>83</v>
      </c>
      <c r="M432" s="1" t="str">
        <f t="shared" si="42"/>
        <v>12R05</v>
      </c>
      <c r="N432" s="1" t="str">
        <f t="shared" si="43"/>
        <v>C/O</v>
      </c>
      <c r="O432" s="1" t="str">
        <f t="shared" si="44"/>
        <v>Differential</v>
      </c>
      <c r="P432" s="1" t="str">
        <f t="shared" si="45"/>
        <v>7KK0</v>
      </c>
      <c r="Q432" s="2" t="str">
        <f t="shared" si="46"/>
        <v>7KK0Differential</v>
      </c>
      <c r="R432" s="2" t="str">
        <f>New_Xref[[#This Row],[Serial Prefix]]&amp;IF(New_Xref[[#This Row],[Func Loc]]&lt;&gt;"",New_Xref[[#This Row],[Func Loc]],"NO MATCH")</f>
        <v>7KK0NO MATCH</v>
      </c>
      <c r="S432" s="3" t="str">
        <f t="shared" si="47"/>
        <v>7KK02739007XDifferential</v>
      </c>
      <c r="T432" s="3" t="s">
        <v>464</v>
      </c>
      <c r="U432" s="3" t="s">
        <v>34</v>
      </c>
      <c r="V432" t="str">
        <f t="shared" si="48"/>
        <v>325800</v>
      </c>
    </row>
    <row r="433" spans="1:22">
      <c r="A433" t="s">
        <v>1853</v>
      </c>
      <c r="B433" t="s">
        <v>1854</v>
      </c>
      <c r="C433" t="s">
        <v>1878</v>
      </c>
      <c r="D433" t="s">
        <v>1879</v>
      </c>
      <c r="E433" t="s">
        <v>459</v>
      </c>
      <c r="F433" t="s">
        <v>27</v>
      </c>
      <c r="G433">
        <v>1</v>
      </c>
      <c r="H433" t="s">
        <v>1880</v>
      </c>
      <c r="I433" t="s">
        <v>1881</v>
      </c>
      <c r="J433" t="s">
        <v>1882</v>
      </c>
      <c r="K433" t="s">
        <v>1881</v>
      </c>
      <c r="L433" t="s">
        <v>463</v>
      </c>
      <c r="M433" s="1" t="str">
        <f t="shared" si="42"/>
        <v>12R05</v>
      </c>
      <c r="N433" s="1" t="str">
        <f t="shared" si="43"/>
        <v>C/O</v>
      </c>
      <c r="O433" s="1" t="str">
        <f t="shared" si="44"/>
        <v>Differential &amp; Bevel Gear</v>
      </c>
      <c r="P433" s="1" t="str">
        <f t="shared" si="45"/>
        <v>7KK0</v>
      </c>
      <c r="Q433" s="2" t="str">
        <f t="shared" si="46"/>
        <v>7KK0Differential &amp; Bevel Gear</v>
      </c>
      <c r="R433" s="2" t="str">
        <f>New_Xref[[#This Row],[Serial Prefix]]&amp;IF(New_Xref[[#This Row],[Func Loc]]&lt;&gt;"",New_Xref[[#This Row],[Func Loc]],"NO MATCH")</f>
        <v>7KK0FDRV .AXAR.DIFF</v>
      </c>
      <c r="S433" s="3" t="str">
        <f t="shared" si="47"/>
        <v>7KK02739007XDifferential &amp; Bevel Gear</v>
      </c>
      <c r="T433" s="3" t="s">
        <v>464</v>
      </c>
      <c r="U433" s="3" t="s">
        <v>34</v>
      </c>
      <c r="V433" t="str">
        <f t="shared" si="48"/>
        <v>325800</v>
      </c>
    </row>
    <row r="434" spans="1:22">
      <c r="A434" t="s">
        <v>1853</v>
      </c>
      <c r="B434" t="s">
        <v>1854</v>
      </c>
      <c r="C434" t="s">
        <v>1884</v>
      </c>
      <c r="D434" t="s">
        <v>1885</v>
      </c>
      <c r="E434" t="s">
        <v>1886</v>
      </c>
      <c r="F434" t="s">
        <v>27</v>
      </c>
      <c r="G434">
        <v>1</v>
      </c>
      <c r="H434" t="s">
        <v>1887</v>
      </c>
      <c r="I434" t="s">
        <v>1888</v>
      </c>
      <c r="J434" t="s">
        <v>1889</v>
      </c>
      <c r="K434" t="s">
        <v>1888</v>
      </c>
      <c r="L434" t="s">
        <v>1605</v>
      </c>
      <c r="M434" s="1" t="str">
        <f t="shared" si="42"/>
        <v>12R05</v>
      </c>
      <c r="N434" s="1" t="str">
        <f t="shared" si="43"/>
        <v>C/O</v>
      </c>
      <c r="O434" s="1" t="str">
        <f t="shared" si="44"/>
        <v>Final Drive LH</v>
      </c>
      <c r="P434" s="1" t="str">
        <f t="shared" si="45"/>
        <v>7KK0</v>
      </c>
      <c r="Q434" s="2" t="str">
        <f t="shared" si="46"/>
        <v>7KK0Final Drive LH</v>
      </c>
      <c r="R434" s="2" t="str">
        <f>New_Xref[[#This Row],[Serial Prefix]]&amp;IF(New_Xref[[#This Row],[Func Loc]]&lt;&gt;"",New_Xref[[#This Row],[Func Loc]],"NO MATCH")</f>
        <v>7KK0FDRV .AXAR.FDLH</v>
      </c>
      <c r="S434" s="3" t="str">
        <f t="shared" si="47"/>
        <v>7KK01659955XFinal Drive LH</v>
      </c>
      <c r="T434" s="3" t="s">
        <v>908</v>
      </c>
      <c r="U434" s="3" t="s">
        <v>108</v>
      </c>
      <c r="V434" t="str">
        <f t="shared" si="48"/>
        <v>4050LT</v>
      </c>
    </row>
    <row r="435" spans="1:22">
      <c r="A435" t="s">
        <v>1853</v>
      </c>
      <c r="B435" t="s">
        <v>1854</v>
      </c>
      <c r="C435" t="s">
        <v>1884</v>
      </c>
      <c r="D435" t="s">
        <v>1885</v>
      </c>
      <c r="E435" t="s">
        <v>1886</v>
      </c>
      <c r="F435" t="s">
        <v>27</v>
      </c>
      <c r="G435">
        <v>1</v>
      </c>
      <c r="H435" t="s">
        <v>1887</v>
      </c>
      <c r="I435" t="s">
        <v>1890</v>
      </c>
      <c r="J435" t="s">
        <v>1891</v>
      </c>
      <c r="K435" t="s">
        <v>1890</v>
      </c>
      <c r="L435" t="s">
        <v>1608</v>
      </c>
      <c r="M435" s="1" t="str">
        <f t="shared" si="42"/>
        <v>12R05</v>
      </c>
      <c r="N435" s="1" t="str">
        <f t="shared" si="43"/>
        <v>C/O</v>
      </c>
      <c r="O435" s="1" t="str">
        <f t="shared" si="44"/>
        <v>Final Drive RH</v>
      </c>
      <c r="P435" s="1" t="str">
        <f t="shared" si="45"/>
        <v>7KK0</v>
      </c>
      <c r="Q435" s="2" t="str">
        <f t="shared" si="46"/>
        <v>7KK0Final Drive RH</v>
      </c>
      <c r="R435" s="2" t="str">
        <f>New_Xref[[#This Row],[Serial Prefix]]&amp;IF(New_Xref[[#This Row],[Func Loc]]&lt;&gt;"",New_Xref[[#This Row],[Func Loc]],"NO MATCH")</f>
        <v>7KK0FDRV .AXAR.FDRH</v>
      </c>
      <c r="S435" s="3" t="str">
        <f t="shared" si="47"/>
        <v>7KK01659955XFinal Drive RH</v>
      </c>
      <c r="T435" s="3" t="s">
        <v>908</v>
      </c>
      <c r="U435" s="3" t="s">
        <v>115</v>
      </c>
      <c r="V435" t="str">
        <f t="shared" si="48"/>
        <v>4050RI</v>
      </c>
    </row>
    <row r="436" spans="1:22">
      <c r="A436" t="s">
        <v>1853</v>
      </c>
      <c r="B436" t="s">
        <v>1854</v>
      </c>
      <c r="C436" t="s">
        <v>1892</v>
      </c>
      <c r="D436" t="s">
        <v>1893</v>
      </c>
      <c r="E436" t="s">
        <v>1894</v>
      </c>
      <c r="F436" t="s">
        <v>125</v>
      </c>
      <c r="G436">
        <v>1</v>
      </c>
      <c r="H436" t="s">
        <v>1895</v>
      </c>
      <c r="I436" t="s">
        <v>1896</v>
      </c>
      <c r="J436" t="s">
        <v>1897</v>
      </c>
      <c r="K436" t="s">
        <v>1896</v>
      </c>
      <c r="L436" t="s">
        <v>375</v>
      </c>
      <c r="M436" s="1" t="str">
        <f t="shared" si="42"/>
        <v>12R05</v>
      </c>
      <c r="N436" s="1" t="str">
        <f t="shared" si="43"/>
        <v>C/O</v>
      </c>
      <c r="O436" s="1" t="str">
        <f t="shared" si="44"/>
        <v>Blade Tilt Cylinder LH</v>
      </c>
      <c r="P436" s="1" t="str">
        <f t="shared" si="45"/>
        <v>7KK0</v>
      </c>
      <c r="Q436" s="2" t="str">
        <f t="shared" si="46"/>
        <v>7KK0Blade Tilt Cylinder LH</v>
      </c>
      <c r="R436" s="2" t="str">
        <f>New_Xref[[#This Row],[Serial Prefix]]&amp;IF(New_Xref[[#This Row],[Func Loc]]&lt;&gt;"",New_Xref[[#This Row],[Func Loc]],"NO MATCH")</f>
        <v>7KK0MYHD .CYLI.BLTL</v>
      </c>
      <c r="S436" s="3" t="str">
        <f t="shared" si="47"/>
        <v>7KK06058794Blade Tilt Cylinder LH</v>
      </c>
      <c r="T436" s="3" t="s">
        <v>225</v>
      </c>
      <c r="U436" s="3" t="s">
        <v>108</v>
      </c>
      <c r="V436" t="str">
        <f t="shared" si="48"/>
        <v>5106LT</v>
      </c>
    </row>
    <row r="437" spans="1:22">
      <c r="A437" t="s">
        <v>1853</v>
      </c>
      <c r="B437" t="s">
        <v>1854</v>
      </c>
      <c r="C437" t="s">
        <v>1892</v>
      </c>
      <c r="D437" t="s">
        <v>1893</v>
      </c>
      <c r="E437" t="s">
        <v>1894</v>
      </c>
      <c r="F437" t="s">
        <v>125</v>
      </c>
      <c r="G437">
        <v>1</v>
      </c>
      <c r="H437" t="s">
        <v>1895</v>
      </c>
      <c r="I437" t="s">
        <v>1898</v>
      </c>
      <c r="J437" t="s">
        <v>1899</v>
      </c>
      <c r="K437" t="s">
        <v>1898</v>
      </c>
      <c r="L437" t="s">
        <v>378</v>
      </c>
      <c r="M437" s="1" t="str">
        <f t="shared" si="42"/>
        <v>12R05</v>
      </c>
      <c r="N437" s="1" t="str">
        <f t="shared" si="43"/>
        <v>C/O</v>
      </c>
      <c r="O437" s="1" t="str">
        <f t="shared" si="44"/>
        <v>Blade Tilt Cylinder RH</v>
      </c>
      <c r="P437" s="1" t="str">
        <f t="shared" si="45"/>
        <v>7KK0</v>
      </c>
      <c r="Q437" s="2" t="str">
        <f t="shared" si="46"/>
        <v>7KK0Blade Tilt Cylinder RH</v>
      </c>
      <c r="R437" s="2" t="str">
        <f>New_Xref[[#This Row],[Serial Prefix]]&amp;IF(New_Xref[[#This Row],[Func Loc]]&lt;&gt;"",New_Xref[[#This Row],[Func Loc]],"NO MATCH")</f>
        <v>7KK0MYHD .CYLI.BLTR</v>
      </c>
      <c r="S437" s="3" t="str">
        <f t="shared" si="47"/>
        <v>7KK06058794Blade Tilt Cylinder RH</v>
      </c>
      <c r="T437" s="3" t="s">
        <v>225</v>
      </c>
      <c r="U437" s="3" t="s">
        <v>115</v>
      </c>
      <c r="V437" t="str">
        <f t="shared" si="48"/>
        <v>5106RI</v>
      </c>
    </row>
    <row r="438" spans="1:22">
      <c r="A438" t="s">
        <v>1853</v>
      </c>
      <c r="B438" t="s">
        <v>1854</v>
      </c>
      <c r="C438" t="s">
        <v>1900</v>
      </c>
      <c r="D438" t="s">
        <v>1901</v>
      </c>
      <c r="E438" t="s">
        <v>1902</v>
      </c>
      <c r="F438" t="s">
        <v>27</v>
      </c>
      <c r="G438">
        <v>1</v>
      </c>
      <c r="H438" t="s">
        <v>1903</v>
      </c>
      <c r="I438" t="s">
        <v>1904</v>
      </c>
      <c r="J438" t="s">
        <v>1905</v>
      </c>
      <c r="K438" t="s">
        <v>1904</v>
      </c>
      <c r="L438" t="s">
        <v>385</v>
      </c>
      <c r="M438" s="1" t="str">
        <f t="shared" si="42"/>
        <v>12R05</v>
      </c>
      <c r="N438" s="1" t="str">
        <f t="shared" si="43"/>
        <v>C/O</v>
      </c>
      <c r="O438" s="1" t="str">
        <f t="shared" si="44"/>
        <v>Circle Drive Gearbox Front</v>
      </c>
      <c r="P438" s="1" t="str">
        <f t="shared" si="45"/>
        <v>7KK0</v>
      </c>
      <c r="Q438" s="2" t="str">
        <f t="shared" si="46"/>
        <v>7KK0Circle Drive Gearbox Front</v>
      </c>
      <c r="R438" s="2" t="str">
        <f>New_Xref[[#This Row],[Serial Prefix]]&amp;IF(New_Xref[[#This Row],[Func Loc]]&lt;&gt;"",New_Xref[[#This Row],[Func Loc]],"NO MATCH")</f>
        <v>7KK0STRU .CHAS.CDGF</v>
      </c>
      <c r="S438" s="3" t="str">
        <f t="shared" si="47"/>
        <v>7KK02656741XCircle Drive Gearbox Front</v>
      </c>
      <c r="T438" s="3" t="s">
        <v>141</v>
      </c>
      <c r="U438" s="3" t="s">
        <v>386</v>
      </c>
      <c r="V438" t="str">
        <f t="shared" si="48"/>
        <v>5207FR</v>
      </c>
    </row>
    <row r="439" spans="1:22">
      <c r="A439" t="s">
        <v>1853</v>
      </c>
      <c r="B439" t="s">
        <v>1854</v>
      </c>
      <c r="C439" t="s">
        <v>1900</v>
      </c>
      <c r="D439" t="s">
        <v>1901</v>
      </c>
      <c r="E439" t="s">
        <v>1902</v>
      </c>
      <c r="F439" t="s">
        <v>27</v>
      </c>
      <c r="G439">
        <v>1</v>
      </c>
      <c r="H439" t="s">
        <v>1903</v>
      </c>
      <c r="I439" t="s">
        <v>1906</v>
      </c>
      <c r="J439" t="s">
        <v>1907</v>
      </c>
      <c r="K439" t="s">
        <v>1906</v>
      </c>
      <c r="L439" t="s">
        <v>389</v>
      </c>
      <c r="M439" s="1" t="str">
        <f t="shared" si="42"/>
        <v>12R05</v>
      </c>
      <c r="N439" s="1" t="str">
        <f t="shared" si="43"/>
        <v>C/O</v>
      </c>
      <c r="O439" s="1" t="str">
        <f t="shared" si="44"/>
        <v>Circle Drive Gearbox Rear</v>
      </c>
      <c r="P439" s="1" t="str">
        <f t="shared" si="45"/>
        <v>7KK0</v>
      </c>
      <c r="Q439" s="2" t="str">
        <f t="shared" si="46"/>
        <v>7KK0Circle Drive Gearbox Rear</v>
      </c>
      <c r="R439" s="2" t="str">
        <f>New_Xref[[#This Row],[Serial Prefix]]&amp;IF(New_Xref[[#This Row],[Func Loc]]&lt;&gt;"",New_Xref[[#This Row],[Func Loc]],"NO MATCH")</f>
        <v>7KK0STRU .CHAS.CDGR</v>
      </c>
      <c r="S439" s="3" t="str">
        <f t="shared" si="47"/>
        <v>7KK02656741XCircle Drive Gearbox Rear</v>
      </c>
      <c r="T439" s="3" t="s">
        <v>141</v>
      </c>
      <c r="U439" s="3" t="s">
        <v>317</v>
      </c>
      <c r="V439" t="str">
        <f t="shared" si="48"/>
        <v>5207RE</v>
      </c>
    </row>
    <row r="440" spans="1:22">
      <c r="A440" t="s">
        <v>1853</v>
      </c>
      <c r="B440" t="s">
        <v>1854</v>
      </c>
      <c r="H440" t="s">
        <v>1908</v>
      </c>
      <c r="I440" t="s">
        <v>1909</v>
      </c>
      <c r="J440" t="s">
        <v>1910</v>
      </c>
      <c r="K440" t="s">
        <v>1909</v>
      </c>
      <c r="L440" t="s">
        <v>1911</v>
      </c>
      <c r="M440" s="1" t="str">
        <f t="shared" si="42"/>
        <v>12R05</v>
      </c>
      <c r="N440" s="1" t="str">
        <f t="shared" si="43"/>
        <v>C/O</v>
      </c>
      <c r="O440" s="1" t="str">
        <f t="shared" si="44"/>
        <v>Wheel Lean Cylinder LH</v>
      </c>
      <c r="P440" s="1" t="str">
        <f t="shared" si="45"/>
        <v>7KK0</v>
      </c>
      <c r="Q440" s="2" t="str">
        <f t="shared" si="46"/>
        <v>7KK0Wheel Lean Cylinder LH</v>
      </c>
      <c r="R440" s="2" t="str">
        <f>New_Xref[[#This Row],[Serial Prefix]]&amp;IF(New_Xref[[#This Row],[Func Loc]]&lt;&gt;"",New_Xref[[#This Row],[Func Loc]],"NO MATCH")</f>
        <v>7KK0MYHD .CYLI.WHLL</v>
      </c>
      <c r="S440" s="3" t="str">
        <f t="shared" si="47"/>
        <v>7KK0Wheel Lean Cylinder LH</v>
      </c>
      <c r="T440" s="3" t="s">
        <v>1639</v>
      </c>
      <c r="U440" s="3" t="s">
        <v>108</v>
      </c>
      <c r="V440" t="str">
        <f t="shared" si="48"/>
        <v>5211LT</v>
      </c>
    </row>
    <row r="441" spans="1:22">
      <c r="A441" t="s">
        <v>1853</v>
      </c>
      <c r="B441" t="s">
        <v>1854</v>
      </c>
      <c r="H441" t="s">
        <v>1908</v>
      </c>
      <c r="I441" t="s">
        <v>1912</v>
      </c>
      <c r="J441" t="s">
        <v>1913</v>
      </c>
      <c r="K441" t="s">
        <v>1912</v>
      </c>
      <c r="L441" t="s">
        <v>1914</v>
      </c>
      <c r="M441" s="1" t="str">
        <f t="shared" si="42"/>
        <v>12R05</v>
      </c>
      <c r="N441" s="1" t="str">
        <f t="shared" si="43"/>
        <v>C/O</v>
      </c>
      <c r="O441" s="1" t="str">
        <f t="shared" si="44"/>
        <v>Wheel Lean Cylinder RH</v>
      </c>
      <c r="P441" s="1" t="str">
        <f t="shared" si="45"/>
        <v>7KK0</v>
      </c>
      <c r="Q441" s="2" t="str">
        <f t="shared" si="46"/>
        <v>7KK0Wheel Lean Cylinder RH</v>
      </c>
      <c r="R441" s="2" t="str">
        <f>New_Xref[[#This Row],[Serial Prefix]]&amp;IF(New_Xref[[#This Row],[Func Loc]]&lt;&gt;"",New_Xref[[#This Row],[Func Loc]],"NO MATCH")</f>
        <v>7KK0MYHD .CYLI.WHLR</v>
      </c>
      <c r="S441" s="3" t="str">
        <f t="shared" si="47"/>
        <v>7KK0Wheel Lean Cylinder RH</v>
      </c>
      <c r="T441" s="3" t="s">
        <v>1639</v>
      </c>
      <c r="U441" s="3" t="s">
        <v>115</v>
      </c>
      <c r="V441" t="str">
        <f t="shared" si="48"/>
        <v>5211RI</v>
      </c>
    </row>
    <row r="442" spans="1:22">
      <c r="A442" t="s">
        <v>1853</v>
      </c>
      <c r="B442" t="s">
        <v>1854</v>
      </c>
      <c r="H442" t="s">
        <v>1915</v>
      </c>
      <c r="I442" t="s">
        <v>1916</v>
      </c>
      <c r="J442" t="s">
        <v>1917</v>
      </c>
      <c r="K442" t="s">
        <v>1916</v>
      </c>
      <c r="L442" t="s">
        <v>145</v>
      </c>
      <c r="M442" s="1" t="str">
        <f t="shared" si="42"/>
        <v>12R05</v>
      </c>
      <c r="N442" s="1" t="str">
        <f t="shared" si="43"/>
        <v>C/O</v>
      </c>
      <c r="O442" s="1" t="str">
        <f t="shared" si="44"/>
        <v>Articulation Cylinder LH</v>
      </c>
      <c r="P442" s="1" t="str">
        <f t="shared" si="45"/>
        <v>7KK0</v>
      </c>
      <c r="Q442" s="2" t="str">
        <f t="shared" si="46"/>
        <v>7KK0Articulation Cylinder LH</v>
      </c>
      <c r="R442" s="2" t="str">
        <f>New_Xref[[#This Row],[Serial Prefix]]&amp;IF(New_Xref[[#This Row],[Func Loc]]&lt;&gt;"",New_Xref[[#This Row],[Func Loc]],"NO MATCH")</f>
        <v>7KK0MYHD .CYLI.ARTL</v>
      </c>
      <c r="S442" s="3" t="str">
        <f t="shared" si="47"/>
        <v>7KK0Articulation Cylinder LH</v>
      </c>
      <c r="T442" s="3" t="s">
        <v>146</v>
      </c>
      <c r="U442" s="3" t="s">
        <v>108</v>
      </c>
      <c r="V442" t="str">
        <f t="shared" si="48"/>
        <v>5265LT</v>
      </c>
    </row>
    <row r="443" spans="1:22">
      <c r="A443" t="s">
        <v>1853</v>
      </c>
      <c r="B443" t="s">
        <v>1854</v>
      </c>
      <c r="H443" t="s">
        <v>1915</v>
      </c>
      <c r="I443" t="s">
        <v>1918</v>
      </c>
      <c r="J443" t="s">
        <v>1919</v>
      </c>
      <c r="K443" t="s">
        <v>1918</v>
      </c>
      <c r="L443" t="s">
        <v>149</v>
      </c>
      <c r="M443" s="1" t="str">
        <f t="shared" si="42"/>
        <v>12R05</v>
      </c>
      <c r="N443" s="1" t="str">
        <f t="shared" si="43"/>
        <v>C/O</v>
      </c>
      <c r="O443" s="1" t="str">
        <f t="shared" si="44"/>
        <v>Articulation Cylinder RH</v>
      </c>
      <c r="P443" s="1" t="str">
        <f t="shared" si="45"/>
        <v>7KK0</v>
      </c>
      <c r="Q443" s="2" t="str">
        <f t="shared" si="46"/>
        <v>7KK0Articulation Cylinder RH</v>
      </c>
      <c r="R443" s="2" t="str">
        <f>New_Xref[[#This Row],[Serial Prefix]]&amp;IF(New_Xref[[#This Row],[Func Loc]]&lt;&gt;"",New_Xref[[#This Row],[Func Loc]],"NO MATCH")</f>
        <v>7KK0MYHD .CYLI.ARTR</v>
      </c>
      <c r="S443" s="3" t="str">
        <f t="shared" si="47"/>
        <v>7KK0Articulation Cylinder RH</v>
      </c>
      <c r="T443" s="3" t="s">
        <v>146</v>
      </c>
      <c r="U443" s="3" t="s">
        <v>115</v>
      </c>
      <c r="V443" t="str">
        <f t="shared" si="48"/>
        <v>5265RI</v>
      </c>
    </row>
    <row r="444" spans="1:22">
      <c r="A444" t="s">
        <v>1853</v>
      </c>
      <c r="B444" t="s">
        <v>1854</v>
      </c>
      <c r="H444" t="s">
        <v>1920</v>
      </c>
      <c r="I444" t="s">
        <v>1921</v>
      </c>
      <c r="J444" t="s">
        <v>1922</v>
      </c>
      <c r="K444" t="s">
        <v>1921</v>
      </c>
      <c r="L444" t="s">
        <v>1923</v>
      </c>
      <c r="M444" s="1" t="str">
        <f t="shared" si="42"/>
        <v>12R05</v>
      </c>
      <c r="N444" s="1" t="str">
        <f t="shared" si="43"/>
        <v>C/O</v>
      </c>
      <c r="O444" s="1" t="str">
        <f t="shared" si="44"/>
        <v>Ripper Lift Cylinder RH</v>
      </c>
      <c r="P444" s="1" t="str">
        <f t="shared" si="45"/>
        <v>7KK0</v>
      </c>
      <c r="Q444" s="2" t="str">
        <f t="shared" si="46"/>
        <v>7KK0Ripper Lift Cylinder RH</v>
      </c>
      <c r="R444" s="2" t="str">
        <f>New_Xref[[#This Row],[Serial Prefix]]&amp;IF(New_Xref[[#This Row],[Func Loc]]&lt;&gt;"",New_Xref[[#This Row],[Func Loc]],"NO MATCH")</f>
        <v>7KK0MYHD .CYLI.RILR</v>
      </c>
      <c r="S444" s="3" t="str">
        <f t="shared" si="47"/>
        <v>7KK0Ripper Lift Cylinder RH</v>
      </c>
      <c r="T444" s="3" t="s">
        <v>246</v>
      </c>
      <c r="U444" s="3" t="s">
        <v>115</v>
      </c>
      <c r="V444" t="str">
        <f t="shared" si="48"/>
        <v>5352RI</v>
      </c>
    </row>
    <row r="445" spans="1:22">
      <c r="A445" t="s">
        <v>1853</v>
      </c>
      <c r="B445" t="s">
        <v>1924</v>
      </c>
      <c r="H445" t="s">
        <v>1925</v>
      </c>
      <c r="I445" t="s">
        <v>1926</v>
      </c>
      <c r="J445" t="s">
        <v>1927</v>
      </c>
      <c r="K445" t="s">
        <v>1926</v>
      </c>
      <c r="L445" t="s">
        <v>250</v>
      </c>
      <c r="M445" s="1" t="str">
        <f t="shared" si="42"/>
        <v>12H201</v>
      </c>
      <c r="N445" s="1" t="str">
        <f t="shared" si="43"/>
        <v>C/O</v>
      </c>
      <c r="O445" s="1" t="str">
        <f t="shared" si="44"/>
        <v>Blade Sideshift Cylinder</v>
      </c>
      <c r="P445" s="1" t="str">
        <f t="shared" si="45"/>
        <v>7KK0</v>
      </c>
      <c r="Q445" s="2" t="str">
        <f t="shared" si="46"/>
        <v>7KK0Blade Sideshift Cylinder</v>
      </c>
      <c r="R445" s="2" t="str">
        <f>New_Xref[[#This Row],[Serial Prefix]]&amp;IF(New_Xref[[#This Row],[Func Loc]]&lt;&gt;"",New_Xref[[#This Row],[Func Loc]],"NO MATCH")</f>
        <v>7KK0MYHD .CYLI.BLSI</v>
      </c>
      <c r="S445" s="3" t="str">
        <f t="shared" si="47"/>
        <v>7KK0Blade Sideshift Cylinder</v>
      </c>
      <c r="T445" s="3" t="s">
        <v>251</v>
      </c>
      <c r="U445" s="3" t="s">
        <v>34</v>
      </c>
      <c r="V445" t="str">
        <f t="shared" si="48"/>
        <v>580400</v>
      </c>
    </row>
    <row r="446" spans="1:22">
      <c r="A446" t="s">
        <v>1928</v>
      </c>
      <c r="B446" t="s">
        <v>1929</v>
      </c>
      <c r="C446" t="s">
        <v>1930</v>
      </c>
      <c r="D446" t="s">
        <v>1931</v>
      </c>
      <c r="E446" t="s">
        <v>1932</v>
      </c>
      <c r="F446" t="s">
        <v>27</v>
      </c>
      <c r="G446">
        <v>1</v>
      </c>
      <c r="H446" t="s">
        <v>1933</v>
      </c>
      <c r="I446" t="s">
        <v>1934</v>
      </c>
      <c r="J446" t="s">
        <v>1935</v>
      </c>
      <c r="K446" t="s">
        <v>1936</v>
      </c>
      <c r="L446" t="s">
        <v>32</v>
      </c>
      <c r="M446" s="1" t="str">
        <f t="shared" si="42"/>
        <v>12H446</v>
      </c>
      <c r="N446" s="1" t="str">
        <f t="shared" si="43"/>
        <v>C/O</v>
      </c>
      <c r="O446" s="1" t="str">
        <f t="shared" si="44"/>
        <v>Engine</v>
      </c>
      <c r="P446" s="1" t="str">
        <f t="shared" si="45"/>
        <v>B930</v>
      </c>
      <c r="Q446" s="2" t="str">
        <f t="shared" si="46"/>
        <v>B930Engine</v>
      </c>
      <c r="R446" s="2" t="str">
        <f>New_Xref[[#This Row],[Serial Prefix]]&amp;IF(New_Xref[[#This Row],[Func Loc]]&lt;&gt;"",New_Xref[[#This Row],[Func Loc]],"NO MATCH")</f>
        <v>B930ENGD</v>
      </c>
      <c r="S446" s="3" t="str">
        <f t="shared" si="47"/>
        <v>B9303991828XEngine</v>
      </c>
      <c r="T446" s="3" t="s">
        <v>33</v>
      </c>
      <c r="U446" s="3" t="s">
        <v>34</v>
      </c>
      <c r="V446" t="str">
        <f t="shared" si="48"/>
        <v>100000</v>
      </c>
    </row>
    <row r="447" spans="1:22">
      <c r="A447" t="s">
        <v>1928</v>
      </c>
      <c r="B447" t="s">
        <v>1937</v>
      </c>
      <c r="C447" t="s">
        <v>1938</v>
      </c>
      <c r="D447" t="s">
        <v>1939</v>
      </c>
      <c r="E447" t="s">
        <v>1940</v>
      </c>
      <c r="F447" t="s">
        <v>27</v>
      </c>
      <c r="G447">
        <v>1</v>
      </c>
      <c r="H447" t="s">
        <v>1941</v>
      </c>
      <c r="I447" t="s">
        <v>1942</v>
      </c>
      <c r="J447" t="s">
        <v>1943</v>
      </c>
      <c r="K447" t="s">
        <v>1944</v>
      </c>
      <c r="L447" t="s">
        <v>32</v>
      </c>
      <c r="M447" s="1" t="str">
        <f t="shared" si="42"/>
        <v>12H227</v>
      </c>
      <c r="N447" s="1" t="str">
        <f t="shared" si="43"/>
        <v>C/O</v>
      </c>
      <c r="O447" s="1" t="str">
        <f t="shared" si="44"/>
        <v>Engine</v>
      </c>
      <c r="P447" s="1" t="str">
        <f t="shared" si="45"/>
        <v>B9K0</v>
      </c>
      <c r="Q447" s="2" t="str">
        <f t="shared" si="46"/>
        <v>B9K0Engine</v>
      </c>
      <c r="R447" s="2" t="str">
        <f>New_Xref[[#This Row],[Serial Prefix]]&amp;IF(New_Xref[[#This Row],[Func Loc]]&lt;&gt;"",New_Xref[[#This Row],[Func Loc]],"NO MATCH")</f>
        <v>B9K0ENGD</v>
      </c>
      <c r="S447" s="3" t="str">
        <f t="shared" si="47"/>
        <v>B9K02637760XEngine</v>
      </c>
      <c r="T447" s="3" t="s">
        <v>33</v>
      </c>
      <c r="U447" s="3" t="s">
        <v>34</v>
      </c>
      <c r="V447" t="str">
        <f t="shared" si="48"/>
        <v>100000</v>
      </c>
    </row>
    <row r="448" spans="1:22">
      <c r="A448" t="s">
        <v>1928</v>
      </c>
      <c r="B448" t="s">
        <v>1929</v>
      </c>
      <c r="C448" t="s">
        <v>1945</v>
      </c>
      <c r="D448" t="s">
        <v>1946</v>
      </c>
      <c r="E448" t="s">
        <v>1947</v>
      </c>
      <c r="F448" t="s">
        <v>27</v>
      </c>
      <c r="G448">
        <v>1</v>
      </c>
      <c r="H448" t="s">
        <v>1948</v>
      </c>
      <c r="I448" t="s">
        <v>1934</v>
      </c>
      <c r="J448" t="s">
        <v>1949</v>
      </c>
      <c r="K448" t="s">
        <v>1950</v>
      </c>
      <c r="L448" t="s">
        <v>719</v>
      </c>
      <c r="M448" s="1" t="str">
        <f t="shared" si="42"/>
        <v>12H446</v>
      </c>
      <c r="N448" s="1" t="str">
        <f t="shared" si="43"/>
        <v>C/O</v>
      </c>
      <c r="O448" s="1" t="str">
        <f t="shared" si="44"/>
        <v>Turbocharger</v>
      </c>
      <c r="P448" s="1" t="str">
        <f t="shared" si="45"/>
        <v>B930</v>
      </c>
      <c r="Q448" s="2" t="str">
        <f t="shared" si="46"/>
        <v>B930Turbocharger</v>
      </c>
      <c r="R448" s="2" t="str">
        <f>New_Xref[[#This Row],[Serial Prefix]]&amp;IF(New_Xref[[#This Row],[Func Loc]]&lt;&gt;"",New_Xref[[#This Row],[Func Loc]],"NO MATCH")</f>
        <v>B930ENGD .TURB.TC01</v>
      </c>
      <c r="S448" s="3" t="str">
        <f t="shared" si="47"/>
        <v>B93010R8964Turbocharger</v>
      </c>
      <c r="T448" s="3" t="s">
        <v>47</v>
      </c>
      <c r="U448" s="3" t="s">
        <v>34</v>
      </c>
      <c r="V448" t="str">
        <f t="shared" si="48"/>
        <v>105200</v>
      </c>
    </row>
    <row r="449" spans="1:22">
      <c r="A449" t="s">
        <v>1928</v>
      </c>
      <c r="B449" t="s">
        <v>1937</v>
      </c>
      <c r="C449" t="s">
        <v>1945</v>
      </c>
      <c r="D449" t="s">
        <v>1946</v>
      </c>
      <c r="E449" t="s">
        <v>1947</v>
      </c>
      <c r="F449" t="s">
        <v>27</v>
      </c>
      <c r="G449">
        <v>1</v>
      </c>
      <c r="H449" t="s">
        <v>1951</v>
      </c>
      <c r="I449" t="s">
        <v>1942</v>
      </c>
      <c r="J449" t="s">
        <v>1952</v>
      </c>
      <c r="K449" t="s">
        <v>1953</v>
      </c>
      <c r="L449" t="s">
        <v>719</v>
      </c>
      <c r="M449" s="1" t="str">
        <f t="shared" si="42"/>
        <v>12H227</v>
      </c>
      <c r="N449" s="1" t="str">
        <f t="shared" si="43"/>
        <v>C/O</v>
      </c>
      <c r="O449" s="1" t="str">
        <f t="shared" si="44"/>
        <v>Turbocharger</v>
      </c>
      <c r="P449" s="1" t="str">
        <f t="shared" si="45"/>
        <v>B9K0</v>
      </c>
      <c r="Q449" s="2" t="str">
        <f t="shared" si="46"/>
        <v>B9K0Turbocharger</v>
      </c>
      <c r="R449" s="2" t="str">
        <f>New_Xref[[#This Row],[Serial Prefix]]&amp;IF(New_Xref[[#This Row],[Func Loc]]&lt;&gt;"",New_Xref[[#This Row],[Func Loc]],"NO MATCH")</f>
        <v>B9K0ENGD .TURB.TC01</v>
      </c>
      <c r="S449" s="3" t="str">
        <f t="shared" si="47"/>
        <v>B9K010R8964Turbocharger</v>
      </c>
      <c r="T449" s="3" t="s">
        <v>47</v>
      </c>
      <c r="U449" s="3" t="s">
        <v>34</v>
      </c>
      <c r="V449" t="str">
        <f t="shared" si="48"/>
        <v>105200</v>
      </c>
    </row>
    <row r="450" spans="1:22">
      <c r="A450" t="s">
        <v>1928</v>
      </c>
      <c r="B450" t="s">
        <v>1929</v>
      </c>
      <c r="C450" t="s">
        <v>1954</v>
      </c>
      <c r="D450" t="s">
        <v>1955</v>
      </c>
      <c r="E450" t="s">
        <v>58</v>
      </c>
      <c r="F450" t="s">
        <v>27</v>
      </c>
      <c r="G450">
        <v>6</v>
      </c>
      <c r="H450" t="s">
        <v>1956</v>
      </c>
      <c r="I450" t="s">
        <v>1934</v>
      </c>
      <c r="J450" t="s">
        <v>1957</v>
      </c>
      <c r="K450" t="s">
        <v>1958</v>
      </c>
      <c r="L450" t="s">
        <v>62</v>
      </c>
      <c r="M450" s="1" t="str">
        <f t="shared" si="42"/>
        <v>12H446</v>
      </c>
      <c r="N450" s="1" t="str">
        <f t="shared" si="43"/>
        <v>C/O</v>
      </c>
      <c r="O450" s="1" t="str">
        <f t="shared" si="44"/>
        <v>Fuel Injectors</v>
      </c>
      <c r="P450" s="1" t="str">
        <f t="shared" si="45"/>
        <v>B930</v>
      </c>
      <c r="Q450" s="2" t="str">
        <f t="shared" si="46"/>
        <v>B930Fuel Injectors</v>
      </c>
      <c r="R450" s="2" t="str">
        <f>New_Xref[[#This Row],[Serial Prefix]]&amp;IF(New_Xref[[#This Row],[Func Loc]]&lt;&gt;"",New_Xref[[#This Row],[Func Loc]],"NO MATCH")</f>
        <v>B930ENGD .FUEL.INJE</v>
      </c>
      <c r="S450" s="3" t="str">
        <f t="shared" si="47"/>
        <v>B93010R3265Fuel Injectors</v>
      </c>
      <c r="T450" s="3" t="s">
        <v>63</v>
      </c>
      <c r="U450" s="3" t="s">
        <v>34</v>
      </c>
      <c r="V450" t="str">
        <f t="shared" si="48"/>
        <v>125100</v>
      </c>
    </row>
    <row r="451" spans="1:22">
      <c r="A451" t="s">
        <v>1928</v>
      </c>
      <c r="B451" t="s">
        <v>1937</v>
      </c>
      <c r="C451" t="s">
        <v>1954</v>
      </c>
      <c r="D451" t="s">
        <v>1955</v>
      </c>
      <c r="E451" t="s">
        <v>58</v>
      </c>
      <c r="F451" t="s">
        <v>27</v>
      </c>
      <c r="G451">
        <v>6</v>
      </c>
      <c r="H451" t="s">
        <v>1959</v>
      </c>
      <c r="I451" t="s">
        <v>1942</v>
      </c>
      <c r="J451" t="s">
        <v>1960</v>
      </c>
      <c r="K451" t="s">
        <v>1961</v>
      </c>
      <c r="L451" t="s">
        <v>62</v>
      </c>
      <c r="M451" s="1" t="str">
        <f t="shared" ref="M451:M514" si="49">LEFT(K451,FIND(" ",K451,1)-1)</f>
        <v>12H227</v>
      </c>
      <c r="N451" s="1" t="str">
        <f t="shared" ref="N451:N514" si="50">MID(K451,LEN(M451)+2,FIND(" ",K451,LEN(M451)+2)-LEN(M451)-2)</f>
        <v>C/O</v>
      </c>
      <c r="O451" s="1" t="str">
        <f t="shared" ref="O451:O514" si="51">MID(K451,FIND(N451,K451,1)+LEN(N451)+1, 150)</f>
        <v>Fuel Injectors</v>
      </c>
      <c r="P451" s="1" t="str">
        <f t="shared" ref="P451:P514" si="52">LEFT(B451,4)</f>
        <v>B9K0</v>
      </c>
      <c r="Q451" s="2" t="str">
        <f t="shared" ref="Q451:Q514" si="53">P451&amp;O451</f>
        <v>B9K0Fuel Injectors</v>
      </c>
      <c r="R451" s="2" t="str">
        <f>New_Xref[[#This Row],[Serial Prefix]]&amp;IF(New_Xref[[#This Row],[Func Loc]]&lt;&gt;"",New_Xref[[#This Row],[Func Loc]],"NO MATCH")</f>
        <v>B9K0ENGD .FUEL.INJE</v>
      </c>
      <c r="S451" s="3" t="str">
        <f t="shared" ref="S451:S514" si="54">P451&amp;D451&amp;O451</f>
        <v>B9K010R3265Fuel Injectors</v>
      </c>
      <c r="T451" s="3" t="s">
        <v>63</v>
      </c>
      <c r="U451" s="3" t="s">
        <v>34</v>
      </c>
      <c r="V451" t="str">
        <f t="shared" ref="V451:V514" si="55">LEFT(T451,FIND(" -",T451,1)-1)&amp;LEFT(U451,FIND(" -",U451,1)-1)</f>
        <v>125100</v>
      </c>
    </row>
    <row r="452" spans="1:22">
      <c r="A452" t="s">
        <v>1928</v>
      </c>
      <c r="B452" t="s">
        <v>1929</v>
      </c>
      <c r="C452" t="s">
        <v>1962</v>
      </c>
      <c r="D452" t="s">
        <v>1963</v>
      </c>
      <c r="E452" t="s">
        <v>1964</v>
      </c>
      <c r="F452" t="s">
        <v>27</v>
      </c>
      <c r="G452">
        <v>1</v>
      </c>
      <c r="H452" t="s">
        <v>1965</v>
      </c>
      <c r="I452" t="s">
        <v>1966</v>
      </c>
      <c r="J452" t="s">
        <v>1967</v>
      </c>
      <c r="K452" t="s">
        <v>1966</v>
      </c>
      <c r="L452" t="s">
        <v>67</v>
      </c>
      <c r="M452" s="1" t="str">
        <f t="shared" si="49"/>
        <v>12H446</v>
      </c>
      <c r="N452" s="1" t="str">
        <f t="shared" si="50"/>
        <v>C/O</v>
      </c>
      <c r="O452" s="1" t="str">
        <f t="shared" si="51"/>
        <v>Engine Radiator</v>
      </c>
      <c r="P452" s="1" t="str">
        <f t="shared" si="52"/>
        <v>B930</v>
      </c>
      <c r="Q452" s="2" t="str">
        <f t="shared" si="53"/>
        <v>B930Engine Radiator</v>
      </c>
      <c r="R452" s="2" t="str">
        <f>New_Xref[[#This Row],[Serial Prefix]]&amp;IF(New_Xref[[#This Row],[Func Loc]]&lt;&gt;"",New_Xref[[#This Row],[Func Loc]],"NO MATCH")</f>
        <v>B930ENGD .ENCS.RADI</v>
      </c>
      <c r="S452" s="3" t="str">
        <f t="shared" si="54"/>
        <v>B9304370341FEngine Radiator</v>
      </c>
      <c r="T452" s="3" t="s">
        <v>68</v>
      </c>
      <c r="U452" s="3" t="s">
        <v>34</v>
      </c>
      <c r="V452" t="str">
        <f t="shared" si="55"/>
        <v>135300</v>
      </c>
    </row>
    <row r="453" spans="1:22">
      <c r="A453" t="s">
        <v>1928</v>
      </c>
      <c r="B453" t="s">
        <v>1937</v>
      </c>
      <c r="H453" t="s">
        <v>1968</v>
      </c>
      <c r="I453" t="s">
        <v>1969</v>
      </c>
      <c r="J453" t="s">
        <v>1970</v>
      </c>
      <c r="K453" t="s">
        <v>1969</v>
      </c>
      <c r="L453" t="s">
        <v>67</v>
      </c>
      <c r="M453" s="1" t="str">
        <f t="shared" si="49"/>
        <v>12H227</v>
      </c>
      <c r="N453" s="1" t="str">
        <f t="shared" si="50"/>
        <v>C/O</v>
      </c>
      <c r="O453" s="1" t="str">
        <f t="shared" si="51"/>
        <v>Engine Radiator</v>
      </c>
      <c r="P453" s="1" t="str">
        <f t="shared" si="52"/>
        <v>B9K0</v>
      </c>
      <c r="Q453" s="2" t="str">
        <f t="shared" si="53"/>
        <v>B9K0Engine Radiator</v>
      </c>
      <c r="R453" s="2" t="str">
        <f>New_Xref[[#This Row],[Serial Prefix]]&amp;IF(New_Xref[[#This Row],[Func Loc]]&lt;&gt;"",New_Xref[[#This Row],[Func Loc]],"NO MATCH")</f>
        <v>B9K0ENGD .ENCS.RADI</v>
      </c>
      <c r="S453" s="3" t="str">
        <f t="shared" si="54"/>
        <v>B9K0Engine Radiator</v>
      </c>
      <c r="T453" s="3" t="s">
        <v>68</v>
      </c>
      <c r="U453" s="3" t="s">
        <v>34</v>
      </c>
      <c r="V453" t="str">
        <f t="shared" si="55"/>
        <v>135300</v>
      </c>
    </row>
    <row r="454" spans="1:22">
      <c r="A454" t="s">
        <v>1928</v>
      </c>
      <c r="B454" t="s">
        <v>1929</v>
      </c>
      <c r="C454" t="s">
        <v>1971</v>
      </c>
      <c r="D454" t="s">
        <v>1972</v>
      </c>
      <c r="E454" t="s">
        <v>832</v>
      </c>
      <c r="F454" t="s">
        <v>27</v>
      </c>
      <c r="G454">
        <v>1</v>
      </c>
      <c r="H454" t="s">
        <v>1973</v>
      </c>
      <c r="I454" t="s">
        <v>1934</v>
      </c>
      <c r="J454" t="s">
        <v>1974</v>
      </c>
      <c r="K454" t="s">
        <v>1975</v>
      </c>
      <c r="L454" t="s">
        <v>739</v>
      </c>
      <c r="M454" s="1" t="str">
        <f t="shared" si="49"/>
        <v>12H446</v>
      </c>
      <c r="N454" s="1" t="str">
        <f t="shared" si="50"/>
        <v>C/O</v>
      </c>
      <c r="O454" s="1" t="str">
        <f t="shared" si="51"/>
        <v>Water Pump Main</v>
      </c>
      <c r="P454" s="1" t="str">
        <f t="shared" si="52"/>
        <v>B930</v>
      </c>
      <c r="Q454" s="2" t="str">
        <f t="shared" si="53"/>
        <v>B930Water Pump Main</v>
      </c>
      <c r="R454" s="2" t="str">
        <f>New_Xref[[#This Row],[Serial Prefix]]&amp;IF(New_Xref[[#This Row],[Func Loc]]&lt;&gt;"",New_Xref[[#This Row],[Func Loc]],"NO MATCH")</f>
        <v>B930ENGD .WAPU.WP01</v>
      </c>
      <c r="S454" s="3" t="str">
        <f t="shared" si="54"/>
        <v>B93010R0484Water Pump Main</v>
      </c>
      <c r="T454" s="3" t="s">
        <v>183</v>
      </c>
      <c r="U454" s="3" t="s">
        <v>34</v>
      </c>
      <c r="V454" t="str">
        <f t="shared" si="55"/>
        <v>136100</v>
      </c>
    </row>
    <row r="455" spans="1:22">
      <c r="A455" t="s">
        <v>1928</v>
      </c>
      <c r="B455" t="s">
        <v>1937</v>
      </c>
      <c r="C455" t="s">
        <v>1971</v>
      </c>
      <c r="D455" t="s">
        <v>1972</v>
      </c>
      <c r="E455" t="s">
        <v>832</v>
      </c>
      <c r="F455" t="s">
        <v>27</v>
      </c>
      <c r="G455">
        <v>1</v>
      </c>
      <c r="H455" t="s">
        <v>1976</v>
      </c>
      <c r="I455" t="s">
        <v>1942</v>
      </c>
      <c r="J455" t="s">
        <v>1977</v>
      </c>
      <c r="K455" t="s">
        <v>1978</v>
      </c>
      <c r="L455" t="s">
        <v>739</v>
      </c>
      <c r="M455" s="1" t="str">
        <f t="shared" si="49"/>
        <v>12H227</v>
      </c>
      <c r="N455" s="1" t="str">
        <f t="shared" si="50"/>
        <v>C/O</v>
      </c>
      <c r="O455" s="1" t="str">
        <f t="shared" si="51"/>
        <v>Water Pump Main</v>
      </c>
      <c r="P455" s="1" t="str">
        <f t="shared" si="52"/>
        <v>B9K0</v>
      </c>
      <c r="Q455" s="2" t="str">
        <f t="shared" si="53"/>
        <v>B9K0Water Pump Main</v>
      </c>
      <c r="R455" s="2" t="str">
        <f>New_Xref[[#This Row],[Serial Prefix]]&amp;IF(New_Xref[[#This Row],[Func Loc]]&lt;&gt;"",New_Xref[[#This Row],[Func Loc]],"NO MATCH")</f>
        <v>B9K0ENGD .WAPU.WP01</v>
      </c>
      <c r="S455" s="3" t="str">
        <f t="shared" si="54"/>
        <v>B9K010R0484Water Pump Main</v>
      </c>
      <c r="T455" s="3" t="s">
        <v>183</v>
      </c>
      <c r="U455" s="3" t="s">
        <v>34</v>
      </c>
      <c r="V455" t="str">
        <f t="shared" si="55"/>
        <v>136100</v>
      </c>
    </row>
    <row r="456" spans="1:22">
      <c r="A456" t="s">
        <v>1928</v>
      </c>
      <c r="B456" t="s">
        <v>1929</v>
      </c>
      <c r="C456" t="s">
        <v>1979</v>
      </c>
      <c r="D456" t="s">
        <v>1980</v>
      </c>
      <c r="E456" t="s">
        <v>1981</v>
      </c>
      <c r="F456" t="s">
        <v>27</v>
      </c>
      <c r="G456">
        <v>1</v>
      </c>
      <c r="H456" t="s">
        <v>1982</v>
      </c>
      <c r="I456" t="s">
        <v>1983</v>
      </c>
      <c r="J456" t="s">
        <v>1984</v>
      </c>
      <c r="K456" t="s">
        <v>1983</v>
      </c>
      <c r="L456" t="s">
        <v>72</v>
      </c>
      <c r="M456" s="1" t="str">
        <f t="shared" si="49"/>
        <v>12H446</v>
      </c>
      <c r="N456" s="1" t="str">
        <f t="shared" si="50"/>
        <v>C/O</v>
      </c>
      <c r="O456" s="1" t="str">
        <f t="shared" si="51"/>
        <v>Transmission</v>
      </c>
      <c r="P456" s="1" t="str">
        <f t="shared" si="52"/>
        <v>B930</v>
      </c>
      <c r="Q456" s="2" t="str">
        <f t="shared" si="53"/>
        <v>B930Transmission</v>
      </c>
      <c r="R456" s="2" t="str">
        <f>New_Xref[[#This Row],[Serial Prefix]]&amp;IF(New_Xref[[#This Row],[Func Loc]]&lt;&gt;"",New_Xref[[#This Row],[Func Loc]],"NO MATCH")</f>
        <v>B930TRAN .TRAN</v>
      </c>
      <c r="S456" s="3" t="str">
        <f t="shared" si="54"/>
        <v>B9303742616XTransmission</v>
      </c>
      <c r="T456" s="3" t="s">
        <v>73</v>
      </c>
      <c r="U456" s="3" t="s">
        <v>34</v>
      </c>
      <c r="V456" t="str">
        <f t="shared" si="55"/>
        <v>303000</v>
      </c>
    </row>
    <row r="457" spans="1:22">
      <c r="A457" t="s">
        <v>1928</v>
      </c>
      <c r="B457" t="s">
        <v>1937</v>
      </c>
      <c r="C457" t="s">
        <v>1985</v>
      </c>
      <c r="D457" t="s">
        <v>1986</v>
      </c>
      <c r="E457" t="s">
        <v>191</v>
      </c>
      <c r="F457" t="s">
        <v>27</v>
      </c>
      <c r="G457">
        <v>1</v>
      </c>
      <c r="H457" t="s">
        <v>1987</v>
      </c>
      <c r="I457" t="s">
        <v>1988</v>
      </c>
      <c r="J457" t="s">
        <v>1989</v>
      </c>
      <c r="K457" t="s">
        <v>1988</v>
      </c>
      <c r="L457" t="s">
        <v>72</v>
      </c>
      <c r="M457" s="1" t="str">
        <f t="shared" si="49"/>
        <v>12H227</v>
      </c>
      <c r="N457" s="1" t="str">
        <f t="shared" si="50"/>
        <v>C/O</v>
      </c>
      <c r="O457" s="1" t="str">
        <f t="shared" si="51"/>
        <v>Transmission</v>
      </c>
      <c r="P457" s="1" t="str">
        <f t="shared" si="52"/>
        <v>B9K0</v>
      </c>
      <c r="Q457" s="2" t="str">
        <f t="shared" si="53"/>
        <v>B9K0Transmission</v>
      </c>
      <c r="R457" s="2" t="str">
        <f>New_Xref[[#This Row],[Serial Prefix]]&amp;IF(New_Xref[[#This Row],[Func Loc]]&lt;&gt;"",New_Xref[[#This Row],[Func Loc]],"NO MATCH")</f>
        <v>B9K0TRAN .TRAN</v>
      </c>
      <c r="S457" s="3" t="str">
        <f t="shared" si="54"/>
        <v>B9K02675245XTransmission</v>
      </c>
      <c r="T457" s="3" t="s">
        <v>73</v>
      </c>
      <c r="U457" s="3" t="s">
        <v>34</v>
      </c>
      <c r="V457" t="str">
        <f t="shared" si="55"/>
        <v>303000</v>
      </c>
    </row>
    <row r="458" spans="1:22">
      <c r="A458" t="s">
        <v>1928</v>
      </c>
      <c r="B458" t="s">
        <v>1929</v>
      </c>
      <c r="C458" t="s">
        <v>1990</v>
      </c>
      <c r="D458" t="s">
        <v>1991</v>
      </c>
      <c r="E458" t="s">
        <v>1992</v>
      </c>
      <c r="F458" t="s">
        <v>27</v>
      </c>
      <c r="G458">
        <v>1</v>
      </c>
      <c r="H458" t="s">
        <v>1993</v>
      </c>
      <c r="I458" t="s">
        <v>1994</v>
      </c>
      <c r="J458" t="s">
        <v>1995</v>
      </c>
      <c r="K458" t="s">
        <v>1994</v>
      </c>
      <c r="L458" t="s">
        <v>304</v>
      </c>
      <c r="M458" s="1" t="str">
        <f t="shared" si="49"/>
        <v>12H446</v>
      </c>
      <c r="N458" s="1" t="str">
        <f t="shared" si="50"/>
        <v>C/O</v>
      </c>
      <c r="O458" s="1" t="str">
        <f t="shared" si="51"/>
        <v>Torque Converter</v>
      </c>
      <c r="P458" s="1" t="str">
        <f t="shared" si="52"/>
        <v>B930</v>
      </c>
      <c r="Q458" s="2" t="str">
        <f t="shared" si="53"/>
        <v>B930Torque Converter</v>
      </c>
      <c r="R458" s="2" t="str">
        <f>New_Xref[[#This Row],[Serial Prefix]]&amp;IF(New_Xref[[#This Row],[Func Loc]]&lt;&gt;"",New_Xref[[#This Row],[Func Loc]],"NO MATCH")</f>
        <v>B930TRAN .TOCO</v>
      </c>
      <c r="S458" s="3" t="str">
        <f t="shared" si="54"/>
        <v>B9303923633XTorque Converter</v>
      </c>
      <c r="T458" s="3" t="s">
        <v>305</v>
      </c>
      <c r="U458" s="3" t="s">
        <v>34</v>
      </c>
      <c r="V458" t="str">
        <f t="shared" si="55"/>
        <v>310100</v>
      </c>
    </row>
    <row r="459" spans="1:22">
      <c r="A459" t="s">
        <v>1928</v>
      </c>
      <c r="B459" t="s">
        <v>1937</v>
      </c>
      <c r="C459" t="s">
        <v>1996</v>
      </c>
      <c r="D459" t="s">
        <v>1997</v>
      </c>
      <c r="E459" t="s">
        <v>1998</v>
      </c>
      <c r="F459" t="s">
        <v>27</v>
      </c>
      <c r="G459">
        <v>1</v>
      </c>
      <c r="H459" t="s">
        <v>1999</v>
      </c>
      <c r="I459" t="s">
        <v>2000</v>
      </c>
      <c r="J459" t="s">
        <v>2001</v>
      </c>
      <c r="K459" t="s">
        <v>2000</v>
      </c>
      <c r="L459" t="s">
        <v>304</v>
      </c>
      <c r="M459" s="1" t="str">
        <f t="shared" si="49"/>
        <v>12H227</v>
      </c>
      <c r="N459" s="1" t="str">
        <f t="shared" si="50"/>
        <v>C/O</v>
      </c>
      <c r="O459" s="1" t="str">
        <f t="shared" si="51"/>
        <v>Torque Converter</v>
      </c>
      <c r="P459" s="1" t="str">
        <f t="shared" si="52"/>
        <v>B9K0</v>
      </c>
      <c r="Q459" s="2" t="str">
        <f t="shared" si="53"/>
        <v>B9K0Torque Converter</v>
      </c>
      <c r="R459" s="2" t="str">
        <f>New_Xref[[#This Row],[Serial Prefix]]&amp;IF(New_Xref[[#This Row],[Func Loc]]&lt;&gt;"",New_Xref[[#This Row],[Func Loc]],"NO MATCH")</f>
        <v>B9K0TRAN .TOCO</v>
      </c>
      <c r="S459" s="3" t="str">
        <f t="shared" si="54"/>
        <v>B9K02685675XTorque Converter</v>
      </c>
      <c r="T459" s="3" t="s">
        <v>305</v>
      </c>
      <c r="U459" s="3" t="s">
        <v>34</v>
      </c>
      <c r="V459" t="str">
        <f t="shared" si="55"/>
        <v>310100</v>
      </c>
    </row>
    <row r="460" spans="1:22">
      <c r="A460" t="s">
        <v>1928</v>
      </c>
      <c r="B460" t="s">
        <v>2002</v>
      </c>
      <c r="C460" t="s">
        <v>1884</v>
      </c>
      <c r="D460" t="s">
        <v>1885</v>
      </c>
      <c r="E460" t="s">
        <v>1886</v>
      </c>
      <c r="F460" t="s">
        <v>27</v>
      </c>
      <c r="G460">
        <v>1</v>
      </c>
      <c r="H460" t="s">
        <v>2003</v>
      </c>
      <c r="I460" t="s">
        <v>2004</v>
      </c>
      <c r="J460" t="s">
        <v>2005</v>
      </c>
      <c r="K460" t="s">
        <v>2004</v>
      </c>
      <c r="L460" t="s">
        <v>1605</v>
      </c>
      <c r="M460" s="1" t="str">
        <f t="shared" si="49"/>
        <v>12R421</v>
      </c>
      <c r="N460" s="1" t="str">
        <f t="shared" si="50"/>
        <v>C/O</v>
      </c>
      <c r="O460" s="1" t="str">
        <f t="shared" si="51"/>
        <v>Final Drive LH</v>
      </c>
      <c r="P460" s="1" t="str">
        <f t="shared" si="52"/>
        <v>B9K0</v>
      </c>
      <c r="Q460" s="2" t="str">
        <f t="shared" si="53"/>
        <v>B9K0Final Drive LH</v>
      </c>
      <c r="R460" s="2" t="str">
        <f>New_Xref[[#This Row],[Serial Prefix]]&amp;IF(New_Xref[[#This Row],[Func Loc]]&lt;&gt;"",New_Xref[[#This Row],[Func Loc]],"NO MATCH")</f>
        <v>B9K0FDRV .AXAR.FDLH</v>
      </c>
      <c r="S460" s="3" t="str">
        <f t="shared" si="54"/>
        <v>B9K01659955XFinal Drive LH</v>
      </c>
      <c r="T460" s="3" t="s">
        <v>908</v>
      </c>
      <c r="U460" s="3" t="s">
        <v>108</v>
      </c>
      <c r="V460" t="str">
        <f t="shared" si="55"/>
        <v>4050LT</v>
      </c>
    </row>
    <row r="461" spans="1:22">
      <c r="A461" t="s">
        <v>1928</v>
      </c>
      <c r="B461" t="s">
        <v>2002</v>
      </c>
      <c r="C461" t="s">
        <v>1884</v>
      </c>
      <c r="D461" t="s">
        <v>1885</v>
      </c>
      <c r="E461" t="s">
        <v>1886</v>
      </c>
      <c r="F461" t="s">
        <v>27</v>
      </c>
      <c r="G461">
        <v>1</v>
      </c>
      <c r="H461" t="s">
        <v>2003</v>
      </c>
      <c r="I461" t="s">
        <v>2006</v>
      </c>
      <c r="J461" t="s">
        <v>2007</v>
      </c>
      <c r="K461" t="s">
        <v>2006</v>
      </c>
      <c r="L461" t="s">
        <v>1608</v>
      </c>
      <c r="M461" s="1" t="str">
        <f t="shared" si="49"/>
        <v>12R421</v>
      </c>
      <c r="N461" s="1" t="str">
        <f t="shared" si="50"/>
        <v>C/O</v>
      </c>
      <c r="O461" s="1" t="str">
        <f t="shared" si="51"/>
        <v>Final Drive RH</v>
      </c>
      <c r="P461" s="1" t="str">
        <f t="shared" si="52"/>
        <v>B9K0</v>
      </c>
      <c r="Q461" s="2" t="str">
        <f t="shared" si="53"/>
        <v>B9K0Final Drive RH</v>
      </c>
      <c r="R461" s="2" t="str">
        <f>New_Xref[[#This Row],[Serial Prefix]]&amp;IF(New_Xref[[#This Row],[Func Loc]]&lt;&gt;"",New_Xref[[#This Row],[Func Loc]],"NO MATCH")</f>
        <v>B9K0FDRV .AXAR.FDRH</v>
      </c>
      <c r="S461" s="3" t="str">
        <f t="shared" si="54"/>
        <v>B9K01659955XFinal Drive RH</v>
      </c>
      <c r="T461" s="3" t="s">
        <v>908</v>
      </c>
      <c r="U461" s="3" t="s">
        <v>115</v>
      </c>
      <c r="V461" t="str">
        <f t="shared" si="55"/>
        <v>4050RI</v>
      </c>
    </row>
    <row r="462" spans="1:22">
      <c r="A462" t="s">
        <v>1928</v>
      </c>
      <c r="B462" t="s">
        <v>1929</v>
      </c>
      <c r="C462" t="s">
        <v>2008</v>
      </c>
      <c r="D462" t="s">
        <v>2009</v>
      </c>
      <c r="E462" t="s">
        <v>2010</v>
      </c>
      <c r="F462" t="s">
        <v>27</v>
      </c>
      <c r="G462">
        <v>1</v>
      </c>
      <c r="H462" t="s">
        <v>2011</v>
      </c>
      <c r="I462" t="s">
        <v>2012</v>
      </c>
      <c r="J462" t="s">
        <v>2013</v>
      </c>
      <c r="K462" t="s">
        <v>2012</v>
      </c>
      <c r="L462" t="s">
        <v>1588</v>
      </c>
      <c r="M462" s="1" t="str">
        <f t="shared" si="49"/>
        <v>12H446</v>
      </c>
      <c r="N462" s="1" t="str">
        <f t="shared" si="50"/>
        <v>C/O</v>
      </c>
      <c r="O462" s="1" t="str">
        <f t="shared" si="51"/>
        <v>Brake LHF</v>
      </c>
      <c r="P462" s="1" t="str">
        <f t="shared" si="52"/>
        <v>B930</v>
      </c>
      <c r="Q462" s="2" t="str">
        <f t="shared" si="53"/>
        <v>B930Brake LHF</v>
      </c>
      <c r="R462" s="2" t="str">
        <f>New_Xref[[#This Row],[Serial Prefix]]&amp;IF(New_Xref[[#This Row],[Func Loc]]&lt;&gt;"",New_Xref[[#This Row],[Func Loc]],"NO MATCH")</f>
        <v>B930BRAK .SEBR.SB01</v>
      </c>
      <c r="S462" s="3" t="str">
        <f t="shared" si="54"/>
        <v>B93020R4839Brake LHF</v>
      </c>
      <c r="T462" s="3" t="s">
        <v>205</v>
      </c>
      <c r="U462" s="3" t="s">
        <v>89</v>
      </c>
      <c r="V462" t="str">
        <f t="shared" si="55"/>
        <v>4251LF</v>
      </c>
    </row>
    <row r="463" spans="1:22">
      <c r="A463" t="s">
        <v>1928</v>
      </c>
      <c r="B463" t="s">
        <v>1929</v>
      </c>
      <c r="C463" t="s">
        <v>2008</v>
      </c>
      <c r="D463" t="s">
        <v>2009</v>
      </c>
      <c r="E463" t="s">
        <v>2010</v>
      </c>
      <c r="F463" t="s">
        <v>27</v>
      </c>
      <c r="G463">
        <v>1</v>
      </c>
      <c r="H463" t="s">
        <v>2014</v>
      </c>
      <c r="I463" t="s">
        <v>2015</v>
      </c>
      <c r="J463" t="s">
        <v>2016</v>
      </c>
      <c r="K463" t="s">
        <v>2015</v>
      </c>
      <c r="L463" t="s">
        <v>1579</v>
      </c>
      <c r="M463" s="1" t="str">
        <f t="shared" si="49"/>
        <v>12H446</v>
      </c>
      <c r="N463" s="1" t="str">
        <f t="shared" si="50"/>
        <v>C/O</v>
      </c>
      <c r="O463" s="1" t="str">
        <f t="shared" si="51"/>
        <v>Brake LHR</v>
      </c>
      <c r="P463" s="1" t="str">
        <f t="shared" si="52"/>
        <v>B930</v>
      </c>
      <c r="Q463" s="2" t="str">
        <f t="shared" si="53"/>
        <v>B930Brake LHR</v>
      </c>
      <c r="R463" s="2" t="str">
        <f>New_Xref[[#This Row],[Serial Prefix]]&amp;IF(New_Xref[[#This Row],[Func Loc]]&lt;&gt;"",New_Xref[[#This Row],[Func Loc]],"NO MATCH")</f>
        <v>B930BRAK .SEBR.SB03</v>
      </c>
      <c r="S463" s="3" t="str">
        <f t="shared" si="54"/>
        <v>B93020R4839Brake LHR</v>
      </c>
      <c r="T463" s="3" t="s">
        <v>205</v>
      </c>
      <c r="U463" s="3" t="s">
        <v>96</v>
      </c>
      <c r="V463" t="str">
        <f t="shared" si="55"/>
        <v>4251LR</v>
      </c>
    </row>
    <row r="464" spans="1:22">
      <c r="A464" t="s">
        <v>1928</v>
      </c>
      <c r="B464" t="s">
        <v>1929</v>
      </c>
      <c r="C464" t="s">
        <v>2008</v>
      </c>
      <c r="D464" t="s">
        <v>2009</v>
      </c>
      <c r="E464" t="s">
        <v>2010</v>
      </c>
      <c r="F464" t="s">
        <v>27</v>
      </c>
      <c r="G464">
        <v>1</v>
      </c>
      <c r="H464" t="s">
        <v>2011</v>
      </c>
      <c r="I464" t="s">
        <v>2017</v>
      </c>
      <c r="J464" t="s">
        <v>2018</v>
      </c>
      <c r="K464" t="s">
        <v>2017</v>
      </c>
      <c r="L464" t="s">
        <v>1582</v>
      </c>
      <c r="M464" s="1" t="str">
        <f t="shared" si="49"/>
        <v>12H446</v>
      </c>
      <c r="N464" s="1" t="str">
        <f t="shared" si="50"/>
        <v>C/O</v>
      </c>
      <c r="O464" s="1" t="str">
        <f t="shared" si="51"/>
        <v>Brake RHF</v>
      </c>
      <c r="P464" s="1" t="str">
        <f t="shared" si="52"/>
        <v>B930</v>
      </c>
      <c r="Q464" s="2" t="str">
        <f t="shared" si="53"/>
        <v>B930Brake RHF</v>
      </c>
      <c r="R464" s="2" t="str">
        <f>New_Xref[[#This Row],[Serial Prefix]]&amp;IF(New_Xref[[#This Row],[Func Loc]]&lt;&gt;"",New_Xref[[#This Row],[Func Loc]],"NO MATCH")</f>
        <v>B930BRAK .SEBR.SB02</v>
      </c>
      <c r="S464" s="3" t="str">
        <f t="shared" si="54"/>
        <v>B93020R4839Brake RHF</v>
      </c>
      <c r="T464" s="3" t="s">
        <v>205</v>
      </c>
      <c r="U464" s="3" t="s">
        <v>92</v>
      </c>
      <c r="V464" t="str">
        <f t="shared" si="55"/>
        <v>4251RF</v>
      </c>
    </row>
    <row r="465" spans="1:22">
      <c r="A465" t="s">
        <v>1928</v>
      </c>
      <c r="B465" t="s">
        <v>1929</v>
      </c>
      <c r="C465" t="s">
        <v>2008</v>
      </c>
      <c r="D465" t="s">
        <v>2009</v>
      </c>
      <c r="E465" t="s">
        <v>2010</v>
      </c>
      <c r="F465" t="s">
        <v>27</v>
      </c>
      <c r="G465">
        <v>1</v>
      </c>
      <c r="H465" t="s">
        <v>2014</v>
      </c>
      <c r="I465" t="s">
        <v>2019</v>
      </c>
      <c r="J465" t="s">
        <v>2020</v>
      </c>
      <c r="K465" t="s">
        <v>2019</v>
      </c>
      <c r="L465" t="s">
        <v>1585</v>
      </c>
      <c r="M465" s="1" t="str">
        <f t="shared" si="49"/>
        <v>12H446</v>
      </c>
      <c r="N465" s="1" t="str">
        <f t="shared" si="50"/>
        <v>C/O</v>
      </c>
      <c r="O465" s="1" t="str">
        <f t="shared" si="51"/>
        <v>Brake RHR</v>
      </c>
      <c r="P465" s="1" t="str">
        <f t="shared" si="52"/>
        <v>B930</v>
      </c>
      <c r="Q465" s="2" t="str">
        <f t="shared" si="53"/>
        <v>B930Brake RHR</v>
      </c>
      <c r="R465" s="2" t="str">
        <f>New_Xref[[#This Row],[Serial Prefix]]&amp;IF(New_Xref[[#This Row],[Func Loc]]&lt;&gt;"",New_Xref[[#This Row],[Func Loc]],"NO MATCH")</f>
        <v>B930BRAK .SEBR.SB04</v>
      </c>
      <c r="S465" s="3" t="str">
        <f t="shared" si="54"/>
        <v>B93020R4839Brake RHR</v>
      </c>
      <c r="T465" s="3" t="s">
        <v>205</v>
      </c>
      <c r="U465" s="3" t="s">
        <v>99</v>
      </c>
      <c r="V465" t="str">
        <f t="shared" si="55"/>
        <v>4251RR</v>
      </c>
    </row>
    <row r="466" spans="1:22">
      <c r="A466" t="s">
        <v>1928</v>
      </c>
      <c r="B466" t="s">
        <v>1937</v>
      </c>
      <c r="C466" t="s">
        <v>2008</v>
      </c>
      <c r="D466" t="s">
        <v>2009</v>
      </c>
      <c r="E466" t="s">
        <v>2010</v>
      </c>
      <c r="F466" t="s">
        <v>27</v>
      </c>
      <c r="G466">
        <v>1</v>
      </c>
      <c r="H466" t="s">
        <v>2021</v>
      </c>
      <c r="I466" t="s">
        <v>2022</v>
      </c>
      <c r="J466" t="s">
        <v>2023</v>
      </c>
      <c r="K466" t="s">
        <v>2022</v>
      </c>
      <c r="L466" t="s">
        <v>1588</v>
      </c>
      <c r="M466" s="1" t="str">
        <f t="shared" si="49"/>
        <v>12H227</v>
      </c>
      <c r="N466" s="1" t="str">
        <f t="shared" si="50"/>
        <v>C/O</v>
      </c>
      <c r="O466" s="1" t="str">
        <f t="shared" si="51"/>
        <v>Brake LHF</v>
      </c>
      <c r="P466" s="1" t="str">
        <f t="shared" si="52"/>
        <v>B9K0</v>
      </c>
      <c r="Q466" s="2" t="str">
        <f t="shared" si="53"/>
        <v>B9K0Brake LHF</v>
      </c>
      <c r="R466" s="2" t="str">
        <f>New_Xref[[#This Row],[Serial Prefix]]&amp;IF(New_Xref[[#This Row],[Func Loc]]&lt;&gt;"",New_Xref[[#This Row],[Func Loc]],"NO MATCH")</f>
        <v>B9K0BRAK .SEBR.SB01</v>
      </c>
      <c r="S466" s="3" t="str">
        <f t="shared" si="54"/>
        <v>B9K020R4839Brake LHF</v>
      </c>
      <c r="T466" s="3" t="s">
        <v>205</v>
      </c>
      <c r="U466" s="3" t="s">
        <v>89</v>
      </c>
      <c r="V466" t="str">
        <f t="shared" si="55"/>
        <v>4251LF</v>
      </c>
    </row>
    <row r="467" spans="1:22">
      <c r="A467" t="s">
        <v>1928</v>
      </c>
      <c r="B467" t="s">
        <v>1937</v>
      </c>
      <c r="C467" t="s">
        <v>2008</v>
      </c>
      <c r="D467" t="s">
        <v>2009</v>
      </c>
      <c r="E467" t="s">
        <v>2010</v>
      </c>
      <c r="F467" t="s">
        <v>27</v>
      </c>
      <c r="G467">
        <v>1</v>
      </c>
      <c r="H467" t="s">
        <v>2024</v>
      </c>
      <c r="I467" t="s">
        <v>2025</v>
      </c>
      <c r="J467" t="s">
        <v>2026</v>
      </c>
      <c r="K467" t="s">
        <v>2025</v>
      </c>
      <c r="L467" t="s">
        <v>1579</v>
      </c>
      <c r="M467" s="1" t="str">
        <f t="shared" si="49"/>
        <v>12H227</v>
      </c>
      <c r="N467" s="1" t="str">
        <f t="shared" si="50"/>
        <v>C/O</v>
      </c>
      <c r="O467" s="1" t="str">
        <f t="shared" si="51"/>
        <v>Brake LHR</v>
      </c>
      <c r="P467" s="1" t="str">
        <f t="shared" si="52"/>
        <v>B9K0</v>
      </c>
      <c r="Q467" s="2" t="str">
        <f t="shared" si="53"/>
        <v>B9K0Brake LHR</v>
      </c>
      <c r="R467" s="2" t="str">
        <f>New_Xref[[#This Row],[Serial Prefix]]&amp;IF(New_Xref[[#This Row],[Func Loc]]&lt;&gt;"",New_Xref[[#This Row],[Func Loc]],"NO MATCH")</f>
        <v>B9K0BRAK .SEBR.SB03</v>
      </c>
      <c r="S467" s="3" t="str">
        <f t="shared" si="54"/>
        <v>B9K020R4839Brake LHR</v>
      </c>
      <c r="T467" s="3" t="s">
        <v>205</v>
      </c>
      <c r="U467" s="3" t="s">
        <v>96</v>
      </c>
      <c r="V467" t="str">
        <f t="shared" si="55"/>
        <v>4251LR</v>
      </c>
    </row>
    <row r="468" spans="1:22">
      <c r="A468" t="s">
        <v>1928</v>
      </c>
      <c r="B468" t="s">
        <v>1937</v>
      </c>
      <c r="C468" t="s">
        <v>2008</v>
      </c>
      <c r="D468" t="s">
        <v>2009</v>
      </c>
      <c r="E468" t="s">
        <v>2010</v>
      </c>
      <c r="F468" t="s">
        <v>27</v>
      </c>
      <c r="G468">
        <v>1</v>
      </c>
      <c r="H468" t="s">
        <v>2021</v>
      </c>
      <c r="I468" t="s">
        <v>2027</v>
      </c>
      <c r="J468" t="s">
        <v>2028</v>
      </c>
      <c r="K468" t="s">
        <v>2027</v>
      </c>
      <c r="L468" t="s">
        <v>1582</v>
      </c>
      <c r="M468" s="1" t="str">
        <f t="shared" si="49"/>
        <v>12H227</v>
      </c>
      <c r="N468" s="1" t="str">
        <f t="shared" si="50"/>
        <v>C/O</v>
      </c>
      <c r="O468" s="1" t="str">
        <f t="shared" si="51"/>
        <v>Brake RHF</v>
      </c>
      <c r="P468" s="1" t="str">
        <f t="shared" si="52"/>
        <v>B9K0</v>
      </c>
      <c r="Q468" s="2" t="str">
        <f t="shared" si="53"/>
        <v>B9K0Brake RHF</v>
      </c>
      <c r="R468" s="2" t="str">
        <f>New_Xref[[#This Row],[Serial Prefix]]&amp;IF(New_Xref[[#This Row],[Func Loc]]&lt;&gt;"",New_Xref[[#This Row],[Func Loc]],"NO MATCH")</f>
        <v>B9K0BRAK .SEBR.SB02</v>
      </c>
      <c r="S468" s="3" t="str">
        <f t="shared" si="54"/>
        <v>B9K020R4839Brake RHF</v>
      </c>
      <c r="T468" s="3" t="s">
        <v>205</v>
      </c>
      <c r="U468" s="3" t="s">
        <v>92</v>
      </c>
      <c r="V468" t="str">
        <f t="shared" si="55"/>
        <v>4251RF</v>
      </c>
    </row>
    <row r="469" spans="1:22">
      <c r="A469" t="s">
        <v>1928</v>
      </c>
      <c r="B469" t="s">
        <v>1937</v>
      </c>
      <c r="C469" t="s">
        <v>2008</v>
      </c>
      <c r="D469" t="s">
        <v>2009</v>
      </c>
      <c r="E469" t="s">
        <v>2010</v>
      </c>
      <c r="F469" t="s">
        <v>27</v>
      </c>
      <c r="G469">
        <v>1</v>
      </c>
      <c r="H469" t="s">
        <v>2024</v>
      </c>
      <c r="I469" t="s">
        <v>2029</v>
      </c>
      <c r="J469" t="s">
        <v>2030</v>
      </c>
      <c r="K469" t="s">
        <v>2029</v>
      </c>
      <c r="L469" t="s">
        <v>1585</v>
      </c>
      <c r="M469" s="1" t="str">
        <f t="shared" si="49"/>
        <v>12H227</v>
      </c>
      <c r="N469" s="1" t="str">
        <f t="shared" si="50"/>
        <v>C/O</v>
      </c>
      <c r="O469" s="1" t="str">
        <f t="shared" si="51"/>
        <v>Brake RHR</v>
      </c>
      <c r="P469" s="1" t="str">
        <f t="shared" si="52"/>
        <v>B9K0</v>
      </c>
      <c r="Q469" s="2" t="str">
        <f t="shared" si="53"/>
        <v>B9K0Brake RHR</v>
      </c>
      <c r="R469" s="2" t="str">
        <f>New_Xref[[#This Row],[Serial Prefix]]&amp;IF(New_Xref[[#This Row],[Func Loc]]&lt;&gt;"",New_Xref[[#This Row],[Func Loc]],"NO MATCH")</f>
        <v>B9K0BRAK .SEBR.SB04</v>
      </c>
      <c r="S469" s="3" t="str">
        <f t="shared" si="54"/>
        <v>B9K020R4839Brake RHR</v>
      </c>
      <c r="T469" s="3" t="s">
        <v>205</v>
      </c>
      <c r="U469" s="3" t="s">
        <v>99</v>
      </c>
      <c r="V469" t="str">
        <f t="shared" si="55"/>
        <v>4251RR</v>
      </c>
    </row>
    <row r="470" spans="1:22">
      <c r="A470" t="s">
        <v>1928</v>
      </c>
      <c r="B470" t="s">
        <v>1929</v>
      </c>
      <c r="H470" t="s">
        <v>2031</v>
      </c>
      <c r="I470" t="s">
        <v>2032</v>
      </c>
      <c r="J470" t="s">
        <v>2033</v>
      </c>
      <c r="K470" t="s">
        <v>2034</v>
      </c>
      <c r="L470" t="s">
        <v>350</v>
      </c>
      <c r="M470" s="1" t="str">
        <f t="shared" si="49"/>
        <v>12H446</v>
      </c>
      <c r="N470" s="1" t="str">
        <f t="shared" si="50"/>
        <v>C/O</v>
      </c>
      <c r="O470" s="1" t="str">
        <f t="shared" si="51"/>
        <v>Axle Assembly Front</v>
      </c>
      <c r="P470" s="1" t="str">
        <f t="shared" si="52"/>
        <v>B930</v>
      </c>
      <c r="Q470" s="2" t="str">
        <f t="shared" si="53"/>
        <v>B930Axle Assembly Front</v>
      </c>
      <c r="R470" s="2" t="str">
        <f>New_Xref[[#This Row],[Serial Prefix]]&amp;IF(New_Xref[[#This Row],[Func Loc]]&lt;&gt;"",New_Xref[[#This Row],[Func Loc]],"NO MATCH")</f>
        <v>B930FDRV .AXAF</v>
      </c>
      <c r="S470" s="3" t="str">
        <f t="shared" si="54"/>
        <v>B930Axle Assembly Front</v>
      </c>
      <c r="T470" s="3" t="s">
        <v>351</v>
      </c>
      <c r="U470" s="3" t="s">
        <v>34</v>
      </c>
      <c r="V470" t="str">
        <f t="shared" si="55"/>
        <v>431300</v>
      </c>
    </row>
    <row r="471" spans="1:22">
      <c r="A471" t="s">
        <v>1928</v>
      </c>
      <c r="B471" t="s">
        <v>1937</v>
      </c>
      <c r="H471" t="s">
        <v>2035</v>
      </c>
      <c r="I471" t="s">
        <v>2036</v>
      </c>
      <c r="J471" t="s">
        <v>2037</v>
      </c>
      <c r="K471" t="s">
        <v>2038</v>
      </c>
      <c r="L471" t="s">
        <v>350</v>
      </c>
      <c r="M471" s="1" t="str">
        <f t="shared" si="49"/>
        <v>12H227</v>
      </c>
      <c r="N471" s="1" t="str">
        <f t="shared" si="50"/>
        <v>C/O</v>
      </c>
      <c r="O471" s="1" t="str">
        <f t="shared" si="51"/>
        <v>Axle Assembly Front</v>
      </c>
      <c r="P471" s="1" t="str">
        <f t="shared" si="52"/>
        <v>B9K0</v>
      </c>
      <c r="Q471" s="2" t="str">
        <f t="shared" si="53"/>
        <v>B9K0Axle Assembly Front</v>
      </c>
      <c r="R471" s="2" t="str">
        <f>New_Xref[[#This Row],[Serial Prefix]]&amp;IF(New_Xref[[#This Row],[Func Loc]]&lt;&gt;"",New_Xref[[#This Row],[Func Loc]],"NO MATCH")</f>
        <v>B9K0FDRV .AXAF</v>
      </c>
      <c r="S471" s="3" t="str">
        <f t="shared" si="54"/>
        <v>B9K0Axle Assembly Front</v>
      </c>
      <c r="T471" s="3" t="s">
        <v>351</v>
      </c>
      <c r="U471" s="3" t="s">
        <v>34</v>
      </c>
      <c r="V471" t="str">
        <f t="shared" si="55"/>
        <v>431300</v>
      </c>
    </row>
    <row r="472" spans="1:22">
      <c r="A472" t="s">
        <v>1928</v>
      </c>
      <c r="B472" t="s">
        <v>1937</v>
      </c>
      <c r="C472" t="s">
        <v>352</v>
      </c>
      <c r="D472" t="s">
        <v>353</v>
      </c>
      <c r="E472" t="s">
        <v>354</v>
      </c>
      <c r="F472" t="s">
        <v>27</v>
      </c>
      <c r="G472">
        <v>1</v>
      </c>
      <c r="H472" t="s">
        <v>2039</v>
      </c>
      <c r="I472" t="s">
        <v>2040</v>
      </c>
      <c r="J472" t="s">
        <v>2041</v>
      </c>
      <c r="K472" t="s">
        <v>2040</v>
      </c>
      <c r="L472" t="s">
        <v>358</v>
      </c>
      <c r="M472" s="1" t="str">
        <f t="shared" si="49"/>
        <v>12H227</v>
      </c>
      <c r="N472" s="1" t="str">
        <f t="shared" si="50"/>
        <v>C/O</v>
      </c>
      <c r="O472" s="1" t="str">
        <f t="shared" si="51"/>
        <v>Centre Joint</v>
      </c>
      <c r="P472" s="1" t="str">
        <f t="shared" si="52"/>
        <v>B9K0</v>
      </c>
      <c r="Q472" s="2" t="str">
        <f t="shared" si="53"/>
        <v>B9K0Centre Joint</v>
      </c>
      <c r="R472" s="2" t="str">
        <f>New_Xref[[#This Row],[Serial Prefix]]&amp;IF(New_Xref[[#This Row],[Func Loc]]&lt;&gt;"",New_Xref[[#This Row],[Func Loc]],"NO MATCH")</f>
        <v>B9K0MYHD .VALV.CEJO</v>
      </c>
      <c r="S472" s="3" t="str">
        <f t="shared" si="54"/>
        <v>B9K04529419Centre Joint</v>
      </c>
      <c r="T472" s="3" t="s">
        <v>359</v>
      </c>
      <c r="U472" s="3" t="s">
        <v>34</v>
      </c>
      <c r="V472" t="str">
        <f t="shared" si="55"/>
        <v>506000</v>
      </c>
    </row>
    <row r="473" spans="1:22">
      <c r="A473" t="s">
        <v>1928</v>
      </c>
      <c r="B473" t="s">
        <v>1929</v>
      </c>
      <c r="H473" t="s">
        <v>2042</v>
      </c>
      <c r="I473" t="s">
        <v>2043</v>
      </c>
      <c r="J473" t="s">
        <v>2044</v>
      </c>
      <c r="K473" t="s">
        <v>2043</v>
      </c>
      <c r="L473" t="s">
        <v>375</v>
      </c>
      <c r="M473" s="1" t="str">
        <f t="shared" si="49"/>
        <v>12H446</v>
      </c>
      <c r="N473" s="1" t="str">
        <f t="shared" si="50"/>
        <v>C/O</v>
      </c>
      <c r="O473" s="1" t="str">
        <f t="shared" si="51"/>
        <v>Blade Tilt Cylinder LH</v>
      </c>
      <c r="P473" s="1" t="str">
        <f t="shared" si="52"/>
        <v>B930</v>
      </c>
      <c r="Q473" s="2" t="str">
        <f t="shared" si="53"/>
        <v>B930Blade Tilt Cylinder LH</v>
      </c>
      <c r="R473" s="2" t="str">
        <f>New_Xref[[#This Row],[Serial Prefix]]&amp;IF(New_Xref[[#This Row],[Func Loc]]&lt;&gt;"",New_Xref[[#This Row],[Func Loc]],"NO MATCH")</f>
        <v>B930MYHD .CYLI.BLTL</v>
      </c>
      <c r="S473" s="3" t="str">
        <f t="shared" si="54"/>
        <v>B930Blade Tilt Cylinder LH</v>
      </c>
      <c r="T473" s="3" t="s">
        <v>225</v>
      </c>
      <c r="U473" s="3" t="s">
        <v>108</v>
      </c>
      <c r="V473" t="str">
        <f t="shared" si="55"/>
        <v>5106LT</v>
      </c>
    </row>
    <row r="474" spans="1:22">
      <c r="A474" t="s">
        <v>1928</v>
      </c>
      <c r="B474" t="s">
        <v>1929</v>
      </c>
      <c r="H474" t="s">
        <v>2042</v>
      </c>
      <c r="I474" t="s">
        <v>2045</v>
      </c>
      <c r="J474" t="s">
        <v>2046</v>
      </c>
      <c r="K474" t="s">
        <v>2045</v>
      </c>
      <c r="L474" t="s">
        <v>378</v>
      </c>
      <c r="M474" s="1" t="str">
        <f t="shared" si="49"/>
        <v>12H446</v>
      </c>
      <c r="N474" s="1" t="str">
        <f t="shared" si="50"/>
        <v>C/O</v>
      </c>
      <c r="O474" s="1" t="str">
        <f t="shared" si="51"/>
        <v>Blade Tilt Cylinder RH</v>
      </c>
      <c r="P474" s="1" t="str">
        <f t="shared" si="52"/>
        <v>B930</v>
      </c>
      <c r="Q474" s="2" t="str">
        <f t="shared" si="53"/>
        <v>B930Blade Tilt Cylinder RH</v>
      </c>
      <c r="R474" s="2" t="str">
        <f>New_Xref[[#This Row],[Serial Prefix]]&amp;IF(New_Xref[[#This Row],[Func Loc]]&lt;&gt;"",New_Xref[[#This Row],[Func Loc]],"NO MATCH")</f>
        <v>B930MYHD .CYLI.BLTR</v>
      </c>
      <c r="S474" s="3" t="str">
        <f t="shared" si="54"/>
        <v>B930Blade Tilt Cylinder RH</v>
      </c>
      <c r="T474" s="3" t="s">
        <v>225</v>
      </c>
      <c r="U474" s="3" t="s">
        <v>115</v>
      </c>
      <c r="V474" t="str">
        <f t="shared" si="55"/>
        <v>5106RI</v>
      </c>
    </row>
    <row r="475" spans="1:22">
      <c r="A475" t="s">
        <v>1928</v>
      </c>
      <c r="B475" t="s">
        <v>2047</v>
      </c>
      <c r="H475" t="s">
        <v>2048</v>
      </c>
      <c r="I475" t="s">
        <v>2049</v>
      </c>
      <c r="J475" t="s">
        <v>2050</v>
      </c>
      <c r="K475" t="s">
        <v>2049</v>
      </c>
      <c r="L475" t="s">
        <v>375</v>
      </c>
      <c r="M475" s="1" t="str">
        <f t="shared" si="49"/>
        <v>12H422</v>
      </c>
      <c r="N475" s="1" t="str">
        <f t="shared" si="50"/>
        <v>C/O</v>
      </c>
      <c r="O475" s="1" t="str">
        <f t="shared" si="51"/>
        <v>Blade Tilt Cylinder LH</v>
      </c>
      <c r="P475" s="1" t="str">
        <f t="shared" si="52"/>
        <v>B9K0</v>
      </c>
      <c r="Q475" s="2" t="str">
        <f t="shared" si="53"/>
        <v>B9K0Blade Tilt Cylinder LH</v>
      </c>
      <c r="R475" s="2" t="str">
        <f>New_Xref[[#This Row],[Serial Prefix]]&amp;IF(New_Xref[[#This Row],[Func Loc]]&lt;&gt;"",New_Xref[[#This Row],[Func Loc]],"NO MATCH")</f>
        <v>B9K0MYHD .CYLI.BLTL</v>
      </c>
      <c r="S475" s="3" t="str">
        <f t="shared" si="54"/>
        <v>B9K0Blade Tilt Cylinder LH</v>
      </c>
      <c r="T475" s="3" t="s">
        <v>225</v>
      </c>
      <c r="U475" s="3" t="s">
        <v>108</v>
      </c>
      <c r="V475" t="str">
        <f t="shared" si="55"/>
        <v>5106LT</v>
      </c>
    </row>
    <row r="476" spans="1:22">
      <c r="A476" t="s">
        <v>1928</v>
      </c>
      <c r="B476" t="s">
        <v>2047</v>
      </c>
      <c r="H476" t="s">
        <v>2048</v>
      </c>
      <c r="I476" t="s">
        <v>2051</v>
      </c>
      <c r="J476" t="s">
        <v>2052</v>
      </c>
      <c r="K476" t="s">
        <v>2051</v>
      </c>
      <c r="L476" t="s">
        <v>378</v>
      </c>
      <c r="M476" s="1" t="str">
        <f t="shared" si="49"/>
        <v>12H422</v>
      </c>
      <c r="N476" s="1" t="str">
        <f t="shared" si="50"/>
        <v>C/O</v>
      </c>
      <c r="O476" s="1" t="str">
        <f t="shared" si="51"/>
        <v>Blade Tilt Cylinder RH</v>
      </c>
      <c r="P476" s="1" t="str">
        <f t="shared" si="52"/>
        <v>B9K0</v>
      </c>
      <c r="Q476" s="2" t="str">
        <f t="shared" si="53"/>
        <v>B9K0Blade Tilt Cylinder RH</v>
      </c>
      <c r="R476" s="2" t="str">
        <f>New_Xref[[#This Row],[Serial Prefix]]&amp;IF(New_Xref[[#This Row],[Func Loc]]&lt;&gt;"",New_Xref[[#This Row],[Func Loc]],"NO MATCH")</f>
        <v>B9K0MYHD .CYLI.BLTR</v>
      </c>
      <c r="S476" s="3" t="str">
        <f t="shared" si="54"/>
        <v>B9K0Blade Tilt Cylinder RH</v>
      </c>
      <c r="T476" s="3" t="s">
        <v>225</v>
      </c>
      <c r="U476" s="3" t="s">
        <v>115</v>
      </c>
      <c r="V476" t="str">
        <f t="shared" si="55"/>
        <v>5106RI</v>
      </c>
    </row>
    <row r="477" spans="1:22">
      <c r="A477" t="s">
        <v>1928</v>
      </c>
      <c r="B477" t="s">
        <v>1929</v>
      </c>
      <c r="C477" t="s">
        <v>2053</v>
      </c>
      <c r="D477" t="s">
        <v>1901</v>
      </c>
      <c r="E477" t="s">
        <v>2054</v>
      </c>
      <c r="F477" t="s">
        <v>27</v>
      </c>
      <c r="G477">
        <v>1</v>
      </c>
      <c r="H477" t="s">
        <v>2055</v>
      </c>
      <c r="I477" t="s">
        <v>2056</v>
      </c>
      <c r="J477" t="s">
        <v>2057</v>
      </c>
      <c r="K477" t="s">
        <v>2056</v>
      </c>
      <c r="L477" t="s">
        <v>385</v>
      </c>
      <c r="M477" s="1" t="str">
        <f t="shared" si="49"/>
        <v>12H446</v>
      </c>
      <c r="N477" s="1" t="str">
        <f t="shared" si="50"/>
        <v>C/O</v>
      </c>
      <c r="O477" s="1" t="str">
        <f t="shared" si="51"/>
        <v>Circle Drive Gearbox Front</v>
      </c>
      <c r="P477" s="1" t="str">
        <f t="shared" si="52"/>
        <v>B930</v>
      </c>
      <c r="Q477" s="2" t="str">
        <f t="shared" si="53"/>
        <v>B930Circle Drive Gearbox Front</v>
      </c>
      <c r="R477" s="2" t="str">
        <f>New_Xref[[#This Row],[Serial Prefix]]&amp;IF(New_Xref[[#This Row],[Func Loc]]&lt;&gt;"",New_Xref[[#This Row],[Func Loc]],"NO MATCH")</f>
        <v>B930STRU .CHAS.CDGF</v>
      </c>
      <c r="S477" s="3" t="str">
        <f t="shared" si="54"/>
        <v>B9302656741XCircle Drive Gearbox Front</v>
      </c>
      <c r="T477" s="3" t="s">
        <v>141</v>
      </c>
      <c r="U477" s="3" t="s">
        <v>386</v>
      </c>
      <c r="V477" t="str">
        <f t="shared" si="55"/>
        <v>5207FR</v>
      </c>
    </row>
    <row r="478" spans="1:22">
      <c r="A478" t="s">
        <v>1928</v>
      </c>
      <c r="B478" t="s">
        <v>2058</v>
      </c>
      <c r="C478" t="s">
        <v>2059</v>
      </c>
      <c r="D478" t="s">
        <v>1901</v>
      </c>
      <c r="E478" t="s">
        <v>2060</v>
      </c>
      <c r="F478" t="s">
        <v>27</v>
      </c>
      <c r="G478">
        <v>1</v>
      </c>
      <c r="H478" t="s">
        <v>2061</v>
      </c>
      <c r="I478" t="s">
        <v>2062</v>
      </c>
      <c r="J478" t="s">
        <v>2063</v>
      </c>
      <c r="K478" t="s">
        <v>2062</v>
      </c>
      <c r="L478" t="s">
        <v>389</v>
      </c>
      <c r="M478" s="1" t="str">
        <f t="shared" si="49"/>
        <v>12H468</v>
      </c>
      <c r="N478" s="1" t="str">
        <f t="shared" si="50"/>
        <v>C/O</v>
      </c>
      <c r="O478" s="1" t="str">
        <f t="shared" si="51"/>
        <v>Circle Drive Gearbox Rear</v>
      </c>
      <c r="P478" s="1" t="str">
        <f t="shared" si="52"/>
        <v>B930</v>
      </c>
      <c r="Q478" s="2" t="str">
        <f t="shared" si="53"/>
        <v>B930Circle Drive Gearbox Rear</v>
      </c>
      <c r="R478" s="2" t="str">
        <f>New_Xref[[#This Row],[Serial Prefix]]&amp;IF(New_Xref[[#This Row],[Func Loc]]&lt;&gt;"",New_Xref[[#This Row],[Func Loc]],"NO MATCH")</f>
        <v>B930STRU .CHAS.CDGR</v>
      </c>
      <c r="S478" s="3" t="str">
        <f t="shared" si="54"/>
        <v>B9302656741XCircle Drive Gearbox Rear</v>
      </c>
      <c r="T478" s="3" t="s">
        <v>141</v>
      </c>
      <c r="U478" s="3" t="s">
        <v>317</v>
      </c>
      <c r="V478" t="str">
        <f t="shared" si="55"/>
        <v>5207RE</v>
      </c>
    </row>
    <row r="479" spans="1:22">
      <c r="A479" t="s">
        <v>1928</v>
      </c>
      <c r="B479" t="s">
        <v>1937</v>
      </c>
      <c r="C479" t="s">
        <v>2053</v>
      </c>
      <c r="D479" t="s">
        <v>1901</v>
      </c>
      <c r="E479" t="s">
        <v>2054</v>
      </c>
      <c r="F479" t="s">
        <v>27</v>
      </c>
      <c r="G479">
        <v>1</v>
      </c>
      <c r="H479" t="s">
        <v>2064</v>
      </c>
      <c r="I479" t="s">
        <v>2065</v>
      </c>
      <c r="J479" t="s">
        <v>2066</v>
      </c>
      <c r="K479" t="s">
        <v>2065</v>
      </c>
      <c r="L479" t="s">
        <v>385</v>
      </c>
      <c r="M479" s="1" t="str">
        <f t="shared" si="49"/>
        <v>12H227</v>
      </c>
      <c r="N479" s="1" t="str">
        <f t="shared" si="50"/>
        <v>C/O</v>
      </c>
      <c r="O479" s="1" t="str">
        <f t="shared" si="51"/>
        <v>Circle Drive Gearbox Front</v>
      </c>
      <c r="P479" s="1" t="str">
        <f t="shared" si="52"/>
        <v>B9K0</v>
      </c>
      <c r="Q479" s="2" t="str">
        <f t="shared" si="53"/>
        <v>B9K0Circle Drive Gearbox Front</v>
      </c>
      <c r="R479" s="2" t="str">
        <f>New_Xref[[#This Row],[Serial Prefix]]&amp;IF(New_Xref[[#This Row],[Func Loc]]&lt;&gt;"",New_Xref[[#This Row],[Func Loc]],"NO MATCH")</f>
        <v>B9K0STRU .CHAS.CDGF</v>
      </c>
      <c r="S479" s="3" t="str">
        <f t="shared" si="54"/>
        <v>B9K02656741XCircle Drive Gearbox Front</v>
      </c>
      <c r="T479" s="3" t="s">
        <v>141</v>
      </c>
      <c r="U479" s="3" t="s">
        <v>386</v>
      </c>
      <c r="V479" t="str">
        <f t="shared" si="55"/>
        <v>5207FR</v>
      </c>
    </row>
    <row r="480" spans="1:22">
      <c r="A480" t="s">
        <v>1928</v>
      </c>
      <c r="B480" t="s">
        <v>1937</v>
      </c>
      <c r="C480" t="s">
        <v>2053</v>
      </c>
      <c r="D480" t="s">
        <v>1901</v>
      </c>
      <c r="E480" t="s">
        <v>2054</v>
      </c>
      <c r="F480" t="s">
        <v>27</v>
      </c>
      <c r="G480">
        <v>1</v>
      </c>
      <c r="H480" t="s">
        <v>2067</v>
      </c>
      <c r="I480" t="s">
        <v>2068</v>
      </c>
      <c r="J480" t="s">
        <v>2069</v>
      </c>
      <c r="K480" t="s">
        <v>2068</v>
      </c>
      <c r="L480" t="s">
        <v>389</v>
      </c>
      <c r="M480" s="1" t="str">
        <f t="shared" si="49"/>
        <v>12H227</v>
      </c>
      <c r="N480" s="1" t="str">
        <f t="shared" si="50"/>
        <v>C/O</v>
      </c>
      <c r="O480" s="1" t="str">
        <f t="shared" si="51"/>
        <v>Circle Drive Gearbox Rear</v>
      </c>
      <c r="P480" s="1" t="str">
        <f t="shared" si="52"/>
        <v>B9K0</v>
      </c>
      <c r="Q480" s="2" t="str">
        <f t="shared" si="53"/>
        <v>B9K0Circle Drive Gearbox Rear</v>
      </c>
      <c r="R480" s="2" t="str">
        <f>New_Xref[[#This Row],[Serial Prefix]]&amp;IF(New_Xref[[#This Row],[Func Loc]]&lt;&gt;"",New_Xref[[#This Row],[Func Loc]],"NO MATCH")</f>
        <v>B9K0STRU .CHAS.CDGR</v>
      </c>
      <c r="S480" s="3" t="str">
        <f t="shared" si="54"/>
        <v>B9K02656741XCircle Drive Gearbox Rear</v>
      </c>
      <c r="T480" s="3" t="s">
        <v>141</v>
      </c>
      <c r="U480" s="3" t="s">
        <v>317</v>
      </c>
      <c r="V480" t="str">
        <f t="shared" si="55"/>
        <v>5207RE</v>
      </c>
    </row>
    <row r="481" spans="1:22">
      <c r="A481" t="s">
        <v>1928</v>
      </c>
      <c r="B481" t="s">
        <v>1929</v>
      </c>
      <c r="H481" t="s">
        <v>2070</v>
      </c>
      <c r="I481" t="s">
        <v>2071</v>
      </c>
      <c r="J481" t="s">
        <v>2072</v>
      </c>
      <c r="K481" t="s">
        <v>2071</v>
      </c>
      <c r="L481" t="s">
        <v>250</v>
      </c>
      <c r="M481" s="1" t="str">
        <f t="shared" si="49"/>
        <v>12H446</v>
      </c>
      <c r="N481" s="1" t="str">
        <f t="shared" si="50"/>
        <v>C/O</v>
      </c>
      <c r="O481" s="1" t="str">
        <f t="shared" si="51"/>
        <v>Blade Sideshift Cylinder</v>
      </c>
      <c r="P481" s="1" t="str">
        <f t="shared" si="52"/>
        <v>B930</v>
      </c>
      <c r="Q481" s="2" t="str">
        <f t="shared" si="53"/>
        <v>B930Blade Sideshift Cylinder</v>
      </c>
      <c r="R481" s="2" t="str">
        <f>New_Xref[[#This Row],[Serial Prefix]]&amp;IF(New_Xref[[#This Row],[Func Loc]]&lt;&gt;"",New_Xref[[#This Row],[Func Loc]],"NO MATCH")</f>
        <v>B930MYHD .CYLI.BLSI</v>
      </c>
      <c r="S481" s="3" t="str">
        <f t="shared" si="54"/>
        <v>B930Blade Sideshift Cylinder</v>
      </c>
      <c r="T481" s="3" t="s">
        <v>397</v>
      </c>
      <c r="U481" s="3" t="s">
        <v>34</v>
      </c>
      <c r="V481" t="str">
        <f t="shared" si="55"/>
        <v>522900</v>
      </c>
    </row>
    <row r="482" spans="1:22">
      <c r="A482" t="s">
        <v>1928</v>
      </c>
      <c r="B482" t="s">
        <v>2047</v>
      </c>
      <c r="H482" t="s">
        <v>2073</v>
      </c>
      <c r="I482" t="s">
        <v>2074</v>
      </c>
      <c r="J482" t="s">
        <v>2075</v>
      </c>
      <c r="K482" t="s">
        <v>2074</v>
      </c>
      <c r="L482" t="s">
        <v>250</v>
      </c>
      <c r="M482" s="1" t="str">
        <f t="shared" si="49"/>
        <v>12H422</v>
      </c>
      <c r="N482" s="1" t="str">
        <f t="shared" si="50"/>
        <v>C/O</v>
      </c>
      <c r="O482" s="1" t="str">
        <f t="shared" si="51"/>
        <v>Blade Sideshift Cylinder</v>
      </c>
      <c r="P482" s="1" t="str">
        <f t="shared" si="52"/>
        <v>B9K0</v>
      </c>
      <c r="Q482" s="2" t="str">
        <f t="shared" si="53"/>
        <v>B9K0Blade Sideshift Cylinder</v>
      </c>
      <c r="R482" s="2" t="str">
        <f>New_Xref[[#This Row],[Serial Prefix]]&amp;IF(New_Xref[[#This Row],[Func Loc]]&lt;&gt;"",New_Xref[[#This Row],[Func Loc]],"NO MATCH")</f>
        <v>B9K0MYHD .CYLI.BLSI</v>
      </c>
      <c r="S482" s="3" t="str">
        <f t="shared" si="54"/>
        <v>B9K0Blade Sideshift Cylinder</v>
      </c>
      <c r="T482" s="3" t="s">
        <v>397</v>
      </c>
      <c r="U482" s="3" t="s">
        <v>34</v>
      </c>
      <c r="V482" t="str">
        <f t="shared" si="55"/>
        <v>522900</v>
      </c>
    </row>
    <row r="483" spans="1:22">
      <c r="A483" t="s">
        <v>1928</v>
      </c>
      <c r="B483" t="s">
        <v>1929</v>
      </c>
      <c r="H483" t="s">
        <v>2076</v>
      </c>
      <c r="I483" t="s">
        <v>2077</v>
      </c>
      <c r="J483" t="s">
        <v>2078</v>
      </c>
      <c r="K483" t="s">
        <v>2077</v>
      </c>
      <c r="L483" t="s">
        <v>145</v>
      </c>
      <c r="M483" s="1" t="str">
        <f t="shared" si="49"/>
        <v>12H446</v>
      </c>
      <c r="N483" s="1" t="str">
        <f t="shared" si="50"/>
        <v>C/O</v>
      </c>
      <c r="O483" s="1" t="str">
        <f t="shared" si="51"/>
        <v>Articulation Cylinder LH</v>
      </c>
      <c r="P483" s="1" t="str">
        <f t="shared" si="52"/>
        <v>B930</v>
      </c>
      <c r="Q483" s="2" t="str">
        <f t="shared" si="53"/>
        <v>B930Articulation Cylinder LH</v>
      </c>
      <c r="R483" s="2" t="str">
        <f>New_Xref[[#This Row],[Serial Prefix]]&amp;IF(New_Xref[[#This Row],[Func Loc]]&lt;&gt;"",New_Xref[[#This Row],[Func Loc]],"NO MATCH")</f>
        <v>B930MYHD .CYLI.ARTL</v>
      </c>
      <c r="S483" s="3" t="str">
        <f t="shared" si="54"/>
        <v>B930Articulation Cylinder LH</v>
      </c>
      <c r="T483" s="3" t="s">
        <v>146</v>
      </c>
      <c r="U483" s="3" t="s">
        <v>108</v>
      </c>
      <c r="V483" t="str">
        <f t="shared" si="55"/>
        <v>5265LT</v>
      </c>
    </row>
    <row r="484" spans="1:22">
      <c r="A484" t="s">
        <v>1928</v>
      </c>
      <c r="B484" t="s">
        <v>1929</v>
      </c>
      <c r="H484" t="s">
        <v>2076</v>
      </c>
      <c r="I484" t="s">
        <v>2079</v>
      </c>
      <c r="J484" t="s">
        <v>2080</v>
      </c>
      <c r="K484" t="s">
        <v>2079</v>
      </c>
      <c r="L484" t="s">
        <v>149</v>
      </c>
      <c r="M484" s="1" t="str">
        <f t="shared" si="49"/>
        <v>12H446</v>
      </c>
      <c r="N484" s="1" t="str">
        <f t="shared" si="50"/>
        <v>C/O</v>
      </c>
      <c r="O484" s="1" t="str">
        <f t="shared" si="51"/>
        <v>Articulation Cylinder RH</v>
      </c>
      <c r="P484" s="1" t="str">
        <f t="shared" si="52"/>
        <v>B930</v>
      </c>
      <c r="Q484" s="2" t="str">
        <f t="shared" si="53"/>
        <v>B930Articulation Cylinder RH</v>
      </c>
      <c r="R484" s="2" t="str">
        <f>New_Xref[[#This Row],[Serial Prefix]]&amp;IF(New_Xref[[#This Row],[Func Loc]]&lt;&gt;"",New_Xref[[#This Row],[Func Loc]],"NO MATCH")</f>
        <v>B930MYHD .CYLI.ARTR</v>
      </c>
      <c r="S484" s="3" t="str">
        <f t="shared" si="54"/>
        <v>B930Articulation Cylinder RH</v>
      </c>
      <c r="T484" s="3" t="s">
        <v>146</v>
      </c>
      <c r="U484" s="3" t="s">
        <v>115</v>
      </c>
      <c r="V484" t="str">
        <f t="shared" si="55"/>
        <v>5265RI</v>
      </c>
    </row>
    <row r="485" spans="1:22">
      <c r="A485" t="s">
        <v>1928</v>
      </c>
      <c r="B485" t="s">
        <v>1937</v>
      </c>
      <c r="H485" t="s">
        <v>2081</v>
      </c>
      <c r="I485" t="s">
        <v>2082</v>
      </c>
      <c r="J485" t="s">
        <v>2083</v>
      </c>
      <c r="K485" t="s">
        <v>2082</v>
      </c>
      <c r="L485" t="s">
        <v>145</v>
      </c>
      <c r="M485" s="1" t="str">
        <f t="shared" si="49"/>
        <v>12H227</v>
      </c>
      <c r="N485" s="1" t="str">
        <f t="shared" si="50"/>
        <v>C/O</v>
      </c>
      <c r="O485" s="1" t="str">
        <f t="shared" si="51"/>
        <v>Articulation Cylinder LH</v>
      </c>
      <c r="P485" s="1" t="str">
        <f t="shared" si="52"/>
        <v>B9K0</v>
      </c>
      <c r="Q485" s="2" t="str">
        <f t="shared" si="53"/>
        <v>B9K0Articulation Cylinder LH</v>
      </c>
      <c r="R485" s="2" t="str">
        <f>New_Xref[[#This Row],[Serial Prefix]]&amp;IF(New_Xref[[#This Row],[Func Loc]]&lt;&gt;"",New_Xref[[#This Row],[Func Loc]],"NO MATCH")</f>
        <v>B9K0MYHD .CYLI.ARTL</v>
      </c>
      <c r="S485" s="3" t="str">
        <f t="shared" si="54"/>
        <v>B9K0Articulation Cylinder LH</v>
      </c>
      <c r="T485" s="3" t="s">
        <v>146</v>
      </c>
      <c r="U485" s="3" t="s">
        <v>108</v>
      </c>
      <c r="V485" t="str">
        <f t="shared" si="55"/>
        <v>5265LT</v>
      </c>
    </row>
    <row r="486" spans="1:22">
      <c r="A486" t="s">
        <v>1928</v>
      </c>
      <c r="B486" t="s">
        <v>2084</v>
      </c>
      <c r="H486" t="s">
        <v>2081</v>
      </c>
      <c r="I486" t="s">
        <v>2085</v>
      </c>
      <c r="J486" t="s">
        <v>2086</v>
      </c>
      <c r="K486" t="s">
        <v>2085</v>
      </c>
      <c r="L486" t="s">
        <v>149</v>
      </c>
      <c r="M486" s="1" t="str">
        <f t="shared" si="49"/>
        <v>12H416</v>
      </c>
      <c r="N486" s="1" t="str">
        <f t="shared" si="50"/>
        <v>C/O</v>
      </c>
      <c r="O486" s="1" t="str">
        <f t="shared" si="51"/>
        <v>Articulation Cylinder RH</v>
      </c>
      <c r="P486" s="1" t="str">
        <f t="shared" si="52"/>
        <v>B9K0</v>
      </c>
      <c r="Q486" s="2" t="str">
        <f t="shared" si="53"/>
        <v>B9K0Articulation Cylinder RH</v>
      </c>
      <c r="R486" s="2" t="str">
        <f>New_Xref[[#This Row],[Serial Prefix]]&amp;IF(New_Xref[[#This Row],[Func Loc]]&lt;&gt;"",New_Xref[[#This Row],[Func Loc]],"NO MATCH")</f>
        <v>B9K0MYHD .CYLI.ARTR</v>
      </c>
      <c r="S486" s="3" t="str">
        <f t="shared" si="54"/>
        <v>B9K0Articulation Cylinder RH</v>
      </c>
      <c r="T486" s="3" t="s">
        <v>146</v>
      </c>
      <c r="U486" s="3" t="s">
        <v>115</v>
      </c>
      <c r="V486" t="str">
        <f t="shared" si="55"/>
        <v>5265RI</v>
      </c>
    </row>
    <row r="487" spans="1:22">
      <c r="A487" t="s">
        <v>1928</v>
      </c>
      <c r="B487" t="s">
        <v>2047</v>
      </c>
      <c r="H487" t="s">
        <v>2087</v>
      </c>
      <c r="I487" t="s">
        <v>2088</v>
      </c>
      <c r="J487" t="s">
        <v>2089</v>
      </c>
      <c r="K487" t="s">
        <v>2088</v>
      </c>
      <c r="L487" t="s">
        <v>1923</v>
      </c>
      <c r="M487" s="1" t="str">
        <f t="shared" si="49"/>
        <v>12H422</v>
      </c>
      <c r="N487" s="1" t="str">
        <f t="shared" si="50"/>
        <v>C/O</v>
      </c>
      <c r="O487" s="1" t="str">
        <f t="shared" si="51"/>
        <v>Ripper Lift Cylinder RH</v>
      </c>
      <c r="P487" s="1" t="str">
        <f t="shared" si="52"/>
        <v>B9K0</v>
      </c>
      <c r="Q487" s="2" t="str">
        <f t="shared" si="53"/>
        <v>B9K0Ripper Lift Cylinder RH</v>
      </c>
      <c r="R487" s="2" t="str">
        <f>New_Xref[[#This Row],[Serial Prefix]]&amp;IF(New_Xref[[#This Row],[Func Loc]]&lt;&gt;"",New_Xref[[#This Row],[Func Loc]],"NO MATCH")</f>
        <v>B9K0MYHD .CYLI.RILR</v>
      </c>
      <c r="S487" s="3" t="str">
        <f t="shared" si="54"/>
        <v>B9K0Ripper Lift Cylinder RH</v>
      </c>
      <c r="T487" s="3" t="s">
        <v>246</v>
      </c>
      <c r="U487" s="3" t="s">
        <v>115</v>
      </c>
      <c r="V487" t="str">
        <f t="shared" si="55"/>
        <v>5352RI</v>
      </c>
    </row>
    <row r="488" spans="1:22">
      <c r="A488" t="s">
        <v>1928</v>
      </c>
      <c r="B488" t="s">
        <v>2002</v>
      </c>
      <c r="H488" t="s">
        <v>2087</v>
      </c>
      <c r="I488" t="s">
        <v>2090</v>
      </c>
      <c r="J488" t="s">
        <v>2091</v>
      </c>
      <c r="K488" t="s">
        <v>2090</v>
      </c>
      <c r="L488" t="s">
        <v>2092</v>
      </c>
      <c r="M488" s="1" t="str">
        <f t="shared" si="49"/>
        <v>12R421</v>
      </c>
      <c r="N488" s="1" t="str">
        <f t="shared" si="50"/>
        <v>C/O</v>
      </c>
      <c r="O488" s="1" t="str">
        <f t="shared" si="51"/>
        <v>Ripper Lift Cylinder LH</v>
      </c>
      <c r="P488" s="1" t="str">
        <f t="shared" si="52"/>
        <v>B9K0</v>
      </c>
      <c r="Q488" s="2" t="str">
        <f t="shared" si="53"/>
        <v>B9K0Ripper Lift Cylinder LH</v>
      </c>
      <c r="R488" s="2" t="str">
        <f>New_Xref[[#This Row],[Serial Prefix]]&amp;IF(New_Xref[[#This Row],[Func Loc]]&lt;&gt;"",New_Xref[[#This Row],[Func Loc]],"NO MATCH")</f>
        <v>B9K0MYHD .CYLI.RILL</v>
      </c>
      <c r="S488" s="3" t="str">
        <f t="shared" si="54"/>
        <v>B9K0Ripper Lift Cylinder LH</v>
      </c>
      <c r="T488" s="3" t="s">
        <v>246</v>
      </c>
      <c r="U488" s="3" t="s">
        <v>108</v>
      </c>
      <c r="V488" t="str">
        <f t="shared" si="55"/>
        <v>5352LT</v>
      </c>
    </row>
    <row r="489" spans="1:22">
      <c r="A489" t="s">
        <v>1928</v>
      </c>
      <c r="B489" t="s">
        <v>2093</v>
      </c>
      <c r="H489" t="s">
        <v>2094</v>
      </c>
      <c r="I489" t="s">
        <v>2095</v>
      </c>
      <c r="J489" t="s">
        <v>2096</v>
      </c>
      <c r="K489" t="s">
        <v>2095</v>
      </c>
      <c r="L489" t="s">
        <v>232</v>
      </c>
      <c r="M489" s="1" t="str">
        <f t="shared" si="49"/>
        <v>12R408</v>
      </c>
      <c r="N489" s="1" t="str">
        <f t="shared" si="50"/>
        <v>C/O</v>
      </c>
      <c r="O489" s="1" t="str">
        <f t="shared" si="51"/>
        <v>Centreshift Cylinder</v>
      </c>
      <c r="P489" s="1" t="str">
        <f t="shared" si="52"/>
        <v>B9K0</v>
      </c>
      <c r="Q489" s="2" t="str">
        <f t="shared" si="53"/>
        <v>B9K0Centreshift Cylinder</v>
      </c>
      <c r="R489" s="2" t="str">
        <f>New_Xref[[#This Row],[Serial Prefix]]&amp;IF(New_Xref[[#This Row],[Func Loc]]&lt;&gt;"",New_Xref[[#This Row],[Func Loc]],"NO MATCH")</f>
        <v>B9K0MYHD .CYLI.CENT</v>
      </c>
      <c r="S489" s="3" t="str">
        <f t="shared" si="54"/>
        <v>B9K0Centreshift Cylinder</v>
      </c>
      <c r="T489" s="3" t="s">
        <v>233</v>
      </c>
      <c r="U489" s="3" t="s">
        <v>34</v>
      </c>
      <c r="V489" t="str">
        <f t="shared" si="55"/>
        <v>522300</v>
      </c>
    </row>
    <row r="490" spans="1:22">
      <c r="A490" t="s">
        <v>2097</v>
      </c>
      <c r="B490" t="s">
        <v>2098</v>
      </c>
      <c r="C490" t="s">
        <v>2099</v>
      </c>
      <c r="D490" t="s">
        <v>2100</v>
      </c>
      <c r="E490" t="s">
        <v>2101</v>
      </c>
      <c r="F490" t="s">
        <v>27</v>
      </c>
      <c r="G490">
        <v>1</v>
      </c>
      <c r="H490" t="s">
        <v>2102</v>
      </c>
      <c r="I490" t="s">
        <v>2103</v>
      </c>
      <c r="J490" t="s">
        <v>2104</v>
      </c>
      <c r="K490" t="s">
        <v>2103</v>
      </c>
      <c r="L490" t="s">
        <v>83</v>
      </c>
      <c r="M490" s="1" t="str">
        <f t="shared" si="49"/>
        <v>11H1019</v>
      </c>
      <c r="N490" s="1" t="str">
        <f t="shared" si="50"/>
        <v>C/O</v>
      </c>
      <c r="O490" s="1" t="str">
        <f t="shared" si="51"/>
        <v>Rear Wheel Group LH</v>
      </c>
      <c r="P490" s="1" t="str">
        <f t="shared" si="52"/>
        <v>9312</v>
      </c>
      <c r="Q490" s="2" t="str">
        <f t="shared" si="53"/>
        <v>9312Rear Wheel Group LH</v>
      </c>
      <c r="R490" s="2" t="str">
        <f>New_Xref[[#This Row],[Serial Prefix]]&amp;IF(New_Xref[[#This Row],[Func Loc]]&lt;&gt;"",New_Xref[[#This Row],[Func Loc]],"NO MATCH")</f>
        <v>9312NO MATCH</v>
      </c>
      <c r="S490" s="3" t="str">
        <f t="shared" si="54"/>
        <v>93122088786XRear Wheel Group LH</v>
      </c>
      <c r="T490" s="3" t="s">
        <v>2105</v>
      </c>
      <c r="U490" s="3" t="s">
        <v>96</v>
      </c>
      <c r="V490" t="str">
        <f t="shared" si="55"/>
        <v>4008LR</v>
      </c>
    </row>
    <row r="491" spans="1:22">
      <c r="A491" t="s">
        <v>2097</v>
      </c>
      <c r="B491" t="s">
        <v>2098</v>
      </c>
      <c r="C491" t="s">
        <v>2099</v>
      </c>
      <c r="D491" t="s">
        <v>2100</v>
      </c>
      <c r="E491" t="s">
        <v>2101</v>
      </c>
      <c r="F491" t="s">
        <v>27</v>
      </c>
      <c r="G491">
        <v>1</v>
      </c>
      <c r="H491" t="s">
        <v>2106</v>
      </c>
      <c r="I491" t="s">
        <v>2107</v>
      </c>
      <c r="J491" t="s">
        <v>2108</v>
      </c>
      <c r="K491" t="s">
        <v>2107</v>
      </c>
      <c r="L491" t="s">
        <v>83</v>
      </c>
      <c r="M491" s="1" t="str">
        <f t="shared" si="49"/>
        <v>11H1019</v>
      </c>
      <c r="N491" s="1" t="str">
        <f t="shared" si="50"/>
        <v>C/O</v>
      </c>
      <c r="O491" s="1" t="str">
        <f t="shared" si="51"/>
        <v>Rear Wheel Group RH</v>
      </c>
      <c r="P491" s="1" t="str">
        <f t="shared" si="52"/>
        <v>9312</v>
      </c>
      <c r="Q491" s="2" t="str">
        <f t="shared" si="53"/>
        <v>9312Rear Wheel Group RH</v>
      </c>
      <c r="R491" s="2" t="str">
        <f>New_Xref[[#This Row],[Serial Prefix]]&amp;IF(New_Xref[[#This Row],[Func Loc]]&lt;&gt;"",New_Xref[[#This Row],[Func Loc]],"NO MATCH")</f>
        <v>9312NO MATCH</v>
      </c>
      <c r="S491" s="3" t="str">
        <f t="shared" si="54"/>
        <v>93122088786XRear Wheel Group RH</v>
      </c>
      <c r="T491" s="3" t="s">
        <v>2105</v>
      </c>
      <c r="U491" s="3" t="s">
        <v>99</v>
      </c>
      <c r="V491" t="str">
        <f t="shared" si="55"/>
        <v>4008RR</v>
      </c>
    </row>
    <row r="492" spans="1:22">
      <c r="A492" t="s">
        <v>2109</v>
      </c>
      <c r="B492" t="s">
        <v>2110</v>
      </c>
      <c r="H492" t="s">
        <v>2111</v>
      </c>
      <c r="I492" t="s">
        <v>2112</v>
      </c>
      <c r="J492" t="s">
        <v>2113</v>
      </c>
      <c r="K492" t="s">
        <v>2112</v>
      </c>
      <c r="L492" t="s">
        <v>463</v>
      </c>
      <c r="M492" s="1" t="str">
        <f t="shared" si="49"/>
        <v>06H209</v>
      </c>
      <c r="N492" s="1" t="str">
        <f t="shared" si="50"/>
        <v>C/O</v>
      </c>
      <c r="O492" s="1" t="str">
        <f t="shared" si="51"/>
        <v>Differential</v>
      </c>
      <c r="P492" s="1" t="str">
        <f t="shared" si="52"/>
        <v>BDA0</v>
      </c>
      <c r="Q492" s="2" t="str">
        <f t="shared" si="53"/>
        <v>BDA0Differential</v>
      </c>
      <c r="R492" s="2" t="str">
        <f>New_Xref[[#This Row],[Serial Prefix]]&amp;IF(New_Xref[[#This Row],[Func Loc]]&lt;&gt;"",New_Xref[[#This Row],[Func Loc]],"NO MATCH")</f>
        <v>BDA0FDRV .AXAR.DIFF</v>
      </c>
      <c r="S492" s="3" t="str">
        <f t="shared" si="54"/>
        <v>BDA0Differential</v>
      </c>
      <c r="T492" s="3" t="s">
        <v>464</v>
      </c>
      <c r="U492" s="3" t="s">
        <v>34</v>
      </c>
      <c r="V492" t="str">
        <f t="shared" si="55"/>
        <v>325800</v>
      </c>
    </row>
    <row r="493" spans="1:22">
      <c r="A493" t="s">
        <v>2109</v>
      </c>
      <c r="B493" t="s">
        <v>2114</v>
      </c>
      <c r="C493" t="s">
        <v>2115</v>
      </c>
      <c r="D493" t="s">
        <v>2116</v>
      </c>
      <c r="E493" t="s">
        <v>2117</v>
      </c>
      <c r="F493" t="s">
        <v>27</v>
      </c>
      <c r="G493">
        <v>1</v>
      </c>
      <c r="H493" t="s">
        <v>2118</v>
      </c>
      <c r="I493" t="s">
        <v>2119</v>
      </c>
      <c r="J493" t="s">
        <v>2120</v>
      </c>
      <c r="K493" t="s">
        <v>2119</v>
      </c>
      <c r="L493" t="s">
        <v>1605</v>
      </c>
      <c r="M493" s="1" t="str">
        <f t="shared" si="49"/>
        <v>06H210</v>
      </c>
      <c r="N493" s="1" t="str">
        <f t="shared" si="50"/>
        <v>C/O</v>
      </c>
      <c r="O493" s="1" t="str">
        <f t="shared" si="51"/>
        <v>Final Drive LH</v>
      </c>
      <c r="P493" s="1" t="str">
        <f t="shared" si="52"/>
        <v>BDA0</v>
      </c>
      <c r="Q493" s="2" t="str">
        <f t="shared" si="53"/>
        <v>BDA0Final Drive LH</v>
      </c>
      <c r="R493" s="2" t="str">
        <f>New_Xref[[#This Row],[Serial Prefix]]&amp;IF(New_Xref[[#This Row],[Func Loc]]&lt;&gt;"",New_Xref[[#This Row],[Func Loc]],"NO MATCH")</f>
        <v>BDA0FDRV .AXAR.FDLH</v>
      </c>
      <c r="S493" s="3" t="str">
        <f t="shared" si="54"/>
        <v>BDA01376821FFinal Drive LH</v>
      </c>
      <c r="T493" s="3" t="s">
        <v>2105</v>
      </c>
      <c r="U493" s="3" t="s">
        <v>96</v>
      </c>
      <c r="V493" t="str">
        <f t="shared" si="55"/>
        <v>4008LR</v>
      </c>
    </row>
    <row r="494" spans="1:22">
      <c r="A494" t="s">
        <v>2109</v>
      </c>
      <c r="B494" t="s">
        <v>2114</v>
      </c>
      <c r="C494" t="s">
        <v>2115</v>
      </c>
      <c r="D494" t="s">
        <v>2116</v>
      </c>
      <c r="E494" t="s">
        <v>2117</v>
      </c>
      <c r="F494" t="s">
        <v>27</v>
      </c>
      <c r="G494">
        <v>1</v>
      </c>
      <c r="H494" t="s">
        <v>2118</v>
      </c>
      <c r="I494" t="s">
        <v>2121</v>
      </c>
      <c r="J494" t="s">
        <v>2122</v>
      </c>
      <c r="K494" t="s">
        <v>2121</v>
      </c>
      <c r="L494" t="s">
        <v>1608</v>
      </c>
      <c r="M494" s="1" t="str">
        <f t="shared" si="49"/>
        <v>06H210</v>
      </c>
      <c r="N494" s="1" t="str">
        <f t="shared" si="50"/>
        <v>C/O</v>
      </c>
      <c r="O494" s="1" t="str">
        <f t="shared" si="51"/>
        <v>Final Drive RH</v>
      </c>
      <c r="P494" s="1" t="str">
        <f t="shared" si="52"/>
        <v>BDA0</v>
      </c>
      <c r="Q494" s="2" t="str">
        <f t="shared" si="53"/>
        <v>BDA0Final Drive RH</v>
      </c>
      <c r="R494" s="2" t="str">
        <f>New_Xref[[#This Row],[Serial Prefix]]&amp;IF(New_Xref[[#This Row],[Func Loc]]&lt;&gt;"",New_Xref[[#This Row],[Func Loc]],"NO MATCH")</f>
        <v>BDA0FDRV .AXAR.FDRH</v>
      </c>
      <c r="S494" s="3" t="str">
        <f t="shared" si="54"/>
        <v>BDA01376821FFinal Drive RH</v>
      </c>
      <c r="T494" s="3" t="s">
        <v>2105</v>
      </c>
      <c r="U494" s="3" t="s">
        <v>99</v>
      </c>
      <c r="V494" t="str">
        <f t="shared" si="55"/>
        <v>4008RR</v>
      </c>
    </row>
    <row r="495" spans="1:22">
      <c r="A495" t="s">
        <v>2109</v>
      </c>
      <c r="B495" t="s">
        <v>2110</v>
      </c>
      <c r="C495" t="s">
        <v>2123</v>
      </c>
      <c r="D495" t="s">
        <v>2124</v>
      </c>
      <c r="E495" t="s">
        <v>2125</v>
      </c>
      <c r="F495" t="s">
        <v>27</v>
      </c>
      <c r="G495">
        <v>1</v>
      </c>
      <c r="H495" t="s">
        <v>2126</v>
      </c>
      <c r="I495" t="s">
        <v>2127</v>
      </c>
      <c r="J495" t="s">
        <v>2128</v>
      </c>
      <c r="K495" t="s">
        <v>2127</v>
      </c>
      <c r="L495" t="s">
        <v>778</v>
      </c>
      <c r="M495" s="1" t="str">
        <f t="shared" si="49"/>
        <v>06H209</v>
      </c>
      <c r="N495" s="1" t="str">
        <f t="shared" si="50"/>
        <v>C/O</v>
      </c>
      <c r="O495" s="1" t="str">
        <f t="shared" si="51"/>
        <v>Suspension LHF</v>
      </c>
      <c r="P495" s="1" t="str">
        <f t="shared" si="52"/>
        <v>BDA0</v>
      </c>
      <c r="Q495" s="2" t="str">
        <f t="shared" si="53"/>
        <v>BDA0Suspension LHF</v>
      </c>
      <c r="R495" s="2" t="str">
        <f>New_Xref[[#This Row],[Serial Prefix]]&amp;IF(New_Xref[[#This Row],[Func Loc]]&lt;&gt;"",New_Xref[[#This Row],[Func Loc]],"NO MATCH")</f>
        <v>BDA0STRU .SUGR.SG01</v>
      </c>
      <c r="S495" s="3" t="str">
        <f t="shared" si="54"/>
        <v>BDA09T9075XSuspension LHF</v>
      </c>
      <c r="T495" s="3" t="s">
        <v>511</v>
      </c>
      <c r="U495" s="3" t="s">
        <v>89</v>
      </c>
      <c r="V495" t="str">
        <f t="shared" si="55"/>
        <v>7201LF</v>
      </c>
    </row>
    <row r="496" spans="1:22">
      <c r="A496" t="s">
        <v>2109</v>
      </c>
      <c r="B496" t="s">
        <v>2110</v>
      </c>
      <c r="C496" t="s">
        <v>2123</v>
      </c>
      <c r="D496" t="s">
        <v>2124</v>
      </c>
      <c r="E496" t="s">
        <v>2125</v>
      </c>
      <c r="F496" t="s">
        <v>27</v>
      </c>
      <c r="G496">
        <v>1</v>
      </c>
      <c r="H496" t="s">
        <v>2126</v>
      </c>
      <c r="I496" t="s">
        <v>2129</v>
      </c>
      <c r="J496" t="s">
        <v>2130</v>
      </c>
      <c r="K496" t="s">
        <v>2129</v>
      </c>
      <c r="L496" t="s">
        <v>781</v>
      </c>
      <c r="M496" s="1" t="str">
        <f t="shared" si="49"/>
        <v>06H209</v>
      </c>
      <c r="N496" s="1" t="str">
        <f t="shared" si="50"/>
        <v>C/O</v>
      </c>
      <c r="O496" s="1" t="str">
        <f t="shared" si="51"/>
        <v>Suspension RHF</v>
      </c>
      <c r="P496" s="1" t="str">
        <f t="shared" si="52"/>
        <v>BDA0</v>
      </c>
      <c r="Q496" s="2" t="str">
        <f t="shared" si="53"/>
        <v>BDA0Suspension RHF</v>
      </c>
      <c r="R496" s="2" t="str">
        <f>New_Xref[[#This Row],[Serial Prefix]]&amp;IF(New_Xref[[#This Row],[Func Loc]]&lt;&gt;"",New_Xref[[#This Row],[Func Loc]],"NO MATCH")</f>
        <v>BDA0STRU .SUGR.SG02</v>
      </c>
      <c r="S496" s="3" t="str">
        <f t="shared" si="54"/>
        <v>BDA09T9075XSuspension RHF</v>
      </c>
      <c r="T496" s="3" t="s">
        <v>511</v>
      </c>
      <c r="U496" s="3" t="s">
        <v>92</v>
      </c>
      <c r="V496" t="str">
        <f t="shared" si="55"/>
        <v>7201RF</v>
      </c>
    </row>
    <row r="497" spans="1:22">
      <c r="A497" t="s">
        <v>2109</v>
      </c>
      <c r="B497" t="s">
        <v>2110</v>
      </c>
      <c r="C497" t="s">
        <v>2131</v>
      </c>
      <c r="D497" t="s">
        <v>2132</v>
      </c>
      <c r="E497" t="s">
        <v>2133</v>
      </c>
      <c r="F497" t="s">
        <v>27</v>
      </c>
      <c r="G497">
        <v>1</v>
      </c>
      <c r="H497" t="s">
        <v>2134</v>
      </c>
      <c r="I497" t="s">
        <v>2135</v>
      </c>
      <c r="J497" t="s">
        <v>2136</v>
      </c>
      <c r="K497" t="s">
        <v>2137</v>
      </c>
      <c r="L497" t="s">
        <v>788</v>
      </c>
      <c r="M497" s="1" t="str">
        <f t="shared" si="49"/>
        <v>06H209</v>
      </c>
      <c r="N497" s="1" t="str">
        <f t="shared" si="50"/>
        <v>C/O</v>
      </c>
      <c r="O497" s="1" t="str">
        <f t="shared" si="51"/>
        <v>Suspension LHR</v>
      </c>
      <c r="P497" s="1" t="str">
        <f t="shared" si="52"/>
        <v>BDA0</v>
      </c>
      <c r="Q497" s="2" t="str">
        <f t="shared" si="53"/>
        <v>BDA0Suspension LHR</v>
      </c>
      <c r="R497" s="2" t="str">
        <f>New_Xref[[#This Row],[Serial Prefix]]&amp;IF(New_Xref[[#This Row],[Func Loc]]&lt;&gt;"",New_Xref[[#This Row],[Func Loc]],"NO MATCH")</f>
        <v>BDA0STRU .SUGR.SG03</v>
      </c>
      <c r="S497" s="3" t="str">
        <f t="shared" si="54"/>
        <v>BDA020R8571Suspension LHR</v>
      </c>
      <c r="T497" s="3" t="s">
        <v>521</v>
      </c>
      <c r="U497" s="3" t="s">
        <v>96</v>
      </c>
      <c r="V497" t="str">
        <f t="shared" si="55"/>
        <v>7213LR</v>
      </c>
    </row>
    <row r="498" spans="1:22">
      <c r="A498" t="s">
        <v>2138</v>
      </c>
      <c r="B498" t="s">
        <v>2139</v>
      </c>
      <c r="H498" t="s">
        <v>2140</v>
      </c>
      <c r="I498" t="s">
        <v>2141</v>
      </c>
      <c r="J498" t="s">
        <v>2142</v>
      </c>
      <c r="K498" t="s">
        <v>2143</v>
      </c>
      <c r="L498" t="s">
        <v>32</v>
      </c>
      <c r="M498" s="1" t="str">
        <f t="shared" si="49"/>
        <v>06H107</v>
      </c>
      <c r="N498" s="1" t="str">
        <f t="shared" si="50"/>
        <v>C/O</v>
      </c>
      <c r="O498" s="1" t="str">
        <f t="shared" si="51"/>
        <v>Engine</v>
      </c>
      <c r="P498" s="1" t="str">
        <f t="shared" si="52"/>
        <v>AGC0</v>
      </c>
      <c r="Q498" s="2" t="str">
        <f t="shared" si="53"/>
        <v>AGC0Engine</v>
      </c>
      <c r="R498" s="2" t="str">
        <f>New_Xref[[#This Row],[Serial Prefix]]&amp;IF(New_Xref[[#This Row],[Func Loc]]&lt;&gt;"",New_Xref[[#This Row],[Func Loc]],"NO MATCH")</f>
        <v>AGC0ENGD</v>
      </c>
      <c r="S498" s="3" t="str">
        <f t="shared" si="54"/>
        <v>AGC0Engine</v>
      </c>
      <c r="T498" s="3" t="s">
        <v>33</v>
      </c>
      <c r="U498" s="3" t="s">
        <v>34</v>
      </c>
      <c r="V498" t="str">
        <f t="shared" si="55"/>
        <v>100000</v>
      </c>
    </row>
    <row r="499" spans="1:22">
      <c r="A499" t="s">
        <v>2138</v>
      </c>
      <c r="B499" t="s">
        <v>2139</v>
      </c>
      <c r="C499" t="s">
        <v>2144</v>
      </c>
      <c r="D499" t="s">
        <v>2145</v>
      </c>
      <c r="E499" t="s">
        <v>2146</v>
      </c>
      <c r="F499" t="s">
        <v>27</v>
      </c>
      <c r="G499">
        <v>1</v>
      </c>
      <c r="H499" t="s">
        <v>2147</v>
      </c>
      <c r="I499" t="s">
        <v>2141</v>
      </c>
      <c r="J499" t="s">
        <v>2148</v>
      </c>
      <c r="K499" t="s">
        <v>2149</v>
      </c>
      <c r="L499" t="s">
        <v>424</v>
      </c>
      <c r="M499" s="1" t="str">
        <f t="shared" si="49"/>
        <v>06H107</v>
      </c>
      <c r="N499" s="1" t="str">
        <f t="shared" si="50"/>
        <v>C/O</v>
      </c>
      <c r="O499" s="1" t="str">
        <f t="shared" si="51"/>
        <v>Turbocharger LH</v>
      </c>
      <c r="P499" s="1" t="str">
        <f t="shared" si="52"/>
        <v>AGC0</v>
      </c>
      <c r="Q499" s="2" t="str">
        <f t="shared" si="53"/>
        <v>AGC0Turbocharger LH</v>
      </c>
      <c r="R499" s="2" t="str">
        <f>New_Xref[[#This Row],[Serial Prefix]]&amp;IF(New_Xref[[#This Row],[Func Loc]]&lt;&gt;"",New_Xref[[#This Row],[Func Loc]],"NO MATCH")</f>
        <v>AGC0ENGD .TURB.TURL</v>
      </c>
      <c r="S499" s="3" t="str">
        <f t="shared" si="54"/>
        <v>AGC010R1885Turbocharger LH</v>
      </c>
      <c r="T499" s="3" t="s">
        <v>47</v>
      </c>
      <c r="U499" s="3" t="s">
        <v>108</v>
      </c>
      <c r="V499" t="str">
        <f t="shared" si="55"/>
        <v>1052LT</v>
      </c>
    </row>
    <row r="500" spans="1:22">
      <c r="A500" t="s">
        <v>2138</v>
      </c>
      <c r="B500" t="s">
        <v>2139</v>
      </c>
      <c r="C500" t="s">
        <v>2144</v>
      </c>
      <c r="D500" t="s">
        <v>2145</v>
      </c>
      <c r="E500" t="s">
        <v>2146</v>
      </c>
      <c r="F500" t="s">
        <v>27</v>
      </c>
      <c r="G500">
        <v>1</v>
      </c>
      <c r="H500" t="s">
        <v>2147</v>
      </c>
      <c r="I500" t="s">
        <v>2141</v>
      </c>
      <c r="J500" t="s">
        <v>2150</v>
      </c>
      <c r="K500" t="s">
        <v>2151</v>
      </c>
      <c r="L500" t="s">
        <v>430</v>
      </c>
      <c r="M500" s="1" t="str">
        <f t="shared" si="49"/>
        <v>06H107</v>
      </c>
      <c r="N500" s="1" t="str">
        <f t="shared" si="50"/>
        <v>C/O</v>
      </c>
      <c r="O500" s="1" t="str">
        <f t="shared" si="51"/>
        <v>Turbocharger RH</v>
      </c>
      <c r="P500" s="1" t="str">
        <f t="shared" si="52"/>
        <v>AGC0</v>
      </c>
      <c r="Q500" s="2" t="str">
        <f t="shared" si="53"/>
        <v>AGC0Turbocharger RH</v>
      </c>
      <c r="R500" s="2" t="str">
        <f>New_Xref[[#This Row],[Serial Prefix]]&amp;IF(New_Xref[[#This Row],[Func Loc]]&lt;&gt;"",New_Xref[[#This Row],[Func Loc]],"NO MATCH")</f>
        <v>AGC0ENGD .TURB.TURR</v>
      </c>
      <c r="S500" s="3" t="str">
        <f t="shared" si="54"/>
        <v>AGC010R1885Turbocharger RH</v>
      </c>
      <c r="T500" s="3" t="s">
        <v>47</v>
      </c>
      <c r="U500" s="3" t="s">
        <v>115</v>
      </c>
      <c r="V500" t="str">
        <f t="shared" si="55"/>
        <v>1052RI</v>
      </c>
    </row>
    <row r="501" spans="1:22">
      <c r="A501" t="s">
        <v>2138</v>
      </c>
      <c r="B501" t="s">
        <v>2139</v>
      </c>
      <c r="C501" t="s">
        <v>2152</v>
      </c>
      <c r="D501" t="s">
        <v>2153</v>
      </c>
      <c r="E501" t="s">
        <v>58</v>
      </c>
      <c r="F501" t="s">
        <v>27</v>
      </c>
      <c r="G501">
        <v>8</v>
      </c>
      <c r="H501" t="s">
        <v>2154</v>
      </c>
      <c r="I501" t="s">
        <v>2141</v>
      </c>
      <c r="J501" t="s">
        <v>2155</v>
      </c>
      <c r="K501" t="s">
        <v>2156</v>
      </c>
      <c r="L501" t="s">
        <v>83</v>
      </c>
      <c r="M501" s="1" t="str">
        <f t="shared" si="49"/>
        <v>06H107</v>
      </c>
      <c r="N501" s="1" t="str">
        <f t="shared" si="50"/>
        <v>C/O</v>
      </c>
      <c r="O501" s="1" t="str">
        <f t="shared" si="51"/>
        <v>Fuel Injectors</v>
      </c>
      <c r="P501" s="1" t="str">
        <f t="shared" si="52"/>
        <v>AGC0</v>
      </c>
      <c r="Q501" s="2" t="str">
        <f t="shared" si="53"/>
        <v>AGC0Fuel Injectors</v>
      </c>
      <c r="R501" s="2" t="str">
        <f>New_Xref[[#This Row],[Serial Prefix]]&amp;IF(New_Xref[[#This Row],[Func Loc]]&lt;&gt;"",New_Xref[[#This Row],[Func Loc]],"NO MATCH")</f>
        <v>AGC0NO MATCH</v>
      </c>
      <c r="S501" s="3" t="str">
        <f t="shared" si="54"/>
        <v>AGC020R0849Fuel Injectors</v>
      </c>
      <c r="T501" s="3" t="s">
        <v>63</v>
      </c>
      <c r="U501" s="3" t="s">
        <v>34</v>
      </c>
      <c r="V501" t="str">
        <f t="shared" si="55"/>
        <v>125100</v>
      </c>
    </row>
    <row r="502" spans="1:22">
      <c r="A502" t="s">
        <v>2138</v>
      </c>
      <c r="B502" t="s">
        <v>2139</v>
      </c>
      <c r="C502" t="s">
        <v>2157</v>
      </c>
      <c r="D502" t="s">
        <v>2158</v>
      </c>
      <c r="E502" t="s">
        <v>2159</v>
      </c>
      <c r="F502" t="s">
        <v>27</v>
      </c>
      <c r="G502">
        <v>1</v>
      </c>
      <c r="H502" t="s">
        <v>2160</v>
      </c>
      <c r="I502" t="s">
        <v>2141</v>
      </c>
      <c r="J502" t="s">
        <v>2161</v>
      </c>
      <c r="K502" t="s">
        <v>2162</v>
      </c>
      <c r="L502" t="s">
        <v>182</v>
      </c>
      <c r="M502" s="1" t="str">
        <f t="shared" si="49"/>
        <v>06H107</v>
      </c>
      <c r="N502" s="1" t="str">
        <f t="shared" si="50"/>
        <v>C/O</v>
      </c>
      <c r="O502" s="1" t="str">
        <f t="shared" si="51"/>
        <v>Water Pump Main</v>
      </c>
      <c r="P502" s="1" t="str">
        <f t="shared" si="52"/>
        <v>AGC0</v>
      </c>
      <c r="Q502" s="2" t="str">
        <f t="shared" si="53"/>
        <v>AGC0Water Pump Main</v>
      </c>
      <c r="R502" s="2" t="str">
        <f>New_Xref[[#This Row],[Serial Prefix]]&amp;IF(New_Xref[[#This Row],[Func Loc]]&lt;&gt;"",New_Xref[[#This Row],[Func Loc]],"NO MATCH")</f>
        <v>AGC0ENGD .WAPU.WAPM</v>
      </c>
      <c r="S502" s="3" t="str">
        <f t="shared" si="54"/>
        <v>AGC010R1670Water Pump Main</v>
      </c>
      <c r="T502" s="3" t="s">
        <v>183</v>
      </c>
      <c r="U502" s="3" t="s">
        <v>34</v>
      </c>
      <c r="V502" t="str">
        <f t="shared" si="55"/>
        <v>136100</v>
      </c>
    </row>
    <row r="503" spans="1:22">
      <c r="A503" t="s">
        <v>2138</v>
      </c>
      <c r="B503" t="s">
        <v>2163</v>
      </c>
      <c r="H503" t="s">
        <v>2164</v>
      </c>
      <c r="I503" t="s">
        <v>2165</v>
      </c>
      <c r="J503" t="s">
        <v>2166</v>
      </c>
      <c r="K503" t="s">
        <v>2165</v>
      </c>
      <c r="L503" t="s">
        <v>72</v>
      </c>
      <c r="M503" s="1" t="str">
        <f t="shared" si="49"/>
        <v>06H110</v>
      </c>
      <c r="N503" s="1" t="str">
        <f t="shared" si="50"/>
        <v>C/O</v>
      </c>
      <c r="O503" s="1" t="str">
        <f t="shared" si="51"/>
        <v>Transmission</v>
      </c>
      <c r="P503" s="1" t="str">
        <f t="shared" si="52"/>
        <v>AGC0</v>
      </c>
      <c r="Q503" s="2" t="str">
        <f t="shared" si="53"/>
        <v>AGC0Transmission</v>
      </c>
      <c r="R503" s="2" t="str">
        <f>New_Xref[[#This Row],[Serial Prefix]]&amp;IF(New_Xref[[#This Row],[Func Loc]]&lt;&gt;"",New_Xref[[#This Row],[Func Loc]],"NO MATCH")</f>
        <v>AGC0TRAN .TRAN</v>
      </c>
      <c r="S503" s="3" t="str">
        <f t="shared" si="54"/>
        <v>AGC0Transmission</v>
      </c>
      <c r="T503" s="3" t="s">
        <v>73</v>
      </c>
      <c r="U503" s="3" t="s">
        <v>34</v>
      </c>
      <c r="V503" t="str">
        <f t="shared" si="55"/>
        <v>303000</v>
      </c>
    </row>
    <row r="504" spans="1:22">
      <c r="A504" t="s">
        <v>2138</v>
      </c>
      <c r="B504" t="s">
        <v>2139</v>
      </c>
      <c r="H504" t="s">
        <v>2167</v>
      </c>
      <c r="I504" t="s">
        <v>2168</v>
      </c>
      <c r="J504" t="s">
        <v>2169</v>
      </c>
      <c r="K504" t="s">
        <v>2168</v>
      </c>
      <c r="L504" t="s">
        <v>2170</v>
      </c>
      <c r="M504" s="1" t="str">
        <f t="shared" si="49"/>
        <v>06H107</v>
      </c>
      <c r="N504" s="1" t="str">
        <f t="shared" si="50"/>
        <v>C/O</v>
      </c>
      <c r="O504" s="1" t="str">
        <f t="shared" si="51"/>
        <v>Main Pump Drive Trans</v>
      </c>
      <c r="P504" s="1" t="str">
        <f t="shared" si="52"/>
        <v>AGC0</v>
      </c>
      <c r="Q504" s="2" t="str">
        <f t="shared" si="53"/>
        <v>AGC0Main Pump Drive Trans</v>
      </c>
      <c r="R504" s="2" t="str">
        <f>New_Xref[[#This Row],[Serial Prefix]]&amp;IF(New_Xref[[#This Row],[Func Loc]]&lt;&gt;"",New_Xref[[#This Row],[Func Loc]],"NO MATCH")</f>
        <v>AGC0TRAN .MPDT</v>
      </c>
      <c r="S504" s="3" t="str">
        <f t="shared" si="54"/>
        <v>AGC0Main Pump Drive Trans</v>
      </c>
      <c r="T504" s="3" t="s">
        <v>1234</v>
      </c>
      <c r="U504" s="3" t="s">
        <v>34</v>
      </c>
      <c r="V504" t="str">
        <f t="shared" si="55"/>
        <v>310800</v>
      </c>
    </row>
    <row r="505" spans="1:22">
      <c r="A505" t="s">
        <v>2138</v>
      </c>
      <c r="B505" t="s">
        <v>2163</v>
      </c>
      <c r="H505" t="s">
        <v>2171</v>
      </c>
      <c r="I505" t="s">
        <v>2172</v>
      </c>
      <c r="J505" t="s">
        <v>2173</v>
      </c>
      <c r="K505" t="s">
        <v>2172</v>
      </c>
      <c r="L505" t="s">
        <v>463</v>
      </c>
      <c r="M505" s="1" t="str">
        <f t="shared" si="49"/>
        <v>06H110</v>
      </c>
      <c r="N505" s="1" t="str">
        <f t="shared" si="50"/>
        <v>C/O</v>
      </c>
      <c r="O505" s="1" t="str">
        <f t="shared" si="51"/>
        <v>Differential</v>
      </c>
      <c r="P505" s="1" t="str">
        <f t="shared" si="52"/>
        <v>AGC0</v>
      </c>
      <c r="Q505" s="2" t="str">
        <f t="shared" si="53"/>
        <v>AGC0Differential</v>
      </c>
      <c r="R505" s="2" t="str">
        <f>New_Xref[[#This Row],[Serial Prefix]]&amp;IF(New_Xref[[#This Row],[Func Loc]]&lt;&gt;"",New_Xref[[#This Row],[Func Loc]],"NO MATCH")</f>
        <v>AGC0FDRV .AXAR.DIFF</v>
      </c>
      <c r="S505" s="3" t="str">
        <f t="shared" si="54"/>
        <v>AGC0Differential</v>
      </c>
      <c r="T505" s="3" t="s">
        <v>464</v>
      </c>
      <c r="U505" s="3" t="s">
        <v>34</v>
      </c>
      <c r="V505" t="str">
        <f t="shared" si="55"/>
        <v>325800</v>
      </c>
    </row>
    <row r="506" spans="1:22">
      <c r="A506" t="s">
        <v>2138</v>
      </c>
      <c r="B506" t="s">
        <v>2174</v>
      </c>
      <c r="C506" t="s">
        <v>2175</v>
      </c>
      <c r="D506" t="s">
        <v>2176</v>
      </c>
      <c r="E506" t="s">
        <v>2177</v>
      </c>
      <c r="F506" t="s">
        <v>27</v>
      </c>
      <c r="G506">
        <v>1</v>
      </c>
      <c r="H506" t="s">
        <v>2178</v>
      </c>
      <c r="I506" t="s">
        <v>2179</v>
      </c>
      <c r="J506" t="s">
        <v>2180</v>
      </c>
      <c r="K506" t="s">
        <v>2179</v>
      </c>
      <c r="L506" t="s">
        <v>761</v>
      </c>
      <c r="M506" s="1" t="str">
        <f t="shared" si="49"/>
        <v>06H216</v>
      </c>
      <c r="N506" s="1" t="str">
        <f t="shared" si="50"/>
        <v>C/O</v>
      </c>
      <c r="O506" s="1" t="str">
        <f t="shared" si="51"/>
        <v>Hub &amp; Spindle LH</v>
      </c>
      <c r="P506" s="1" t="str">
        <f t="shared" si="52"/>
        <v>AGC0</v>
      </c>
      <c r="Q506" s="2" t="str">
        <f t="shared" si="53"/>
        <v>AGC0Hub &amp; Spindle LH</v>
      </c>
      <c r="R506" s="2" t="str">
        <f>New_Xref[[#This Row],[Serial Prefix]]&amp;IF(New_Xref[[#This Row],[Func Loc]]&lt;&gt;"",New_Xref[[#This Row],[Func Loc]],"NO MATCH")</f>
        <v>AGC0FDRV .AXAF.HASL</v>
      </c>
      <c r="S506" s="3" t="str">
        <f t="shared" si="54"/>
        <v>AGC06G7877FHub &amp; Spindle LH</v>
      </c>
      <c r="T506" s="3" t="s">
        <v>88</v>
      </c>
      <c r="U506" s="3" t="s">
        <v>89</v>
      </c>
      <c r="V506" t="str">
        <f t="shared" si="55"/>
        <v>4006LF</v>
      </c>
    </row>
    <row r="507" spans="1:22">
      <c r="A507" t="s">
        <v>2138</v>
      </c>
      <c r="B507" t="s">
        <v>2174</v>
      </c>
      <c r="C507" t="s">
        <v>2175</v>
      </c>
      <c r="D507" t="s">
        <v>2176</v>
      </c>
      <c r="E507" t="s">
        <v>2177</v>
      </c>
      <c r="F507" t="s">
        <v>27</v>
      </c>
      <c r="G507">
        <v>1</v>
      </c>
      <c r="H507" t="s">
        <v>2178</v>
      </c>
      <c r="I507" t="s">
        <v>2181</v>
      </c>
      <c r="J507" t="s">
        <v>2182</v>
      </c>
      <c r="K507" t="s">
        <v>2181</v>
      </c>
      <c r="L507" t="s">
        <v>757</v>
      </c>
      <c r="M507" s="1" t="str">
        <f t="shared" si="49"/>
        <v>06H216</v>
      </c>
      <c r="N507" s="1" t="str">
        <f t="shared" si="50"/>
        <v>C/O</v>
      </c>
      <c r="O507" s="1" t="str">
        <f t="shared" si="51"/>
        <v>Hub &amp; Spindle RH</v>
      </c>
      <c r="P507" s="1" t="str">
        <f t="shared" si="52"/>
        <v>AGC0</v>
      </c>
      <c r="Q507" s="2" t="str">
        <f t="shared" si="53"/>
        <v>AGC0Hub &amp; Spindle RH</v>
      </c>
      <c r="R507" s="2" t="str">
        <f>New_Xref[[#This Row],[Serial Prefix]]&amp;IF(New_Xref[[#This Row],[Func Loc]]&lt;&gt;"",New_Xref[[#This Row],[Func Loc]],"NO MATCH")</f>
        <v>AGC0FDRV .AXAF.HASR</v>
      </c>
      <c r="S507" s="3" t="str">
        <f t="shared" si="54"/>
        <v>AGC06G7877FHub &amp; Spindle RH</v>
      </c>
      <c r="T507" s="3" t="s">
        <v>88</v>
      </c>
      <c r="U507" s="3" t="s">
        <v>92</v>
      </c>
      <c r="V507" t="str">
        <f t="shared" si="55"/>
        <v>4006RF</v>
      </c>
    </row>
    <row r="508" spans="1:22">
      <c r="A508" t="s">
        <v>2138</v>
      </c>
      <c r="B508" t="s">
        <v>2183</v>
      </c>
      <c r="H508" t="s">
        <v>2184</v>
      </c>
      <c r="I508" t="s">
        <v>2185</v>
      </c>
      <c r="J508" t="s">
        <v>2186</v>
      </c>
      <c r="K508" t="s">
        <v>2187</v>
      </c>
      <c r="L508" t="s">
        <v>106</v>
      </c>
      <c r="M508" s="1" t="str">
        <f t="shared" si="49"/>
        <v>06H122</v>
      </c>
      <c r="N508" s="1" t="str">
        <f t="shared" si="50"/>
        <v>C/O</v>
      </c>
      <c r="O508" s="1" t="str">
        <f t="shared" si="51"/>
        <v>Steering Cylinder LH</v>
      </c>
      <c r="P508" s="1" t="str">
        <f t="shared" si="52"/>
        <v>AGC0</v>
      </c>
      <c r="Q508" s="2" t="str">
        <f t="shared" si="53"/>
        <v>AGC0Steering Cylinder LH</v>
      </c>
      <c r="R508" s="2" t="str">
        <f>New_Xref[[#This Row],[Serial Prefix]]&amp;IF(New_Xref[[#This Row],[Func Loc]]&lt;&gt;"",New_Xref[[#This Row],[Func Loc]],"NO MATCH")</f>
        <v>AGC0STRG .CYLI.SCLH</v>
      </c>
      <c r="S508" s="3" t="str">
        <f t="shared" si="54"/>
        <v>AGC0Steering Cylinder LH</v>
      </c>
      <c r="T508" s="3" t="s">
        <v>107</v>
      </c>
      <c r="U508" s="3" t="s">
        <v>108</v>
      </c>
      <c r="V508" t="str">
        <f t="shared" si="55"/>
        <v>4303LT</v>
      </c>
    </row>
    <row r="509" spans="1:22">
      <c r="A509" t="s">
        <v>2138</v>
      </c>
      <c r="B509" t="s">
        <v>2183</v>
      </c>
      <c r="H509" t="s">
        <v>2184</v>
      </c>
      <c r="I509" t="s">
        <v>2188</v>
      </c>
      <c r="J509" t="s">
        <v>2189</v>
      </c>
      <c r="K509" t="s">
        <v>2190</v>
      </c>
      <c r="L509" t="s">
        <v>114</v>
      </c>
      <c r="M509" s="1" t="str">
        <f t="shared" si="49"/>
        <v>06H122</v>
      </c>
      <c r="N509" s="1" t="str">
        <f t="shared" si="50"/>
        <v>C/O</v>
      </c>
      <c r="O509" s="1" t="str">
        <f t="shared" si="51"/>
        <v>Steering Cylinder RH</v>
      </c>
      <c r="P509" s="1" t="str">
        <f t="shared" si="52"/>
        <v>AGC0</v>
      </c>
      <c r="Q509" s="2" t="str">
        <f t="shared" si="53"/>
        <v>AGC0Steering Cylinder RH</v>
      </c>
      <c r="R509" s="2" t="str">
        <f>New_Xref[[#This Row],[Serial Prefix]]&amp;IF(New_Xref[[#This Row],[Func Loc]]&lt;&gt;"",New_Xref[[#This Row],[Func Loc]],"NO MATCH")</f>
        <v>AGC0STRG .CYLI.SCRH</v>
      </c>
      <c r="S509" s="3" t="str">
        <f t="shared" si="54"/>
        <v>AGC0Steering Cylinder RH</v>
      </c>
      <c r="T509" s="3" t="s">
        <v>107</v>
      </c>
      <c r="U509" s="3" t="s">
        <v>115</v>
      </c>
      <c r="V509" t="str">
        <f t="shared" si="55"/>
        <v>4303RI</v>
      </c>
    </row>
    <row r="510" spans="1:22">
      <c r="A510" t="s">
        <v>2138</v>
      </c>
      <c r="B510" t="s">
        <v>2139</v>
      </c>
      <c r="H510" t="s">
        <v>2191</v>
      </c>
      <c r="I510" t="s">
        <v>2192</v>
      </c>
      <c r="J510" t="s">
        <v>2193</v>
      </c>
      <c r="K510" t="s">
        <v>2192</v>
      </c>
      <c r="L510" t="s">
        <v>510</v>
      </c>
      <c r="M510" s="1" t="str">
        <f t="shared" si="49"/>
        <v>06H107</v>
      </c>
      <c r="N510" s="1" t="str">
        <f t="shared" si="50"/>
        <v>C/O</v>
      </c>
      <c r="O510" s="1" t="str">
        <f t="shared" si="51"/>
        <v>Suspension LHF</v>
      </c>
      <c r="P510" s="1" t="str">
        <f t="shared" si="52"/>
        <v>AGC0</v>
      </c>
      <c r="Q510" s="2" t="str">
        <f t="shared" si="53"/>
        <v>AGC0Suspension LHF</v>
      </c>
      <c r="R510" s="2" t="str">
        <f>New_Xref[[#This Row],[Serial Prefix]]&amp;IF(New_Xref[[#This Row],[Func Loc]]&lt;&gt;"",New_Xref[[#This Row],[Func Loc]],"NO MATCH")</f>
        <v>AGC0STRU .SUGR.SULF</v>
      </c>
      <c r="S510" s="3" t="str">
        <f t="shared" si="54"/>
        <v>AGC0Suspension LHF</v>
      </c>
      <c r="T510" s="3" t="s">
        <v>511</v>
      </c>
      <c r="U510" s="3" t="s">
        <v>89</v>
      </c>
      <c r="V510" t="str">
        <f t="shared" si="55"/>
        <v>7201LF</v>
      </c>
    </row>
    <row r="511" spans="1:22">
      <c r="A511" t="s">
        <v>2138</v>
      </c>
      <c r="B511" t="s">
        <v>2139</v>
      </c>
      <c r="H511" t="s">
        <v>2191</v>
      </c>
      <c r="I511" t="s">
        <v>2194</v>
      </c>
      <c r="J511" t="s">
        <v>2195</v>
      </c>
      <c r="K511" t="s">
        <v>2194</v>
      </c>
      <c r="L511" t="s">
        <v>514</v>
      </c>
      <c r="M511" s="1" t="str">
        <f t="shared" si="49"/>
        <v>06H107</v>
      </c>
      <c r="N511" s="1" t="str">
        <f t="shared" si="50"/>
        <v>C/O</v>
      </c>
      <c r="O511" s="1" t="str">
        <f t="shared" si="51"/>
        <v>Suspension RHF</v>
      </c>
      <c r="P511" s="1" t="str">
        <f t="shared" si="52"/>
        <v>AGC0</v>
      </c>
      <c r="Q511" s="2" t="str">
        <f t="shared" si="53"/>
        <v>AGC0Suspension RHF</v>
      </c>
      <c r="R511" s="2" t="str">
        <f>New_Xref[[#This Row],[Serial Prefix]]&amp;IF(New_Xref[[#This Row],[Func Loc]]&lt;&gt;"",New_Xref[[#This Row],[Func Loc]],"NO MATCH")</f>
        <v>AGC0STRU .SUGR.SURF</v>
      </c>
      <c r="S511" s="3" t="str">
        <f t="shared" si="54"/>
        <v>AGC0Suspension RHF</v>
      </c>
      <c r="T511" s="3" t="s">
        <v>511</v>
      </c>
      <c r="U511" s="3" t="s">
        <v>92</v>
      </c>
      <c r="V511" t="str">
        <f t="shared" si="55"/>
        <v>7201RF</v>
      </c>
    </row>
    <row r="512" spans="1:22">
      <c r="A512" t="s">
        <v>2138</v>
      </c>
      <c r="B512" t="s">
        <v>2183</v>
      </c>
      <c r="H512" t="s">
        <v>2196</v>
      </c>
      <c r="I512" t="s">
        <v>2197</v>
      </c>
      <c r="J512" t="s">
        <v>2198</v>
      </c>
      <c r="K512" t="s">
        <v>2199</v>
      </c>
      <c r="L512" t="s">
        <v>2200</v>
      </c>
      <c r="M512" s="1" t="str">
        <f t="shared" si="49"/>
        <v>06H122</v>
      </c>
      <c r="N512" s="1" t="str">
        <f t="shared" si="50"/>
        <v>C/O</v>
      </c>
      <c r="O512" s="1" t="str">
        <f t="shared" si="51"/>
        <v>Suspension RHR</v>
      </c>
      <c r="P512" s="1" t="str">
        <f t="shared" si="52"/>
        <v>AGC0</v>
      </c>
      <c r="Q512" s="2" t="str">
        <f t="shared" si="53"/>
        <v>AGC0Suspension RHR</v>
      </c>
      <c r="R512" s="2" t="str">
        <f>New_Xref[[#This Row],[Serial Prefix]]&amp;IF(New_Xref[[#This Row],[Func Loc]]&lt;&gt;"",New_Xref[[#This Row],[Func Loc]],"NO MATCH")</f>
        <v>AGC0STRU .SUGR.SURR</v>
      </c>
      <c r="S512" s="3" t="str">
        <f t="shared" si="54"/>
        <v>AGC0Suspension RHR</v>
      </c>
      <c r="T512" s="3" t="s">
        <v>521</v>
      </c>
      <c r="U512" s="3" t="s">
        <v>99</v>
      </c>
      <c r="V512" t="str">
        <f t="shared" si="55"/>
        <v>7213RR</v>
      </c>
    </row>
    <row r="513" spans="1:22">
      <c r="A513" t="s">
        <v>2138</v>
      </c>
      <c r="B513" t="s">
        <v>2163</v>
      </c>
      <c r="H513" t="s">
        <v>2196</v>
      </c>
      <c r="I513" t="s">
        <v>2201</v>
      </c>
      <c r="J513" t="s">
        <v>2202</v>
      </c>
      <c r="K513" t="s">
        <v>2201</v>
      </c>
      <c r="L513" t="s">
        <v>2203</v>
      </c>
      <c r="M513" s="1" t="str">
        <f t="shared" si="49"/>
        <v>06H110</v>
      </c>
      <c r="N513" s="1" t="str">
        <f t="shared" si="50"/>
        <v>C/O</v>
      </c>
      <c r="O513" s="1" t="str">
        <f t="shared" si="51"/>
        <v>Suspension LHR</v>
      </c>
      <c r="P513" s="1" t="str">
        <f t="shared" si="52"/>
        <v>AGC0</v>
      </c>
      <c r="Q513" s="2" t="str">
        <f t="shared" si="53"/>
        <v>AGC0Suspension LHR</v>
      </c>
      <c r="R513" s="2" t="str">
        <f>New_Xref[[#This Row],[Serial Prefix]]&amp;IF(New_Xref[[#This Row],[Func Loc]]&lt;&gt;"",New_Xref[[#This Row],[Func Loc]],"NO MATCH")</f>
        <v>AGC0STRU .SUGR.SULR</v>
      </c>
      <c r="S513" s="3" t="str">
        <f t="shared" si="54"/>
        <v>AGC0Suspension LHR</v>
      </c>
      <c r="T513" s="3" t="s">
        <v>521</v>
      </c>
      <c r="U513" s="3" t="s">
        <v>96</v>
      </c>
      <c r="V513" t="str">
        <f t="shared" si="55"/>
        <v>7213LR</v>
      </c>
    </row>
    <row r="514" spans="1:22">
      <c r="A514" t="s">
        <v>2204</v>
      </c>
      <c r="B514" t="s">
        <v>2205</v>
      </c>
      <c r="C514" t="s">
        <v>2206</v>
      </c>
      <c r="D514" t="s">
        <v>2207</v>
      </c>
      <c r="E514" t="s">
        <v>2208</v>
      </c>
      <c r="F514" t="s">
        <v>27</v>
      </c>
      <c r="G514">
        <v>1</v>
      </c>
      <c r="H514" t="s">
        <v>2209</v>
      </c>
      <c r="I514" t="s">
        <v>2210</v>
      </c>
      <c r="J514" t="s">
        <v>2211</v>
      </c>
      <c r="K514" t="s">
        <v>2212</v>
      </c>
      <c r="L514" t="s">
        <v>32</v>
      </c>
      <c r="M514" s="1" t="str">
        <f t="shared" si="49"/>
        <v>06D11</v>
      </c>
      <c r="N514" s="1" t="str">
        <f t="shared" si="50"/>
        <v>C/O</v>
      </c>
      <c r="O514" s="1" t="str">
        <f t="shared" si="51"/>
        <v>Engine</v>
      </c>
      <c r="P514" s="1" t="str">
        <f t="shared" si="52"/>
        <v>JRP0</v>
      </c>
      <c r="Q514" s="2" t="str">
        <f t="shared" si="53"/>
        <v>JRP0Engine</v>
      </c>
      <c r="R514" s="2" t="str">
        <f>New_Xref[[#This Row],[Serial Prefix]]&amp;IF(New_Xref[[#This Row],[Func Loc]]&lt;&gt;"",New_Xref[[#This Row],[Func Loc]],"NO MATCH")</f>
        <v>JRP0ENGD</v>
      </c>
      <c r="S514" s="3" t="str">
        <f t="shared" si="54"/>
        <v>JRP03538645XEngine</v>
      </c>
      <c r="T514" s="3" t="s">
        <v>33</v>
      </c>
      <c r="U514" s="3" t="s">
        <v>34</v>
      </c>
      <c r="V514" t="str">
        <f t="shared" si="55"/>
        <v>100000</v>
      </c>
    </row>
    <row r="515" spans="1:22">
      <c r="A515" t="s">
        <v>2204</v>
      </c>
      <c r="B515" t="s">
        <v>2213</v>
      </c>
      <c r="C515" t="s">
        <v>2214</v>
      </c>
      <c r="D515" t="s">
        <v>2215</v>
      </c>
      <c r="E515" t="s">
        <v>2216</v>
      </c>
      <c r="F515" t="s">
        <v>125</v>
      </c>
      <c r="G515">
        <v>1</v>
      </c>
      <c r="H515" t="s">
        <v>2209</v>
      </c>
      <c r="I515" t="s">
        <v>2217</v>
      </c>
      <c r="J515" t="s">
        <v>2218</v>
      </c>
      <c r="K515" t="s">
        <v>2219</v>
      </c>
      <c r="L515" t="s">
        <v>32</v>
      </c>
      <c r="M515" s="1" t="str">
        <f t="shared" ref="M515:M578" si="56">LEFT(K515,FIND(" ",K515,1)-1)</f>
        <v>06R44</v>
      </c>
      <c r="N515" s="1" t="str">
        <f t="shared" ref="N515:N578" si="57">MID(K515,LEN(M515)+2,FIND(" ",K515,LEN(M515)+2)-LEN(M515)-2)</f>
        <v>C/O</v>
      </c>
      <c r="O515" s="1" t="str">
        <f t="shared" ref="O515:O578" si="58">MID(K515,FIND(N515,K515,1)+LEN(N515)+1, 150)</f>
        <v>Engine</v>
      </c>
      <c r="P515" s="1" t="str">
        <f t="shared" ref="P515:P578" si="59">LEFT(B515,4)</f>
        <v>JRP0</v>
      </c>
      <c r="Q515" s="2" t="str">
        <f t="shared" ref="Q515:Q578" si="60">P515&amp;O515</f>
        <v>JRP0Engine</v>
      </c>
      <c r="R515" s="2" t="str">
        <f>New_Xref[[#This Row],[Serial Prefix]]&amp;IF(New_Xref[[#This Row],[Func Loc]]&lt;&gt;"",New_Xref[[#This Row],[Func Loc]],"NO MATCH")</f>
        <v>JRP0ENGD</v>
      </c>
      <c r="S515" s="3" t="str">
        <f t="shared" ref="S515:S578" si="61">P515&amp;D515&amp;O515</f>
        <v>JRP010R9819Engine</v>
      </c>
      <c r="T515" s="3" t="s">
        <v>33</v>
      </c>
      <c r="U515" s="3" t="s">
        <v>34</v>
      </c>
      <c r="V515" t="str">
        <f t="shared" ref="V515:V578" si="62">LEFT(T515,FIND(" -",T515,1)-1)&amp;LEFT(U515,FIND(" -",U515,1)-1)</f>
        <v>100000</v>
      </c>
    </row>
    <row r="516" spans="1:22">
      <c r="A516" t="s">
        <v>2204</v>
      </c>
      <c r="B516" t="s">
        <v>2220</v>
      </c>
      <c r="C516" t="s">
        <v>2214</v>
      </c>
      <c r="D516" t="s">
        <v>2215</v>
      </c>
      <c r="E516" t="s">
        <v>2216</v>
      </c>
      <c r="F516" t="s">
        <v>125</v>
      </c>
      <c r="G516">
        <v>1</v>
      </c>
      <c r="H516" t="s">
        <v>2221</v>
      </c>
      <c r="I516" t="s">
        <v>2222</v>
      </c>
      <c r="J516" t="s">
        <v>2223</v>
      </c>
      <c r="K516" t="s">
        <v>2224</v>
      </c>
      <c r="L516" t="s">
        <v>32</v>
      </c>
      <c r="M516" s="1" t="str">
        <f t="shared" si="56"/>
        <v>06R527</v>
      </c>
      <c r="N516" s="1" t="str">
        <f t="shared" si="57"/>
        <v>C/O</v>
      </c>
      <c r="O516" s="1" t="str">
        <f t="shared" si="58"/>
        <v>Engine</v>
      </c>
      <c r="P516" s="1" t="str">
        <f t="shared" si="59"/>
        <v>JXP0</v>
      </c>
      <c r="Q516" s="2" t="str">
        <f t="shared" si="60"/>
        <v>JXP0Engine</v>
      </c>
      <c r="R516" s="2" t="str">
        <f>New_Xref[[#This Row],[Serial Prefix]]&amp;IF(New_Xref[[#This Row],[Func Loc]]&lt;&gt;"",New_Xref[[#This Row],[Func Loc]],"NO MATCH")</f>
        <v>JXP0ENGD</v>
      </c>
      <c r="S516" s="3" t="str">
        <f t="shared" si="61"/>
        <v>JXP010R9819Engine</v>
      </c>
      <c r="T516" s="3" t="s">
        <v>33</v>
      </c>
      <c r="U516" s="3" t="s">
        <v>34</v>
      </c>
      <c r="V516" t="str">
        <f t="shared" si="62"/>
        <v>100000</v>
      </c>
    </row>
    <row r="517" spans="1:22">
      <c r="A517" t="s">
        <v>2204</v>
      </c>
      <c r="B517" t="s">
        <v>2205</v>
      </c>
      <c r="C517" t="s">
        <v>2225</v>
      </c>
      <c r="D517" t="s">
        <v>2226</v>
      </c>
      <c r="E517" t="s">
        <v>263</v>
      </c>
      <c r="F517" t="s">
        <v>27</v>
      </c>
      <c r="G517">
        <v>1</v>
      </c>
      <c r="H517" t="s">
        <v>2227</v>
      </c>
      <c r="I517" t="s">
        <v>2210</v>
      </c>
      <c r="J517" t="s">
        <v>2228</v>
      </c>
      <c r="K517" t="s">
        <v>2229</v>
      </c>
      <c r="L517" t="s">
        <v>719</v>
      </c>
      <c r="M517" s="1" t="str">
        <f t="shared" si="56"/>
        <v>06D11</v>
      </c>
      <c r="N517" s="1" t="str">
        <f t="shared" si="57"/>
        <v>C/O</v>
      </c>
      <c r="O517" s="1" t="str">
        <f t="shared" si="58"/>
        <v>Turbocharger LH</v>
      </c>
      <c r="P517" s="1" t="str">
        <f t="shared" si="59"/>
        <v>JRP0</v>
      </c>
      <c r="Q517" s="2" t="str">
        <f t="shared" si="60"/>
        <v>JRP0Turbocharger LH</v>
      </c>
      <c r="R517" s="2" t="str">
        <f>New_Xref[[#This Row],[Serial Prefix]]&amp;IF(New_Xref[[#This Row],[Func Loc]]&lt;&gt;"",New_Xref[[#This Row],[Func Loc]],"NO MATCH")</f>
        <v>JRP0ENGD .TURB.TC01</v>
      </c>
      <c r="S517" s="3" t="str">
        <f t="shared" si="61"/>
        <v>JRP020R0974Turbocharger LH</v>
      </c>
      <c r="T517" s="3" t="s">
        <v>47</v>
      </c>
      <c r="U517" s="3" t="s">
        <v>108</v>
      </c>
      <c r="V517" t="str">
        <f t="shared" si="62"/>
        <v>1052LT</v>
      </c>
    </row>
    <row r="518" spans="1:22">
      <c r="A518" t="s">
        <v>2204</v>
      </c>
      <c r="B518" t="s">
        <v>2205</v>
      </c>
      <c r="C518" t="s">
        <v>2230</v>
      </c>
      <c r="D518" t="s">
        <v>2231</v>
      </c>
      <c r="E518" t="s">
        <v>263</v>
      </c>
      <c r="F518" t="s">
        <v>27</v>
      </c>
      <c r="G518">
        <v>1</v>
      </c>
      <c r="H518" t="s">
        <v>2232</v>
      </c>
      <c r="I518" t="s">
        <v>2210</v>
      </c>
      <c r="J518" t="s">
        <v>2233</v>
      </c>
      <c r="K518" t="s">
        <v>2234</v>
      </c>
      <c r="L518" t="s">
        <v>722</v>
      </c>
      <c r="M518" s="1" t="str">
        <f t="shared" si="56"/>
        <v>06D11</v>
      </c>
      <c r="N518" s="1" t="str">
        <f t="shared" si="57"/>
        <v>C/O</v>
      </c>
      <c r="O518" s="1" t="str">
        <f t="shared" si="58"/>
        <v>Turbocharger RH</v>
      </c>
      <c r="P518" s="1" t="str">
        <f t="shared" si="59"/>
        <v>JRP0</v>
      </c>
      <c r="Q518" s="2" t="str">
        <f t="shared" si="60"/>
        <v>JRP0Turbocharger RH</v>
      </c>
      <c r="R518" s="2" t="str">
        <f>New_Xref[[#This Row],[Serial Prefix]]&amp;IF(New_Xref[[#This Row],[Func Loc]]&lt;&gt;"",New_Xref[[#This Row],[Func Loc]],"NO MATCH")</f>
        <v>JRP0ENGD .TURB.TC02</v>
      </c>
      <c r="S518" s="3" t="str">
        <f t="shared" si="61"/>
        <v>JRP020R0973Turbocharger RH</v>
      </c>
      <c r="T518" s="3" t="s">
        <v>47</v>
      </c>
      <c r="U518" s="3" t="s">
        <v>115</v>
      </c>
      <c r="V518" t="str">
        <f t="shared" si="62"/>
        <v>1052RI</v>
      </c>
    </row>
    <row r="519" spans="1:22">
      <c r="A519" t="s">
        <v>2204</v>
      </c>
      <c r="B519" t="s">
        <v>2235</v>
      </c>
      <c r="C519" t="s">
        <v>2225</v>
      </c>
      <c r="D519" t="s">
        <v>2226</v>
      </c>
      <c r="E519" t="s">
        <v>263</v>
      </c>
      <c r="F519" t="s">
        <v>27</v>
      </c>
      <c r="G519">
        <v>1</v>
      </c>
      <c r="H519" t="s">
        <v>2236</v>
      </c>
      <c r="I519" t="s">
        <v>2237</v>
      </c>
      <c r="J519" t="s">
        <v>2238</v>
      </c>
      <c r="K519" t="s">
        <v>2239</v>
      </c>
      <c r="L519" t="s">
        <v>719</v>
      </c>
      <c r="M519" s="1" t="str">
        <f t="shared" si="56"/>
        <v>06D55</v>
      </c>
      <c r="N519" s="1" t="str">
        <f t="shared" si="57"/>
        <v>C/O</v>
      </c>
      <c r="O519" s="1" t="str">
        <f t="shared" si="58"/>
        <v>Turbocharger LH</v>
      </c>
      <c r="P519" s="1" t="str">
        <f t="shared" si="59"/>
        <v>JXP0</v>
      </c>
      <c r="Q519" s="2" t="str">
        <f t="shared" si="60"/>
        <v>JXP0Turbocharger LH</v>
      </c>
      <c r="R519" s="2" t="str">
        <f>New_Xref[[#This Row],[Serial Prefix]]&amp;IF(New_Xref[[#This Row],[Func Loc]]&lt;&gt;"",New_Xref[[#This Row],[Func Loc]],"NO MATCH")</f>
        <v>JXP0ENGD .TURB.TC01</v>
      </c>
      <c r="S519" s="3" t="str">
        <f t="shared" si="61"/>
        <v>JXP020R0974Turbocharger LH</v>
      </c>
      <c r="T519" s="3" t="s">
        <v>47</v>
      </c>
      <c r="U519" s="3" t="s">
        <v>108</v>
      </c>
      <c r="V519" t="str">
        <f t="shared" si="62"/>
        <v>1052LT</v>
      </c>
    </row>
    <row r="520" spans="1:22">
      <c r="A520" t="s">
        <v>2204</v>
      </c>
      <c r="B520" t="s">
        <v>2235</v>
      </c>
      <c r="C520" t="s">
        <v>2230</v>
      </c>
      <c r="D520" t="s">
        <v>2231</v>
      </c>
      <c r="E520" t="s">
        <v>263</v>
      </c>
      <c r="F520" t="s">
        <v>27</v>
      </c>
      <c r="G520">
        <v>1</v>
      </c>
      <c r="H520" t="s">
        <v>2240</v>
      </c>
      <c r="I520" t="s">
        <v>2237</v>
      </c>
      <c r="J520" t="s">
        <v>2241</v>
      </c>
      <c r="K520" t="s">
        <v>2242</v>
      </c>
      <c r="L520" t="s">
        <v>722</v>
      </c>
      <c r="M520" s="1" t="str">
        <f t="shared" si="56"/>
        <v>06D55</v>
      </c>
      <c r="N520" s="1" t="str">
        <f t="shared" si="57"/>
        <v>C/O</v>
      </c>
      <c r="O520" s="1" t="str">
        <f t="shared" si="58"/>
        <v>Turbocharger RH</v>
      </c>
      <c r="P520" s="1" t="str">
        <f t="shared" si="59"/>
        <v>JXP0</v>
      </c>
      <c r="Q520" s="2" t="str">
        <f t="shared" si="60"/>
        <v>JXP0Turbocharger RH</v>
      </c>
      <c r="R520" s="2" t="str">
        <f>New_Xref[[#This Row],[Serial Prefix]]&amp;IF(New_Xref[[#This Row],[Func Loc]]&lt;&gt;"",New_Xref[[#This Row],[Func Loc]],"NO MATCH")</f>
        <v>JXP0ENGD .TURB.TC02</v>
      </c>
      <c r="S520" s="3" t="str">
        <f t="shared" si="61"/>
        <v>JXP020R0973Turbocharger RH</v>
      </c>
      <c r="T520" s="3" t="s">
        <v>47</v>
      </c>
      <c r="U520" s="3" t="s">
        <v>115</v>
      </c>
      <c r="V520" t="str">
        <f t="shared" si="62"/>
        <v>1052RI</v>
      </c>
    </row>
    <row r="521" spans="1:22">
      <c r="A521" t="s">
        <v>2204</v>
      </c>
      <c r="B521" t="s">
        <v>2205</v>
      </c>
      <c r="C521" t="s">
        <v>431</v>
      </c>
      <c r="D521" t="s">
        <v>432</v>
      </c>
      <c r="E521" t="s">
        <v>276</v>
      </c>
      <c r="F521" t="s">
        <v>27</v>
      </c>
      <c r="G521">
        <v>12</v>
      </c>
      <c r="H521" t="s">
        <v>2243</v>
      </c>
      <c r="I521" t="s">
        <v>2210</v>
      </c>
      <c r="J521" t="s">
        <v>2244</v>
      </c>
      <c r="K521" t="s">
        <v>2245</v>
      </c>
      <c r="L521" t="s">
        <v>62</v>
      </c>
      <c r="M521" s="1" t="str">
        <f t="shared" si="56"/>
        <v>06D11</v>
      </c>
      <c r="N521" s="1" t="str">
        <f t="shared" si="57"/>
        <v>C/O</v>
      </c>
      <c r="O521" s="1" t="str">
        <f t="shared" si="58"/>
        <v>Fuel Injectors</v>
      </c>
      <c r="P521" s="1" t="str">
        <f t="shared" si="59"/>
        <v>JRP0</v>
      </c>
      <c r="Q521" s="2" t="str">
        <f t="shared" si="60"/>
        <v>JRP0Fuel Injectors</v>
      </c>
      <c r="R521" s="2" t="str">
        <f>New_Xref[[#This Row],[Serial Prefix]]&amp;IF(New_Xref[[#This Row],[Func Loc]]&lt;&gt;"",New_Xref[[#This Row],[Func Loc]],"NO MATCH")</f>
        <v>JRP0ENGD .FUEL.INJE</v>
      </c>
      <c r="S521" s="3" t="str">
        <f t="shared" si="61"/>
        <v>JRP06470750Fuel Injectors</v>
      </c>
      <c r="T521" s="3" t="s">
        <v>63</v>
      </c>
      <c r="U521" s="3" t="s">
        <v>34</v>
      </c>
      <c r="V521" t="str">
        <f t="shared" si="62"/>
        <v>125100</v>
      </c>
    </row>
    <row r="522" spans="1:22">
      <c r="A522" t="s">
        <v>2204</v>
      </c>
      <c r="B522" t="s">
        <v>2235</v>
      </c>
      <c r="C522" t="s">
        <v>431</v>
      </c>
      <c r="D522" t="s">
        <v>432</v>
      </c>
      <c r="E522" t="s">
        <v>276</v>
      </c>
      <c r="F522" t="s">
        <v>27</v>
      </c>
      <c r="G522">
        <v>12</v>
      </c>
      <c r="H522" t="s">
        <v>2246</v>
      </c>
      <c r="I522" t="s">
        <v>2237</v>
      </c>
      <c r="J522" t="s">
        <v>2247</v>
      </c>
      <c r="K522" t="s">
        <v>2248</v>
      </c>
      <c r="L522" t="s">
        <v>62</v>
      </c>
      <c r="M522" s="1" t="str">
        <f t="shared" si="56"/>
        <v>06D55</v>
      </c>
      <c r="N522" s="1" t="str">
        <f t="shared" si="57"/>
        <v>C/O</v>
      </c>
      <c r="O522" s="1" t="str">
        <f t="shared" si="58"/>
        <v>Fuel Injectors</v>
      </c>
      <c r="P522" s="1" t="str">
        <f t="shared" si="59"/>
        <v>JXP0</v>
      </c>
      <c r="Q522" s="2" t="str">
        <f t="shared" si="60"/>
        <v>JXP0Fuel Injectors</v>
      </c>
      <c r="R522" s="2" t="str">
        <f>New_Xref[[#This Row],[Serial Prefix]]&amp;IF(New_Xref[[#This Row],[Func Loc]]&lt;&gt;"",New_Xref[[#This Row],[Func Loc]],"NO MATCH")</f>
        <v>JXP0ENGD .FUEL.INJE</v>
      </c>
      <c r="S522" s="3" t="str">
        <f t="shared" si="61"/>
        <v>JXP06470750Fuel Injectors</v>
      </c>
      <c r="T522" s="3" t="s">
        <v>63</v>
      </c>
      <c r="U522" s="3" t="s">
        <v>34</v>
      </c>
      <c r="V522" t="str">
        <f t="shared" si="62"/>
        <v>125100</v>
      </c>
    </row>
    <row r="523" spans="1:22">
      <c r="A523" t="s">
        <v>2204</v>
      </c>
      <c r="B523" t="s">
        <v>2205</v>
      </c>
      <c r="C523" t="s">
        <v>2249</v>
      </c>
      <c r="D523" t="s">
        <v>2250</v>
      </c>
      <c r="E523" t="s">
        <v>2251</v>
      </c>
      <c r="F523" t="s">
        <v>125</v>
      </c>
      <c r="G523">
        <v>1</v>
      </c>
      <c r="H523" t="s">
        <v>2252</v>
      </c>
      <c r="I523" t="s">
        <v>2253</v>
      </c>
      <c r="J523" t="s">
        <v>2254</v>
      </c>
      <c r="K523" t="s">
        <v>2253</v>
      </c>
      <c r="L523" t="s">
        <v>67</v>
      </c>
      <c r="M523" s="1" t="str">
        <f t="shared" si="56"/>
        <v>06D11</v>
      </c>
      <c r="N523" s="1" t="str">
        <f t="shared" si="57"/>
        <v>C/O</v>
      </c>
      <c r="O523" s="1" t="str">
        <f t="shared" si="58"/>
        <v>Engine Radiator</v>
      </c>
      <c r="P523" s="1" t="str">
        <f t="shared" si="59"/>
        <v>JRP0</v>
      </c>
      <c r="Q523" s="2" t="str">
        <f t="shared" si="60"/>
        <v>JRP0Engine Radiator</v>
      </c>
      <c r="R523" s="2" t="str">
        <f>New_Xref[[#This Row],[Serial Prefix]]&amp;IF(New_Xref[[#This Row],[Func Loc]]&lt;&gt;"",New_Xref[[#This Row],[Func Loc]],"NO MATCH")</f>
        <v>JRP0ENGD .ENCS.RADI</v>
      </c>
      <c r="S523" s="3" t="str">
        <f t="shared" si="61"/>
        <v>JRP02423290FEngine Radiator</v>
      </c>
      <c r="T523" s="3" t="s">
        <v>68</v>
      </c>
      <c r="U523" s="3" t="s">
        <v>34</v>
      </c>
      <c r="V523" t="str">
        <f t="shared" si="62"/>
        <v>135300</v>
      </c>
    </row>
    <row r="524" spans="1:22">
      <c r="A524" t="s">
        <v>2204</v>
      </c>
      <c r="B524" t="s">
        <v>2220</v>
      </c>
      <c r="C524" t="s">
        <v>2249</v>
      </c>
      <c r="D524" t="s">
        <v>2250</v>
      </c>
      <c r="E524" t="s">
        <v>2251</v>
      </c>
      <c r="F524" t="s">
        <v>125</v>
      </c>
      <c r="G524">
        <v>1</v>
      </c>
      <c r="H524" t="s">
        <v>2255</v>
      </c>
      <c r="I524" t="s">
        <v>2256</v>
      </c>
      <c r="J524" t="s">
        <v>2257</v>
      </c>
      <c r="K524" t="s">
        <v>2256</v>
      </c>
      <c r="L524" t="s">
        <v>67</v>
      </c>
      <c r="M524" s="1" t="str">
        <f t="shared" si="56"/>
        <v>06R527</v>
      </c>
      <c r="N524" s="1" t="str">
        <f t="shared" si="57"/>
        <v>C/O</v>
      </c>
      <c r="O524" s="1" t="str">
        <f t="shared" si="58"/>
        <v>Engine Radiator</v>
      </c>
      <c r="P524" s="1" t="str">
        <f t="shared" si="59"/>
        <v>JXP0</v>
      </c>
      <c r="Q524" s="2" t="str">
        <f t="shared" si="60"/>
        <v>JXP0Engine Radiator</v>
      </c>
      <c r="R524" s="2" t="str">
        <f>New_Xref[[#This Row],[Serial Prefix]]&amp;IF(New_Xref[[#This Row],[Func Loc]]&lt;&gt;"",New_Xref[[#This Row],[Func Loc]],"NO MATCH")</f>
        <v>JXP0ENGD .ENCS.RADI</v>
      </c>
      <c r="S524" s="3" t="str">
        <f t="shared" si="61"/>
        <v>JXP02423290FEngine Radiator</v>
      </c>
      <c r="T524" s="3" t="s">
        <v>68</v>
      </c>
      <c r="U524" s="3" t="s">
        <v>34</v>
      </c>
      <c r="V524" t="str">
        <f t="shared" si="62"/>
        <v>135300</v>
      </c>
    </row>
    <row r="525" spans="1:22">
      <c r="A525" t="s">
        <v>2204</v>
      </c>
      <c r="B525" t="s">
        <v>2205</v>
      </c>
      <c r="C525" t="s">
        <v>830</v>
      </c>
      <c r="D525" t="s">
        <v>831</v>
      </c>
      <c r="E525" t="s">
        <v>832</v>
      </c>
      <c r="F525" t="s">
        <v>27</v>
      </c>
      <c r="G525">
        <v>1</v>
      </c>
      <c r="H525" t="s">
        <v>2258</v>
      </c>
      <c r="I525" t="s">
        <v>2210</v>
      </c>
      <c r="J525" t="s">
        <v>2259</v>
      </c>
      <c r="K525" t="s">
        <v>2260</v>
      </c>
      <c r="L525" t="s">
        <v>739</v>
      </c>
      <c r="M525" s="1" t="str">
        <f t="shared" si="56"/>
        <v>06D11</v>
      </c>
      <c r="N525" s="1" t="str">
        <f t="shared" si="57"/>
        <v>C/O</v>
      </c>
      <c r="O525" s="1" t="str">
        <f t="shared" si="58"/>
        <v>Water Pump</v>
      </c>
      <c r="P525" s="1" t="str">
        <f t="shared" si="59"/>
        <v>JRP0</v>
      </c>
      <c r="Q525" s="2" t="str">
        <f t="shared" si="60"/>
        <v>JRP0Water Pump</v>
      </c>
      <c r="R525" s="2" t="str">
        <f>New_Xref[[#This Row],[Serial Prefix]]&amp;IF(New_Xref[[#This Row],[Func Loc]]&lt;&gt;"",New_Xref[[#This Row],[Func Loc]],"NO MATCH")</f>
        <v>JRP0ENGD .WAPU.WP01</v>
      </c>
      <c r="S525" s="3" t="str">
        <f t="shared" si="61"/>
        <v>JRP010R6400Water Pump</v>
      </c>
      <c r="T525" s="3" t="s">
        <v>183</v>
      </c>
      <c r="U525" s="3" t="s">
        <v>34</v>
      </c>
      <c r="V525" t="str">
        <f t="shared" si="62"/>
        <v>136100</v>
      </c>
    </row>
    <row r="526" spans="1:22">
      <c r="A526" t="s">
        <v>2204</v>
      </c>
      <c r="B526" t="s">
        <v>2205</v>
      </c>
      <c r="C526" t="s">
        <v>2261</v>
      </c>
      <c r="D526" t="s">
        <v>2262</v>
      </c>
      <c r="E526" t="s">
        <v>191</v>
      </c>
      <c r="F526" t="s">
        <v>27</v>
      </c>
      <c r="G526">
        <v>1</v>
      </c>
      <c r="H526" t="s">
        <v>2263</v>
      </c>
      <c r="I526" t="s">
        <v>2264</v>
      </c>
      <c r="J526" t="s">
        <v>2265</v>
      </c>
      <c r="K526" t="s">
        <v>2264</v>
      </c>
      <c r="L526" t="s">
        <v>72</v>
      </c>
      <c r="M526" s="1" t="str">
        <f t="shared" si="56"/>
        <v>06D11</v>
      </c>
      <c r="N526" s="1" t="str">
        <f t="shared" si="57"/>
        <v>C/O</v>
      </c>
      <c r="O526" s="1" t="str">
        <f t="shared" si="58"/>
        <v>Transmission</v>
      </c>
      <c r="P526" s="1" t="str">
        <f t="shared" si="59"/>
        <v>JRP0</v>
      </c>
      <c r="Q526" s="2" t="str">
        <f t="shared" si="60"/>
        <v>JRP0Transmission</v>
      </c>
      <c r="R526" s="2" t="str">
        <f>New_Xref[[#This Row],[Serial Prefix]]&amp;IF(New_Xref[[#This Row],[Func Loc]]&lt;&gt;"",New_Xref[[#This Row],[Func Loc]],"NO MATCH")</f>
        <v>JRP0TRAN .TRAN</v>
      </c>
      <c r="S526" s="3" t="str">
        <f t="shared" si="61"/>
        <v>JRP02462647XTransmission</v>
      </c>
      <c r="T526" s="3" t="s">
        <v>73</v>
      </c>
      <c r="U526" s="3" t="s">
        <v>34</v>
      </c>
      <c r="V526" t="str">
        <f t="shared" si="62"/>
        <v>303000</v>
      </c>
    </row>
    <row r="527" spans="1:22">
      <c r="A527" t="s">
        <v>2204</v>
      </c>
      <c r="B527" t="s">
        <v>2220</v>
      </c>
      <c r="C527" t="s">
        <v>2261</v>
      </c>
      <c r="D527" t="s">
        <v>2262</v>
      </c>
      <c r="E527" t="s">
        <v>191</v>
      </c>
      <c r="F527" t="s">
        <v>27</v>
      </c>
      <c r="G527">
        <v>1</v>
      </c>
      <c r="H527" t="s">
        <v>2266</v>
      </c>
      <c r="I527" t="s">
        <v>2267</v>
      </c>
      <c r="J527" t="s">
        <v>2268</v>
      </c>
      <c r="K527" t="s">
        <v>2267</v>
      </c>
      <c r="L527" t="s">
        <v>72</v>
      </c>
      <c r="M527" s="1" t="str">
        <f t="shared" si="56"/>
        <v>06R527</v>
      </c>
      <c r="N527" s="1" t="str">
        <f t="shared" si="57"/>
        <v>C/O</v>
      </c>
      <c r="O527" s="1" t="str">
        <f t="shared" si="58"/>
        <v>Transmission</v>
      </c>
      <c r="P527" s="1" t="str">
        <f t="shared" si="59"/>
        <v>JXP0</v>
      </c>
      <c r="Q527" s="2" t="str">
        <f t="shared" si="60"/>
        <v>JXP0Transmission</v>
      </c>
      <c r="R527" s="2" t="str">
        <f>New_Xref[[#This Row],[Serial Prefix]]&amp;IF(New_Xref[[#This Row],[Func Loc]]&lt;&gt;"",New_Xref[[#This Row],[Func Loc]],"NO MATCH")</f>
        <v>JXP0TRAN .TRAN</v>
      </c>
      <c r="S527" s="3" t="str">
        <f t="shared" si="61"/>
        <v>JXP02462647XTransmission</v>
      </c>
      <c r="T527" s="3" t="s">
        <v>73</v>
      </c>
      <c r="U527" s="3" t="s">
        <v>34</v>
      </c>
      <c r="V527" t="str">
        <f t="shared" si="62"/>
        <v>303000</v>
      </c>
    </row>
    <row r="528" spans="1:22">
      <c r="A528" t="s">
        <v>2204</v>
      </c>
      <c r="B528" t="s">
        <v>2205</v>
      </c>
      <c r="C528" t="s">
        <v>2269</v>
      </c>
      <c r="D528" t="s">
        <v>2270</v>
      </c>
      <c r="E528" t="s">
        <v>2271</v>
      </c>
      <c r="F528" t="s">
        <v>27</v>
      </c>
      <c r="G528">
        <v>1</v>
      </c>
      <c r="H528" t="s">
        <v>2272</v>
      </c>
      <c r="I528" t="s">
        <v>2273</v>
      </c>
      <c r="J528" t="s">
        <v>2274</v>
      </c>
      <c r="K528" t="s">
        <v>2273</v>
      </c>
      <c r="L528" t="s">
        <v>2275</v>
      </c>
      <c r="M528" s="1" t="str">
        <f t="shared" si="56"/>
        <v>06D11</v>
      </c>
      <c r="N528" s="1" t="str">
        <f t="shared" si="57"/>
        <v>C/O</v>
      </c>
      <c r="O528" s="1" t="str">
        <f t="shared" si="58"/>
        <v>Transmission Pump</v>
      </c>
      <c r="P528" s="1" t="str">
        <f t="shared" si="59"/>
        <v>JRP0</v>
      </c>
      <c r="Q528" s="2" t="str">
        <f t="shared" si="60"/>
        <v>JRP0Transmission Pump</v>
      </c>
      <c r="R528" s="2" t="str">
        <f>New_Xref[[#This Row],[Serial Prefix]]&amp;IF(New_Xref[[#This Row],[Func Loc]]&lt;&gt;"",New_Xref[[#This Row],[Func Loc]],"NO MATCH")</f>
        <v>JRP0TRAN .PUMP.DP01</v>
      </c>
      <c r="S528" s="3" t="str">
        <f t="shared" si="61"/>
        <v>JRP010R6196Transmission Pump</v>
      </c>
      <c r="T528" s="3" t="s">
        <v>584</v>
      </c>
      <c r="U528" s="3" t="s">
        <v>34</v>
      </c>
      <c r="V528" t="str">
        <f t="shared" si="62"/>
        <v>306600</v>
      </c>
    </row>
    <row r="529" spans="1:22">
      <c r="A529" t="s">
        <v>2204</v>
      </c>
      <c r="B529" t="s">
        <v>2220</v>
      </c>
      <c r="C529" t="s">
        <v>2269</v>
      </c>
      <c r="D529" t="s">
        <v>2270</v>
      </c>
      <c r="E529" t="s">
        <v>2276</v>
      </c>
      <c r="F529" t="s">
        <v>27</v>
      </c>
      <c r="G529">
        <v>1</v>
      </c>
      <c r="H529" t="s">
        <v>2277</v>
      </c>
      <c r="I529" t="s">
        <v>2278</v>
      </c>
      <c r="J529" t="s">
        <v>2279</v>
      </c>
      <c r="K529" t="s">
        <v>2278</v>
      </c>
      <c r="L529" t="s">
        <v>2275</v>
      </c>
      <c r="M529" s="1" t="str">
        <f t="shared" si="56"/>
        <v>06R527</v>
      </c>
      <c r="N529" s="1" t="str">
        <f t="shared" si="57"/>
        <v>C/O</v>
      </c>
      <c r="O529" s="1" t="str">
        <f t="shared" si="58"/>
        <v>Transmission Pump</v>
      </c>
      <c r="P529" s="1" t="str">
        <f t="shared" si="59"/>
        <v>JXP0</v>
      </c>
      <c r="Q529" s="2" t="str">
        <f t="shared" si="60"/>
        <v>JXP0Transmission Pump</v>
      </c>
      <c r="R529" s="2" t="str">
        <f>New_Xref[[#This Row],[Serial Prefix]]&amp;IF(New_Xref[[#This Row],[Func Loc]]&lt;&gt;"",New_Xref[[#This Row],[Func Loc]],"NO MATCH")</f>
        <v>JXP0TRAN .PUMP.DP01</v>
      </c>
      <c r="S529" s="3" t="str">
        <f t="shared" si="61"/>
        <v>JXP010R6196Transmission Pump</v>
      </c>
      <c r="T529" s="3" t="s">
        <v>584</v>
      </c>
      <c r="U529" s="3" t="s">
        <v>34</v>
      </c>
      <c r="V529" t="str">
        <f t="shared" si="62"/>
        <v>306600</v>
      </c>
    </row>
    <row r="530" spans="1:22">
      <c r="A530" t="s">
        <v>2204</v>
      </c>
      <c r="B530" t="s">
        <v>2205</v>
      </c>
      <c r="C530" t="s">
        <v>2280</v>
      </c>
      <c r="D530" t="s">
        <v>2281</v>
      </c>
      <c r="E530" t="s">
        <v>1992</v>
      </c>
      <c r="F530" t="s">
        <v>27</v>
      </c>
      <c r="G530">
        <v>1</v>
      </c>
      <c r="H530" t="s">
        <v>2282</v>
      </c>
      <c r="I530" t="s">
        <v>2283</v>
      </c>
      <c r="J530" t="s">
        <v>2284</v>
      </c>
      <c r="K530" t="s">
        <v>2283</v>
      </c>
      <c r="L530" t="s">
        <v>304</v>
      </c>
      <c r="M530" s="1" t="str">
        <f t="shared" si="56"/>
        <v>06D11</v>
      </c>
      <c r="N530" s="1" t="str">
        <f t="shared" si="57"/>
        <v>C/O</v>
      </c>
      <c r="O530" s="1" t="str">
        <f t="shared" si="58"/>
        <v>Torque Converter</v>
      </c>
      <c r="P530" s="1" t="str">
        <f t="shared" si="59"/>
        <v>JRP0</v>
      </c>
      <c r="Q530" s="2" t="str">
        <f t="shared" si="60"/>
        <v>JRP0Torque Converter</v>
      </c>
      <c r="R530" s="2" t="str">
        <f>New_Xref[[#This Row],[Serial Prefix]]&amp;IF(New_Xref[[#This Row],[Func Loc]]&lt;&gt;"",New_Xref[[#This Row],[Func Loc]],"NO MATCH")</f>
        <v>JRP0TRAN .TOCO</v>
      </c>
      <c r="S530" s="3" t="str">
        <f t="shared" si="61"/>
        <v>JRP02495539XTorque Converter</v>
      </c>
      <c r="T530" s="3" t="s">
        <v>305</v>
      </c>
      <c r="U530" s="3" t="s">
        <v>34</v>
      </c>
      <c r="V530" t="str">
        <f t="shared" si="62"/>
        <v>310100</v>
      </c>
    </row>
    <row r="531" spans="1:22">
      <c r="A531" t="s">
        <v>2204</v>
      </c>
      <c r="B531" t="s">
        <v>2220</v>
      </c>
      <c r="C531" t="s">
        <v>2280</v>
      </c>
      <c r="D531" t="s">
        <v>2281</v>
      </c>
      <c r="E531" t="s">
        <v>300</v>
      </c>
      <c r="F531" t="s">
        <v>27</v>
      </c>
      <c r="G531">
        <v>1</v>
      </c>
      <c r="H531" t="s">
        <v>2285</v>
      </c>
      <c r="I531" t="s">
        <v>2286</v>
      </c>
      <c r="J531" t="s">
        <v>2287</v>
      </c>
      <c r="K531" t="s">
        <v>2286</v>
      </c>
      <c r="L531" t="s">
        <v>304</v>
      </c>
      <c r="M531" s="1" t="str">
        <f t="shared" si="56"/>
        <v>06R527</v>
      </c>
      <c r="N531" s="1" t="str">
        <f t="shared" si="57"/>
        <v>C/O</v>
      </c>
      <c r="O531" s="1" t="str">
        <f t="shared" si="58"/>
        <v>Torque Converter</v>
      </c>
      <c r="P531" s="1" t="str">
        <f t="shared" si="59"/>
        <v>JXP0</v>
      </c>
      <c r="Q531" s="2" t="str">
        <f t="shared" si="60"/>
        <v>JXP0Torque Converter</v>
      </c>
      <c r="R531" s="2" t="str">
        <f>New_Xref[[#This Row],[Serial Prefix]]&amp;IF(New_Xref[[#This Row],[Func Loc]]&lt;&gt;"",New_Xref[[#This Row],[Func Loc]],"NO MATCH")</f>
        <v>JXP0TRAN .TOCO</v>
      </c>
      <c r="S531" s="3" t="str">
        <f t="shared" si="61"/>
        <v>JXP02495539XTorque Converter</v>
      </c>
      <c r="T531" s="3" t="s">
        <v>305</v>
      </c>
      <c r="U531" s="3" t="s">
        <v>34</v>
      </c>
      <c r="V531" t="str">
        <f t="shared" si="62"/>
        <v>310100</v>
      </c>
    </row>
    <row r="532" spans="1:22">
      <c r="A532" t="s">
        <v>2204</v>
      </c>
      <c r="B532" t="s">
        <v>2205</v>
      </c>
      <c r="C532" t="s">
        <v>2288</v>
      </c>
      <c r="D532" t="s">
        <v>2289</v>
      </c>
      <c r="E532" t="s">
        <v>2271</v>
      </c>
      <c r="F532" t="s">
        <v>27</v>
      </c>
      <c r="G532">
        <v>1</v>
      </c>
      <c r="H532" t="s">
        <v>2290</v>
      </c>
      <c r="I532" t="s">
        <v>2291</v>
      </c>
      <c r="J532" t="s">
        <v>2292</v>
      </c>
      <c r="K532" t="s">
        <v>2291</v>
      </c>
      <c r="L532" t="s">
        <v>2293</v>
      </c>
      <c r="M532" s="1" t="str">
        <f t="shared" si="56"/>
        <v>06D11</v>
      </c>
      <c r="N532" s="1" t="str">
        <f t="shared" si="57"/>
        <v>C/O</v>
      </c>
      <c r="O532" s="1" t="str">
        <f t="shared" si="58"/>
        <v>Torque Converter Pumps</v>
      </c>
      <c r="P532" s="1" t="str">
        <f t="shared" si="59"/>
        <v>JRP0</v>
      </c>
      <c r="Q532" s="2" t="str">
        <f t="shared" si="60"/>
        <v>JRP0Torque Converter Pumps</v>
      </c>
      <c r="R532" s="2" t="str">
        <f>New_Xref[[#This Row],[Serial Prefix]]&amp;IF(New_Xref[[#This Row],[Func Loc]]&lt;&gt;"",New_Xref[[#This Row],[Func Loc]],"NO MATCH")</f>
        <v>JRP0TRAN .PUMP.DP03</v>
      </c>
      <c r="S532" s="3" t="str">
        <f t="shared" si="61"/>
        <v>JRP010R6195Torque Converter Pumps</v>
      </c>
      <c r="T532" s="3" t="s">
        <v>2294</v>
      </c>
      <c r="U532" s="3" t="s">
        <v>34</v>
      </c>
      <c r="V532" t="str">
        <f t="shared" si="62"/>
        <v>313800</v>
      </c>
    </row>
    <row r="533" spans="1:22">
      <c r="A533" t="s">
        <v>2204</v>
      </c>
      <c r="B533" t="s">
        <v>2295</v>
      </c>
      <c r="C533" t="s">
        <v>2288</v>
      </c>
      <c r="D533" t="s">
        <v>2289</v>
      </c>
      <c r="E533" t="s">
        <v>2276</v>
      </c>
      <c r="F533" t="s">
        <v>27</v>
      </c>
      <c r="G533">
        <v>1</v>
      </c>
      <c r="H533" t="s">
        <v>2296</v>
      </c>
      <c r="I533" t="s">
        <v>2297</v>
      </c>
      <c r="J533" t="s">
        <v>2298</v>
      </c>
      <c r="K533" t="s">
        <v>2297</v>
      </c>
      <c r="L533" t="s">
        <v>83</v>
      </c>
      <c r="M533" s="1" t="str">
        <f t="shared" si="56"/>
        <v>06D56</v>
      </c>
      <c r="N533" s="1" t="str">
        <f t="shared" si="57"/>
        <v>C/O</v>
      </c>
      <c r="O533" s="1" t="str">
        <f t="shared" si="58"/>
        <v>Torque Converter Pumps</v>
      </c>
      <c r="P533" s="1" t="str">
        <f t="shared" si="59"/>
        <v>JXP0</v>
      </c>
      <c r="Q533" s="2" t="str">
        <f t="shared" si="60"/>
        <v>JXP0Torque Converter Pumps</v>
      </c>
      <c r="R533" s="2" t="str">
        <f>New_Xref[[#This Row],[Serial Prefix]]&amp;IF(New_Xref[[#This Row],[Func Loc]]&lt;&gt;"",New_Xref[[#This Row],[Func Loc]],"NO MATCH")</f>
        <v>JXP0NO MATCH</v>
      </c>
      <c r="S533" s="3" t="str">
        <f t="shared" si="61"/>
        <v>JXP010R6195Torque Converter Pumps</v>
      </c>
      <c r="T533" s="3" t="s">
        <v>2294</v>
      </c>
      <c r="U533" s="3" t="s">
        <v>34</v>
      </c>
      <c r="V533" t="str">
        <f t="shared" si="62"/>
        <v>313800</v>
      </c>
    </row>
    <row r="534" spans="1:22">
      <c r="A534" t="s">
        <v>2204</v>
      </c>
      <c r="B534" t="s">
        <v>2205</v>
      </c>
      <c r="C534" t="s">
        <v>457</v>
      </c>
      <c r="D534" t="s">
        <v>458</v>
      </c>
      <c r="E534" t="s">
        <v>459</v>
      </c>
      <c r="F534" t="s">
        <v>27</v>
      </c>
      <c r="G534">
        <v>1</v>
      </c>
      <c r="H534" t="s">
        <v>2299</v>
      </c>
      <c r="I534" t="s">
        <v>2300</v>
      </c>
      <c r="J534" t="s">
        <v>2301</v>
      </c>
      <c r="K534" t="s">
        <v>2300</v>
      </c>
      <c r="L534" t="s">
        <v>463</v>
      </c>
      <c r="M534" s="1" t="str">
        <f t="shared" si="56"/>
        <v>06D11</v>
      </c>
      <c r="N534" s="1" t="str">
        <f t="shared" si="57"/>
        <v>C/O</v>
      </c>
      <c r="O534" s="1" t="str">
        <f t="shared" si="58"/>
        <v>Differential</v>
      </c>
      <c r="P534" s="1" t="str">
        <f t="shared" si="59"/>
        <v>JRP0</v>
      </c>
      <c r="Q534" s="2" t="str">
        <f t="shared" si="60"/>
        <v>JRP0Differential</v>
      </c>
      <c r="R534" s="2" t="str">
        <f>New_Xref[[#This Row],[Serial Prefix]]&amp;IF(New_Xref[[#This Row],[Func Loc]]&lt;&gt;"",New_Xref[[#This Row],[Func Loc]],"NO MATCH")</f>
        <v>JRP0FDRV .AXAR.DIFF</v>
      </c>
      <c r="S534" s="3" t="str">
        <f t="shared" si="61"/>
        <v>JRP03451983XDifferential</v>
      </c>
      <c r="T534" s="3" t="s">
        <v>464</v>
      </c>
      <c r="U534" s="3" t="s">
        <v>34</v>
      </c>
      <c r="V534" t="str">
        <f t="shared" si="62"/>
        <v>325800</v>
      </c>
    </row>
    <row r="535" spans="1:22">
      <c r="A535" t="s">
        <v>2204</v>
      </c>
      <c r="B535" t="s">
        <v>2220</v>
      </c>
      <c r="C535" t="s">
        <v>457</v>
      </c>
      <c r="D535" t="s">
        <v>458</v>
      </c>
      <c r="E535" t="s">
        <v>459</v>
      </c>
      <c r="F535" t="s">
        <v>27</v>
      </c>
      <c r="G535">
        <v>1</v>
      </c>
      <c r="H535" t="s">
        <v>2302</v>
      </c>
      <c r="I535" t="s">
        <v>2303</v>
      </c>
      <c r="J535" t="s">
        <v>2304</v>
      </c>
      <c r="K535" t="s">
        <v>2303</v>
      </c>
      <c r="L535" t="s">
        <v>463</v>
      </c>
      <c r="M535" s="1" t="str">
        <f t="shared" si="56"/>
        <v>06R527</v>
      </c>
      <c r="N535" s="1" t="str">
        <f t="shared" si="57"/>
        <v>C/O</v>
      </c>
      <c r="O535" s="1" t="str">
        <f t="shared" si="58"/>
        <v>Differential</v>
      </c>
      <c r="P535" s="1" t="str">
        <f t="shared" si="59"/>
        <v>JXP0</v>
      </c>
      <c r="Q535" s="2" t="str">
        <f t="shared" si="60"/>
        <v>JXP0Differential</v>
      </c>
      <c r="R535" s="2" t="str">
        <f>New_Xref[[#This Row],[Serial Prefix]]&amp;IF(New_Xref[[#This Row],[Func Loc]]&lt;&gt;"",New_Xref[[#This Row],[Func Loc]],"NO MATCH")</f>
        <v>JXP0FDRV .AXAR.DIFF</v>
      </c>
      <c r="S535" s="3" t="str">
        <f t="shared" si="61"/>
        <v>JXP03451983XDifferential</v>
      </c>
      <c r="T535" s="3" t="s">
        <v>464</v>
      </c>
      <c r="U535" s="3" t="s">
        <v>34</v>
      </c>
      <c r="V535" t="str">
        <f t="shared" si="62"/>
        <v>325800</v>
      </c>
    </row>
    <row r="536" spans="1:22">
      <c r="A536" t="s">
        <v>2204</v>
      </c>
      <c r="B536" t="s">
        <v>2205</v>
      </c>
      <c r="C536" t="s">
        <v>2305</v>
      </c>
      <c r="D536" t="s">
        <v>2306</v>
      </c>
      <c r="E536" t="s">
        <v>2307</v>
      </c>
      <c r="F536" t="s">
        <v>125</v>
      </c>
      <c r="G536">
        <v>1</v>
      </c>
      <c r="H536" t="s">
        <v>2308</v>
      </c>
      <c r="I536" t="s">
        <v>2309</v>
      </c>
      <c r="J536" t="s">
        <v>2310</v>
      </c>
      <c r="K536" t="s">
        <v>2309</v>
      </c>
      <c r="L536" t="s">
        <v>761</v>
      </c>
      <c r="M536" s="1" t="str">
        <f t="shared" si="56"/>
        <v>06D11</v>
      </c>
      <c r="N536" s="1" t="str">
        <f t="shared" si="57"/>
        <v>C/O</v>
      </c>
      <c r="O536" s="1" t="str">
        <f t="shared" si="58"/>
        <v>Hub &amp; Spindle LH</v>
      </c>
      <c r="P536" s="1" t="str">
        <f t="shared" si="59"/>
        <v>JRP0</v>
      </c>
      <c r="Q536" s="2" t="str">
        <f t="shared" si="60"/>
        <v>JRP0Hub &amp; Spindle LH</v>
      </c>
      <c r="R536" s="2" t="str">
        <f>New_Xref[[#This Row],[Serial Prefix]]&amp;IF(New_Xref[[#This Row],[Func Loc]]&lt;&gt;"",New_Xref[[#This Row],[Func Loc]],"NO MATCH")</f>
        <v>JRP0FDRV .AXAF.HASL</v>
      </c>
      <c r="S536" s="3" t="str">
        <f t="shared" si="61"/>
        <v>JRP02612356XLHub &amp; Spindle LH</v>
      </c>
      <c r="T536" s="3" t="s">
        <v>88</v>
      </c>
      <c r="U536" s="3" t="s">
        <v>89</v>
      </c>
      <c r="V536" t="str">
        <f t="shared" si="62"/>
        <v>4006LF</v>
      </c>
    </row>
    <row r="537" spans="1:22">
      <c r="A537" t="s">
        <v>2204</v>
      </c>
      <c r="B537" t="s">
        <v>2205</v>
      </c>
      <c r="C537" t="s">
        <v>2311</v>
      </c>
      <c r="D537" t="s">
        <v>2312</v>
      </c>
      <c r="E537" t="s">
        <v>2313</v>
      </c>
      <c r="F537" t="s">
        <v>125</v>
      </c>
      <c r="G537">
        <v>1</v>
      </c>
      <c r="H537" t="s">
        <v>2314</v>
      </c>
      <c r="I537" t="s">
        <v>2315</v>
      </c>
      <c r="J537" t="s">
        <v>2316</v>
      </c>
      <c r="K537" t="s">
        <v>2315</v>
      </c>
      <c r="L537" t="s">
        <v>757</v>
      </c>
      <c r="M537" s="1" t="str">
        <f t="shared" si="56"/>
        <v>06D11</v>
      </c>
      <c r="N537" s="1" t="str">
        <f t="shared" si="57"/>
        <v>C/O</v>
      </c>
      <c r="O537" s="1" t="str">
        <f t="shared" si="58"/>
        <v>Hub &amp; Spindle RH</v>
      </c>
      <c r="P537" s="1" t="str">
        <f t="shared" si="59"/>
        <v>JRP0</v>
      </c>
      <c r="Q537" s="2" t="str">
        <f t="shared" si="60"/>
        <v>JRP0Hub &amp; Spindle RH</v>
      </c>
      <c r="R537" s="2" t="str">
        <f>New_Xref[[#This Row],[Serial Prefix]]&amp;IF(New_Xref[[#This Row],[Func Loc]]&lt;&gt;"",New_Xref[[#This Row],[Func Loc]],"NO MATCH")</f>
        <v>JRP0FDRV .AXAF.HASR</v>
      </c>
      <c r="S537" s="3" t="str">
        <f t="shared" si="61"/>
        <v>JRP02612356XRHub &amp; Spindle RH</v>
      </c>
      <c r="T537" s="3" t="s">
        <v>88</v>
      </c>
      <c r="U537" s="3" t="s">
        <v>92</v>
      </c>
      <c r="V537" t="str">
        <f t="shared" si="62"/>
        <v>4006RF</v>
      </c>
    </row>
    <row r="538" spans="1:22">
      <c r="A538" t="s">
        <v>2204</v>
      </c>
      <c r="B538" t="s">
        <v>2220</v>
      </c>
      <c r="C538" t="s">
        <v>2305</v>
      </c>
      <c r="D538" t="s">
        <v>2306</v>
      </c>
      <c r="E538" t="s">
        <v>2307</v>
      </c>
      <c r="F538" t="s">
        <v>125</v>
      </c>
      <c r="G538">
        <v>1</v>
      </c>
      <c r="H538" t="s">
        <v>2317</v>
      </c>
      <c r="I538" t="s">
        <v>2318</v>
      </c>
      <c r="J538" t="s">
        <v>2319</v>
      </c>
      <c r="K538" t="s">
        <v>2318</v>
      </c>
      <c r="L538" t="s">
        <v>761</v>
      </c>
      <c r="M538" s="1" t="str">
        <f t="shared" si="56"/>
        <v>06R527</v>
      </c>
      <c r="N538" s="1" t="str">
        <f t="shared" si="57"/>
        <v>C/O</v>
      </c>
      <c r="O538" s="1" t="str">
        <f t="shared" si="58"/>
        <v>Hub &amp; Spindle LH</v>
      </c>
      <c r="P538" s="1" t="str">
        <f t="shared" si="59"/>
        <v>JXP0</v>
      </c>
      <c r="Q538" s="2" t="str">
        <f t="shared" si="60"/>
        <v>JXP0Hub &amp; Spindle LH</v>
      </c>
      <c r="R538" s="2" t="str">
        <f>New_Xref[[#This Row],[Serial Prefix]]&amp;IF(New_Xref[[#This Row],[Func Loc]]&lt;&gt;"",New_Xref[[#This Row],[Func Loc]],"NO MATCH")</f>
        <v>JXP0FDRV .AXAF.HASL</v>
      </c>
      <c r="S538" s="3" t="str">
        <f t="shared" si="61"/>
        <v>JXP02612356XLHub &amp; Spindle LH</v>
      </c>
      <c r="T538" s="3" t="s">
        <v>88</v>
      </c>
      <c r="U538" s="3" t="s">
        <v>89</v>
      </c>
      <c r="V538" t="str">
        <f t="shared" si="62"/>
        <v>4006LF</v>
      </c>
    </row>
    <row r="539" spans="1:22">
      <c r="A539" t="s">
        <v>2204</v>
      </c>
      <c r="B539" t="s">
        <v>2220</v>
      </c>
      <c r="C539" t="s">
        <v>2311</v>
      </c>
      <c r="D539" t="s">
        <v>2312</v>
      </c>
      <c r="E539" t="s">
        <v>2313</v>
      </c>
      <c r="F539" t="s">
        <v>125</v>
      </c>
      <c r="G539">
        <v>1</v>
      </c>
      <c r="H539" t="s">
        <v>2320</v>
      </c>
      <c r="I539" t="s">
        <v>2321</v>
      </c>
      <c r="J539" t="s">
        <v>2322</v>
      </c>
      <c r="K539" t="s">
        <v>2321</v>
      </c>
      <c r="L539" t="s">
        <v>757</v>
      </c>
      <c r="M539" s="1" t="str">
        <f t="shared" si="56"/>
        <v>06R527</v>
      </c>
      <c r="N539" s="1" t="str">
        <f t="shared" si="57"/>
        <v>C/O</v>
      </c>
      <c r="O539" s="1" t="str">
        <f t="shared" si="58"/>
        <v>Hub &amp; Spindle RH</v>
      </c>
      <c r="P539" s="1" t="str">
        <f t="shared" si="59"/>
        <v>JXP0</v>
      </c>
      <c r="Q539" s="2" t="str">
        <f t="shared" si="60"/>
        <v>JXP0Hub &amp; Spindle RH</v>
      </c>
      <c r="R539" s="2" t="str">
        <f>New_Xref[[#This Row],[Serial Prefix]]&amp;IF(New_Xref[[#This Row],[Func Loc]]&lt;&gt;"",New_Xref[[#This Row],[Func Loc]],"NO MATCH")</f>
        <v>JXP0FDRV .AXAF.HASR</v>
      </c>
      <c r="S539" s="3" t="str">
        <f t="shared" si="61"/>
        <v>JXP02612356XRHub &amp; Spindle RH</v>
      </c>
      <c r="T539" s="3" t="s">
        <v>88</v>
      </c>
      <c r="U539" s="3" t="s">
        <v>92</v>
      </c>
      <c r="V539" t="str">
        <f t="shared" si="62"/>
        <v>4006RF</v>
      </c>
    </row>
    <row r="540" spans="1:22">
      <c r="A540" t="s">
        <v>2204</v>
      </c>
      <c r="B540" t="s">
        <v>2205</v>
      </c>
      <c r="C540" t="s">
        <v>2323</v>
      </c>
      <c r="D540" t="s">
        <v>2324</v>
      </c>
      <c r="E540" t="s">
        <v>2325</v>
      </c>
      <c r="F540" t="s">
        <v>27</v>
      </c>
      <c r="G540">
        <v>1</v>
      </c>
      <c r="H540" t="s">
        <v>2326</v>
      </c>
      <c r="I540" t="s">
        <v>2327</v>
      </c>
      <c r="J540" t="s">
        <v>2328</v>
      </c>
      <c r="K540" t="s">
        <v>2327</v>
      </c>
      <c r="L540" t="s">
        <v>1605</v>
      </c>
      <c r="M540" s="1" t="str">
        <f t="shared" si="56"/>
        <v>06D11</v>
      </c>
      <c r="N540" s="1" t="str">
        <f t="shared" si="57"/>
        <v>C/O</v>
      </c>
      <c r="O540" s="1" t="str">
        <f t="shared" si="58"/>
        <v>Final Drive LH</v>
      </c>
      <c r="P540" s="1" t="str">
        <f t="shared" si="59"/>
        <v>JRP0</v>
      </c>
      <c r="Q540" s="2" t="str">
        <f t="shared" si="60"/>
        <v>JRP0Final Drive LH</v>
      </c>
      <c r="R540" s="2" t="str">
        <f>New_Xref[[#This Row],[Serial Prefix]]&amp;IF(New_Xref[[#This Row],[Func Loc]]&lt;&gt;"",New_Xref[[#This Row],[Func Loc]],"NO MATCH")</f>
        <v>JRP0FDRV .AXAR.FDLH</v>
      </c>
      <c r="S540" s="3" t="str">
        <f t="shared" si="61"/>
        <v>JRP02435544XFinal Drive LH</v>
      </c>
      <c r="T540" s="3" t="s">
        <v>2105</v>
      </c>
      <c r="U540" s="3" t="s">
        <v>96</v>
      </c>
      <c r="V540" t="str">
        <f t="shared" si="62"/>
        <v>4008LR</v>
      </c>
    </row>
    <row r="541" spans="1:22">
      <c r="A541" t="s">
        <v>2204</v>
      </c>
      <c r="B541" t="s">
        <v>2205</v>
      </c>
      <c r="C541" t="s">
        <v>2323</v>
      </c>
      <c r="D541" t="s">
        <v>2324</v>
      </c>
      <c r="E541" t="s">
        <v>2325</v>
      </c>
      <c r="F541" t="s">
        <v>27</v>
      </c>
      <c r="G541">
        <v>1</v>
      </c>
      <c r="H541" t="s">
        <v>2326</v>
      </c>
      <c r="I541" t="s">
        <v>2329</v>
      </c>
      <c r="J541" t="s">
        <v>2330</v>
      </c>
      <c r="K541" t="s">
        <v>2329</v>
      </c>
      <c r="L541" t="s">
        <v>1608</v>
      </c>
      <c r="M541" s="1" t="str">
        <f t="shared" si="56"/>
        <v>06D11</v>
      </c>
      <c r="N541" s="1" t="str">
        <f t="shared" si="57"/>
        <v>C/O</v>
      </c>
      <c r="O541" s="1" t="str">
        <f t="shared" si="58"/>
        <v>Final Drive RH</v>
      </c>
      <c r="P541" s="1" t="str">
        <f t="shared" si="59"/>
        <v>JRP0</v>
      </c>
      <c r="Q541" s="2" t="str">
        <f t="shared" si="60"/>
        <v>JRP0Final Drive RH</v>
      </c>
      <c r="R541" s="2" t="str">
        <f>New_Xref[[#This Row],[Serial Prefix]]&amp;IF(New_Xref[[#This Row],[Func Loc]]&lt;&gt;"",New_Xref[[#This Row],[Func Loc]],"NO MATCH")</f>
        <v>JRP0FDRV .AXAR.FDRH</v>
      </c>
      <c r="S541" s="3" t="str">
        <f t="shared" si="61"/>
        <v>JRP02435544XFinal Drive RH</v>
      </c>
      <c r="T541" s="3" t="s">
        <v>2105</v>
      </c>
      <c r="U541" s="3" t="s">
        <v>99</v>
      </c>
      <c r="V541" t="str">
        <f t="shared" si="62"/>
        <v>4008RR</v>
      </c>
    </row>
    <row r="542" spans="1:22">
      <c r="A542" t="s">
        <v>2204</v>
      </c>
      <c r="B542" t="s">
        <v>2220</v>
      </c>
      <c r="C542" t="s">
        <v>2323</v>
      </c>
      <c r="D542" t="s">
        <v>2324</v>
      </c>
      <c r="E542" t="s">
        <v>2325</v>
      </c>
      <c r="F542" t="s">
        <v>27</v>
      </c>
      <c r="G542">
        <v>1</v>
      </c>
      <c r="H542" t="s">
        <v>2331</v>
      </c>
      <c r="I542" t="s">
        <v>2332</v>
      </c>
      <c r="J542" t="s">
        <v>2333</v>
      </c>
      <c r="K542" t="s">
        <v>2332</v>
      </c>
      <c r="L542" t="s">
        <v>1605</v>
      </c>
      <c r="M542" s="1" t="str">
        <f t="shared" si="56"/>
        <v>06R527</v>
      </c>
      <c r="N542" s="1" t="str">
        <f t="shared" si="57"/>
        <v>C/O</v>
      </c>
      <c r="O542" s="1" t="str">
        <f t="shared" si="58"/>
        <v>Final Drive LH</v>
      </c>
      <c r="P542" s="1" t="str">
        <f t="shared" si="59"/>
        <v>JXP0</v>
      </c>
      <c r="Q542" s="2" t="str">
        <f t="shared" si="60"/>
        <v>JXP0Final Drive LH</v>
      </c>
      <c r="R542" s="2" t="str">
        <f>New_Xref[[#This Row],[Serial Prefix]]&amp;IF(New_Xref[[#This Row],[Func Loc]]&lt;&gt;"",New_Xref[[#This Row],[Func Loc]],"NO MATCH")</f>
        <v>JXP0FDRV .AXAR.FDLH</v>
      </c>
      <c r="S542" s="3" t="str">
        <f t="shared" si="61"/>
        <v>JXP02435544XFinal Drive LH</v>
      </c>
      <c r="T542" s="3" t="s">
        <v>2105</v>
      </c>
      <c r="U542" s="3" t="s">
        <v>96</v>
      </c>
      <c r="V542" t="str">
        <f t="shared" si="62"/>
        <v>4008LR</v>
      </c>
    </row>
    <row r="543" spans="1:22">
      <c r="A543" t="s">
        <v>2204</v>
      </c>
      <c r="B543" t="s">
        <v>2220</v>
      </c>
      <c r="C543" t="s">
        <v>2323</v>
      </c>
      <c r="D543" t="s">
        <v>2324</v>
      </c>
      <c r="E543" t="s">
        <v>2325</v>
      </c>
      <c r="F543" t="s">
        <v>27</v>
      </c>
      <c r="G543">
        <v>1</v>
      </c>
      <c r="H543" t="s">
        <v>2331</v>
      </c>
      <c r="I543" t="s">
        <v>2334</v>
      </c>
      <c r="J543" t="s">
        <v>2335</v>
      </c>
      <c r="K543" t="s">
        <v>2334</v>
      </c>
      <c r="L543" t="s">
        <v>1608</v>
      </c>
      <c r="M543" s="1" t="str">
        <f t="shared" si="56"/>
        <v>06D55</v>
      </c>
      <c r="N543" s="1" t="str">
        <f t="shared" si="57"/>
        <v>C/O</v>
      </c>
      <c r="O543" s="1" t="str">
        <f t="shared" si="58"/>
        <v>Final Drive RH</v>
      </c>
      <c r="P543" s="1" t="str">
        <f t="shared" si="59"/>
        <v>JXP0</v>
      </c>
      <c r="Q543" s="2" t="str">
        <f t="shared" si="60"/>
        <v>JXP0Final Drive RH</v>
      </c>
      <c r="R543" s="2" t="str">
        <f>New_Xref[[#This Row],[Serial Prefix]]&amp;IF(New_Xref[[#This Row],[Func Loc]]&lt;&gt;"",New_Xref[[#This Row],[Func Loc]],"NO MATCH")</f>
        <v>JXP0FDRV .AXAR.FDRH</v>
      </c>
      <c r="S543" s="3" t="str">
        <f t="shared" si="61"/>
        <v>JXP02435544XFinal Drive RH</v>
      </c>
      <c r="T543" s="3" t="s">
        <v>2105</v>
      </c>
      <c r="U543" s="3" t="s">
        <v>99</v>
      </c>
      <c r="V543" t="str">
        <f t="shared" si="62"/>
        <v>4008RR</v>
      </c>
    </row>
    <row r="544" spans="1:22">
      <c r="A544" t="s">
        <v>2204</v>
      </c>
      <c r="B544" t="s">
        <v>2336</v>
      </c>
      <c r="H544" t="s">
        <v>2337</v>
      </c>
      <c r="I544" t="s">
        <v>2338</v>
      </c>
      <c r="J544" t="s">
        <v>2339</v>
      </c>
      <c r="K544" t="s">
        <v>2340</v>
      </c>
      <c r="L544" t="s">
        <v>767</v>
      </c>
      <c r="M544" s="1" t="str">
        <f t="shared" si="56"/>
        <v>06H55</v>
      </c>
      <c r="N544" s="1" t="str">
        <f t="shared" si="57"/>
        <v>C/O</v>
      </c>
      <c r="O544" s="1" t="str">
        <f t="shared" si="58"/>
        <v>Steering Cylinder LH</v>
      </c>
      <c r="P544" s="1" t="str">
        <f t="shared" si="59"/>
        <v>JRP0</v>
      </c>
      <c r="Q544" s="2" t="str">
        <f t="shared" si="60"/>
        <v>JRP0Steering Cylinder LH</v>
      </c>
      <c r="R544" s="2" t="str">
        <f>New_Xref[[#This Row],[Serial Prefix]]&amp;IF(New_Xref[[#This Row],[Func Loc]]&lt;&gt;"",New_Xref[[#This Row],[Func Loc]],"NO MATCH")</f>
        <v>JRP0STRG .CYLI.SC01</v>
      </c>
      <c r="S544" s="3" t="str">
        <f t="shared" si="61"/>
        <v>JRP0Steering Cylinder LH</v>
      </c>
      <c r="T544" s="3" t="s">
        <v>107</v>
      </c>
      <c r="U544" s="3" t="s">
        <v>108</v>
      </c>
      <c r="V544" t="str">
        <f t="shared" si="62"/>
        <v>4303LT</v>
      </c>
    </row>
    <row r="545" spans="1:22">
      <c r="A545" t="s">
        <v>2204</v>
      </c>
      <c r="B545" t="s">
        <v>2336</v>
      </c>
      <c r="H545" t="s">
        <v>2337</v>
      </c>
      <c r="I545" t="s">
        <v>2341</v>
      </c>
      <c r="J545" t="s">
        <v>2342</v>
      </c>
      <c r="K545" t="s">
        <v>2343</v>
      </c>
      <c r="L545" t="s">
        <v>770</v>
      </c>
      <c r="M545" s="1" t="str">
        <f t="shared" si="56"/>
        <v>06H55</v>
      </c>
      <c r="N545" s="1" t="str">
        <f t="shared" si="57"/>
        <v>C/O</v>
      </c>
      <c r="O545" s="1" t="str">
        <f t="shared" si="58"/>
        <v>Steering Cylinder RH</v>
      </c>
      <c r="P545" s="1" t="str">
        <f t="shared" si="59"/>
        <v>JRP0</v>
      </c>
      <c r="Q545" s="2" t="str">
        <f t="shared" si="60"/>
        <v>JRP0Steering Cylinder RH</v>
      </c>
      <c r="R545" s="2" t="str">
        <f>New_Xref[[#This Row],[Serial Prefix]]&amp;IF(New_Xref[[#This Row],[Func Loc]]&lt;&gt;"",New_Xref[[#This Row],[Func Loc]],"NO MATCH")</f>
        <v>JRP0STRG .CYLI.SC02</v>
      </c>
      <c r="S545" s="3" t="str">
        <f t="shared" si="61"/>
        <v>JRP0Steering Cylinder RH</v>
      </c>
      <c r="T545" s="3" t="s">
        <v>107</v>
      </c>
      <c r="U545" s="3" t="s">
        <v>115</v>
      </c>
      <c r="V545" t="str">
        <f t="shared" si="62"/>
        <v>4303RI</v>
      </c>
    </row>
    <row r="546" spans="1:22">
      <c r="A546" t="s">
        <v>2204</v>
      </c>
      <c r="B546" t="s">
        <v>2344</v>
      </c>
      <c r="H546" t="s">
        <v>2345</v>
      </c>
      <c r="I546" t="s">
        <v>2346</v>
      </c>
      <c r="J546" t="s">
        <v>2347</v>
      </c>
      <c r="K546" t="s">
        <v>2348</v>
      </c>
      <c r="L546" t="s">
        <v>767</v>
      </c>
      <c r="M546" s="1" t="str">
        <f t="shared" si="56"/>
        <v>06H59</v>
      </c>
      <c r="N546" s="1" t="str">
        <f t="shared" si="57"/>
        <v>C/O</v>
      </c>
      <c r="O546" s="1" t="str">
        <f t="shared" si="58"/>
        <v>Steering Cylinder LH</v>
      </c>
      <c r="P546" s="1" t="str">
        <f t="shared" si="59"/>
        <v>JXP0</v>
      </c>
      <c r="Q546" s="2" t="str">
        <f t="shared" si="60"/>
        <v>JXP0Steering Cylinder LH</v>
      </c>
      <c r="R546" s="2" t="str">
        <f>New_Xref[[#This Row],[Serial Prefix]]&amp;IF(New_Xref[[#This Row],[Func Loc]]&lt;&gt;"",New_Xref[[#This Row],[Func Loc]],"NO MATCH")</f>
        <v>JXP0STRG .CYLI.SC01</v>
      </c>
      <c r="S546" s="3" t="str">
        <f t="shared" si="61"/>
        <v>JXP0Steering Cylinder LH</v>
      </c>
      <c r="T546" s="3" t="s">
        <v>107</v>
      </c>
      <c r="U546" s="3" t="s">
        <v>108</v>
      </c>
      <c r="V546" t="str">
        <f t="shared" si="62"/>
        <v>4303LT</v>
      </c>
    </row>
    <row r="547" spans="1:22">
      <c r="A547" t="s">
        <v>2204</v>
      </c>
      <c r="B547" t="s">
        <v>2344</v>
      </c>
      <c r="H547" t="s">
        <v>2345</v>
      </c>
      <c r="I547" t="s">
        <v>2349</v>
      </c>
      <c r="J547" t="s">
        <v>2350</v>
      </c>
      <c r="K547" t="s">
        <v>2351</v>
      </c>
      <c r="L547" t="s">
        <v>770</v>
      </c>
      <c r="M547" s="1" t="str">
        <f t="shared" si="56"/>
        <v>06H59</v>
      </c>
      <c r="N547" s="1" t="str">
        <f t="shared" si="57"/>
        <v>C/O</v>
      </c>
      <c r="O547" s="1" t="str">
        <f t="shared" si="58"/>
        <v>Steering Cylinder RH</v>
      </c>
      <c r="P547" s="1" t="str">
        <f t="shared" si="59"/>
        <v>JXP0</v>
      </c>
      <c r="Q547" s="2" t="str">
        <f t="shared" si="60"/>
        <v>JXP0Steering Cylinder RH</v>
      </c>
      <c r="R547" s="2" t="str">
        <f>New_Xref[[#This Row],[Serial Prefix]]&amp;IF(New_Xref[[#This Row],[Func Loc]]&lt;&gt;"",New_Xref[[#This Row],[Func Loc]],"NO MATCH")</f>
        <v>JXP0STRG .CYLI.SC02</v>
      </c>
      <c r="S547" s="3" t="str">
        <f t="shared" si="61"/>
        <v>JXP0Steering Cylinder RH</v>
      </c>
      <c r="T547" s="3" t="s">
        <v>107</v>
      </c>
      <c r="U547" s="3" t="s">
        <v>115</v>
      </c>
      <c r="V547" t="str">
        <f t="shared" si="62"/>
        <v>4303RI</v>
      </c>
    </row>
    <row r="548" spans="1:22">
      <c r="A548" t="s">
        <v>2204</v>
      </c>
      <c r="B548" t="s">
        <v>2205</v>
      </c>
      <c r="C548" t="s">
        <v>2352</v>
      </c>
      <c r="D548" t="s">
        <v>2353</v>
      </c>
      <c r="E548" t="s">
        <v>2354</v>
      </c>
      <c r="F548" t="s">
        <v>27</v>
      </c>
      <c r="G548">
        <v>1</v>
      </c>
      <c r="H548" t="s">
        <v>2355</v>
      </c>
      <c r="I548" t="s">
        <v>2356</v>
      </c>
      <c r="J548" t="s">
        <v>2357</v>
      </c>
      <c r="K548" t="s">
        <v>2356</v>
      </c>
      <c r="L548" t="s">
        <v>2358</v>
      </c>
      <c r="M548" s="1" t="str">
        <f t="shared" si="56"/>
        <v>06D11</v>
      </c>
      <c r="N548" s="1" t="str">
        <f t="shared" si="57"/>
        <v>C/O</v>
      </c>
      <c r="O548" s="1" t="str">
        <f t="shared" si="58"/>
        <v>Primary Steering Pump</v>
      </c>
      <c r="P548" s="1" t="str">
        <f t="shared" si="59"/>
        <v>JRP0</v>
      </c>
      <c r="Q548" s="2" t="str">
        <f t="shared" si="60"/>
        <v>JRP0Primary Steering Pump</v>
      </c>
      <c r="R548" s="2" t="str">
        <f>New_Xref[[#This Row],[Serial Prefix]]&amp;IF(New_Xref[[#This Row],[Func Loc]]&lt;&gt;"",New_Xref[[#This Row],[Func Loc]],"NO MATCH")</f>
        <v>JRP0STRG .PUMP.SP01</v>
      </c>
      <c r="S548" s="3" t="str">
        <f t="shared" si="61"/>
        <v>JRP020R3304Primary Steering Pump</v>
      </c>
      <c r="T548" s="3" t="s">
        <v>342</v>
      </c>
      <c r="U548" s="3" t="s">
        <v>34</v>
      </c>
      <c r="V548" t="str">
        <f t="shared" si="62"/>
        <v>430600</v>
      </c>
    </row>
    <row r="549" spans="1:22">
      <c r="A549" t="s">
        <v>2204</v>
      </c>
      <c r="B549" t="s">
        <v>2344</v>
      </c>
      <c r="C549" t="s">
        <v>2352</v>
      </c>
      <c r="D549" t="s">
        <v>2353</v>
      </c>
      <c r="E549" t="s">
        <v>2354</v>
      </c>
      <c r="F549" t="s">
        <v>27</v>
      </c>
      <c r="G549">
        <v>1</v>
      </c>
      <c r="H549" t="s">
        <v>2359</v>
      </c>
      <c r="I549" t="s">
        <v>2360</v>
      </c>
      <c r="J549" t="s">
        <v>2361</v>
      </c>
      <c r="K549" t="s">
        <v>2360</v>
      </c>
      <c r="L549" t="s">
        <v>2358</v>
      </c>
      <c r="M549" s="1" t="str">
        <f t="shared" si="56"/>
        <v>06H59</v>
      </c>
      <c r="N549" s="1" t="str">
        <f t="shared" si="57"/>
        <v>C/O</v>
      </c>
      <c r="O549" s="1" t="str">
        <f t="shared" si="58"/>
        <v>Primary Steering Pump</v>
      </c>
      <c r="P549" s="1" t="str">
        <f t="shared" si="59"/>
        <v>JXP0</v>
      </c>
      <c r="Q549" s="2" t="str">
        <f t="shared" si="60"/>
        <v>JXP0Primary Steering Pump</v>
      </c>
      <c r="R549" s="2" t="str">
        <f>New_Xref[[#This Row],[Serial Prefix]]&amp;IF(New_Xref[[#This Row],[Func Loc]]&lt;&gt;"",New_Xref[[#This Row],[Func Loc]],"NO MATCH")</f>
        <v>JXP0STRG .PUMP.SP01</v>
      </c>
      <c r="S549" s="3" t="str">
        <f t="shared" si="61"/>
        <v>JXP020R3304Primary Steering Pump</v>
      </c>
      <c r="T549" s="3" t="s">
        <v>342</v>
      </c>
      <c r="U549" s="3" t="s">
        <v>34</v>
      </c>
      <c r="V549" t="str">
        <f t="shared" si="62"/>
        <v>430600</v>
      </c>
    </row>
    <row r="550" spans="1:22">
      <c r="A550" t="s">
        <v>2204</v>
      </c>
      <c r="B550" t="s">
        <v>2205</v>
      </c>
      <c r="H550" t="s">
        <v>2362</v>
      </c>
      <c r="I550" t="s">
        <v>2363</v>
      </c>
      <c r="J550" t="s">
        <v>2364</v>
      </c>
      <c r="K550" t="s">
        <v>2363</v>
      </c>
      <c r="L550" t="s">
        <v>781</v>
      </c>
      <c r="M550" s="1" t="str">
        <f t="shared" si="56"/>
        <v>06D11</v>
      </c>
      <c r="N550" s="1" t="str">
        <f t="shared" si="57"/>
        <v>C/O</v>
      </c>
      <c r="O550" s="1" t="str">
        <f t="shared" si="58"/>
        <v>Suspension RHF</v>
      </c>
      <c r="P550" s="1" t="str">
        <f t="shared" si="59"/>
        <v>JRP0</v>
      </c>
      <c r="Q550" s="2" t="str">
        <f t="shared" si="60"/>
        <v>JRP0Suspension RHF</v>
      </c>
      <c r="R550" s="2" t="str">
        <f>New_Xref[[#This Row],[Serial Prefix]]&amp;IF(New_Xref[[#This Row],[Func Loc]]&lt;&gt;"",New_Xref[[#This Row],[Func Loc]],"NO MATCH")</f>
        <v>JRP0STRU .SUGR.SG02</v>
      </c>
      <c r="S550" s="3" t="str">
        <f t="shared" si="61"/>
        <v>JRP0Suspension RHF</v>
      </c>
      <c r="T550" s="3" t="s">
        <v>511</v>
      </c>
      <c r="U550" s="3" t="s">
        <v>92</v>
      </c>
      <c r="V550" t="str">
        <f t="shared" si="62"/>
        <v>7201RF</v>
      </c>
    </row>
    <row r="551" spans="1:22">
      <c r="A551" t="s">
        <v>2204</v>
      </c>
      <c r="B551" t="s">
        <v>2365</v>
      </c>
      <c r="H551" t="s">
        <v>2362</v>
      </c>
      <c r="I551" t="s">
        <v>2366</v>
      </c>
      <c r="J551" t="s">
        <v>2367</v>
      </c>
      <c r="K551" t="s">
        <v>2366</v>
      </c>
      <c r="L551" t="s">
        <v>778</v>
      </c>
      <c r="M551" s="1" t="str">
        <f t="shared" si="56"/>
        <v>06D18</v>
      </c>
      <c r="N551" s="1" t="str">
        <f t="shared" si="57"/>
        <v>C/O</v>
      </c>
      <c r="O551" s="1" t="str">
        <f t="shared" si="58"/>
        <v>Suspension LHF</v>
      </c>
      <c r="P551" s="1" t="str">
        <f t="shared" si="59"/>
        <v>JRP0</v>
      </c>
      <c r="Q551" s="2" t="str">
        <f t="shared" si="60"/>
        <v>JRP0Suspension LHF</v>
      </c>
      <c r="R551" s="2" t="str">
        <f>New_Xref[[#This Row],[Serial Prefix]]&amp;IF(New_Xref[[#This Row],[Func Loc]]&lt;&gt;"",New_Xref[[#This Row],[Func Loc]],"NO MATCH")</f>
        <v>JRP0STRU .SUGR.SG01</v>
      </c>
      <c r="S551" s="3" t="str">
        <f t="shared" si="61"/>
        <v>JRP0Suspension LHF</v>
      </c>
      <c r="T551" s="3" t="s">
        <v>511</v>
      </c>
      <c r="U551" s="3" t="s">
        <v>89</v>
      </c>
      <c r="V551" t="str">
        <f t="shared" si="62"/>
        <v>7201LF</v>
      </c>
    </row>
    <row r="552" spans="1:22">
      <c r="A552" t="s">
        <v>2204</v>
      </c>
      <c r="B552" t="s">
        <v>2235</v>
      </c>
      <c r="H552" t="s">
        <v>2368</v>
      </c>
      <c r="I552" t="s">
        <v>2369</v>
      </c>
      <c r="J552" t="s">
        <v>2370</v>
      </c>
      <c r="K552" t="s">
        <v>2369</v>
      </c>
      <c r="L552" t="s">
        <v>778</v>
      </c>
      <c r="M552" s="1" t="str">
        <f t="shared" si="56"/>
        <v>06D55</v>
      </c>
      <c r="N552" s="1" t="str">
        <f t="shared" si="57"/>
        <v>C/O</v>
      </c>
      <c r="O552" s="1" t="str">
        <f t="shared" si="58"/>
        <v>Suspension LHF</v>
      </c>
      <c r="P552" s="1" t="str">
        <f t="shared" si="59"/>
        <v>JXP0</v>
      </c>
      <c r="Q552" s="2" t="str">
        <f t="shared" si="60"/>
        <v>JXP0Suspension LHF</v>
      </c>
      <c r="R552" s="2" t="str">
        <f>New_Xref[[#This Row],[Serial Prefix]]&amp;IF(New_Xref[[#This Row],[Func Loc]]&lt;&gt;"",New_Xref[[#This Row],[Func Loc]],"NO MATCH")</f>
        <v>JXP0STRU .SUGR.SG01</v>
      </c>
      <c r="S552" s="3" t="str">
        <f t="shared" si="61"/>
        <v>JXP0Suspension LHF</v>
      </c>
      <c r="T552" s="3" t="s">
        <v>511</v>
      </c>
      <c r="U552" s="3" t="s">
        <v>89</v>
      </c>
      <c r="V552" t="str">
        <f t="shared" si="62"/>
        <v>7201LF</v>
      </c>
    </row>
    <row r="553" spans="1:22">
      <c r="A553" t="s">
        <v>2204</v>
      </c>
      <c r="B553" t="s">
        <v>2235</v>
      </c>
      <c r="H553" t="s">
        <v>2368</v>
      </c>
      <c r="I553" t="s">
        <v>2371</v>
      </c>
      <c r="J553" t="s">
        <v>2372</v>
      </c>
      <c r="K553" t="s">
        <v>2371</v>
      </c>
      <c r="L553" t="s">
        <v>781</v>
      </c>
      <c r="M553" s="1" t="str">
        <f t="shared" si="56"/>
        <v>06D55</v>
      </c>
      <c r="N553" s="1" t="str">
        <f t="shared" si="57"/>
        <v>C/O</v>
      </c>
      <c r="O553" s="1" t="str">
        <f t="shared" si="58"/>
        <v>Suspension RHF</v>
      </c>
      <c r="P553" s="1" t="str">
        <f t="shared" si="59"/>
        <v>JXP0</v>
      </c>
      <c r="Q553" s="2" t="str">
        <f t="shared" si="60"/>
        <v>JXP0Suspension RHF</v>
      </c>
      <c r="R553" s="2" t="str">
        <f>New_Xref[[#This Row],[Serial Prefix]]&amp;IF(New_Xref[[#This Row],[Func Loc]]&lt;&gt;"",New_Xref[[#This Row],[Func Loc]],"NO MATCH")</f>
        <v>JXP0STRU .SUGR.SG02</v>
      </c>
      <c r="S553" s="3" t="str">
        <f t="shared" si="61"/>
        <v>JXP0Suspension RHF</v>
      </c>
      <c r="T553" s="3" t="s">
        <v>511</v>
      </c>
      <c r="U553" s="3" t="s">
        <v>92</v>
      </c>
      <c r="V553" t="str">
        <f t="shared" si="62"/>
        <v>7201RF</v>
      </c>
    </row>
    <row r="554" spans="1:22">
      <c r="A554" t="s">
        <v>2204</v>
      </c>
      <c r="B554" t="s">
        <v>2205</v>
      </c>
      <c r="C554" t="s">
        <v>515</v>
      </c>
      <c r="D554" t="s">
        <v>516</v>
      </c>
      <c r="E554" t="s">
        <v>506</v>
      </c>
      <c r="F554" t="s">
        <v>27</v>
      </c>
      <c r="G554">
        <v>1</v>
      </c>
      <c r="H554" t="s">
        <v>2373</v>
      </c>
      <c r="I554" t="s">
        <v>2374</v>
      </c>
      <c r="J554" t="s">
        <v>2375</v>
      </c>
      <c r="K554" t="s">
        <v>2374</v>
      </c>
      <c r="L554" t="s">
        <v>788</v>
      </c>
      <c r="M554" s="1" t="str">
        <f t="shared" si="56"/>
        <v>06D11</v>
      </c>
      <c r="N554" s="1" t="str">
        <f t="shared" si="57"/>
        <v>C/O</v>
      </c>
      <c r="O554" s="1" t="str">
        <f t="shared" si="58"/>
        <v>Suspension LHR</v>
      </c>
      <c r="P554" s="1" t="str">
        <f t="shared" si="59"/>
        <v>JRP0</v>
      </c>
      <c r="Q554" s="2" t="str">
        <f t="shared" si="60"/>
        <v>JRP0Suspension LHR</v>
      </c>
      <c r="R554" s="2" t="str">
        <f>New_Xref[[#This Row],[Serial Prefix]]&amp;IF(New_Xref[[#This Row],[Func Loc]]&lt;&gt;"",New_Xref[[#This Row],[Func Loc]],"NO MATCH")</f>
        <v>JRP0STRU .SUGR.SG03</v>
      </c>
      <c r="S554" s="3" t="str">
        <f t="shared" si="61"/>
        <v>JRP03356354XSuspension LHR</v>
      </c>
      <c r="T554" s="3" t="s">
        <v>521</v>
      </c>
      <c r="U554" s="3" t="s">
        <v>96</v>
      </c>
      <c r="V554" t="str">
        <f t="shared" si="62"/>
        <v>7213LR</v>
      </c>
    </row>
    <row r="555" spans="1:22">
      <c r="A555" t="s">
        <v>2204</v>
      </c>
      <c r="B555" t="s">
        <v>2205</v>
      </c>
      <c r="C555" t="s">
        <v>515</v>
      </c>
      <c r="D555" t="s">
        <v>516</v>
      </c>
      <c r="E555" t="s">
        <v>506</v>
      </c>
      <c r="F555" t="s">
        <v>27</v>
      </c>
      <c r="G555">
        <v>1</v>
      </c>
      <c r="H555" t="s">
        <v>2373</v>
      </c>
      <c r="I555" t="s">
        <v>2376</v>
      </c>
      <c r="J555" t="s">
        <v>2377</v>
      </c>
      <c r="K555" t="s">
        <v>2378</v>
      </c>
      <c r="L555" t="s">
        <v>791</v>
      </c>
      <c r="M555" s="1" t="str">
        <f t="shared" si="56"/>
        <v>06D11</v>
      </c>
      <c r="N555" s="1" t="str">
        <f t="shared" si="57"/>
        <v>C/O</v>
      </c>
      <c r="O555" s="1" t="str">
        <f t="shared" si="58"/>
        <v>Suspension RHR</v>
      </c>
      <c r="P555" s="1" t="str">
        <f t="shared" si="59"/>
        <v>JRP0</v>
      </c>
      <c r="Q555" s="2" t="str">
        <f t="shared" si="60"/>
        <v>JRP0Suspension RHR</v>
      </c>
      <c r="R555" s="2" t="str">
        <f>New_Xref[[#This Row],[Serial Prefix]]&amp;IF(New_Xref[[#This Row],[Func Loc]]&lt;&gt;"",New_Xref[[#This Row],[Func Loc]],"NO MATCH")</f>
        <v>JRP0STRU .SUGR.SG04</v>
      </c>
      <c r="S555" s="3" t="str">
        <f t="shared" si="61"/>
        <v>JRP03356354XSuspension RHR</v>
      </c>
      <c r="T555" s="3" t="s">
        <v>521</v>
      </c>
      <c r="U555" s="3" t="s">
        <v>99</v>
      </c>
      <c r="V555" t="str">
        <f t="shared" si="62"/>
        <v>7213RR</v>
      </c>
    </row>
    <row r="556" spans="1:22">
      <c r="A556" t="s">
        <v>2204</v>
      </c>
      <c r="B556" t="s">
        <v>2220</v>
      </c>
      <c r="C556" t="s">
        <v>515</v>
      </c>
      <c r="D556" t="s">
        <v>516</v>
      </c>
      <c r="E556" t="s">
        <v>506</v>
      </c>
      <c r="F556" t="s">
        <v>27</v>
      </c>
      <c r="G556">
        <v>1</v>
      </c>
      <c r="H556" t="s">
        <v>2379</v>
      </c>
      <c r="I556" t="s">
        <v>2380</v>
      </c>
      <c r="J556" t="s">
        <v>2381</v>
      </c>
      <c r="K556" t="s">
        <v>2382</v>
      </c>
      <c r="L556" t="s">
        <v>791</v>
      </c>
      <c r="M556" s="1" t="str">
        <f t="shared" si="56"/>
        <v>06R527</v>
      </c>
      <c r="N556" s="1" t="str">
        <f t="shared" si="57"/>
        <v>C/O</v>
      </c>
      <c r="O556" s="1" t="str">
        <f t="shared" si="58"/>
        <v>Suspension RHR</v>
      </c>
      <c r="P556" s="1" t="str">
        <f t="shared" si="59"/>
        <v>JXP0</v>
      </c>
      <c r="Q556" s="2" t="str">
        <f t="shared" si="60"/>
        <v>JXP0Suspension RHR</v>
      </c>
      <c r="R556" s="2" t="str">
        <f>New_Xref[[#This Row],[Serial Prefix]]&amp;IF(New_Xref[[#This Row],[Func Loc]]&lt;&gt;"",New_Xref[[#This Row],[Func Loc]],"NO MATCH")</f>
        <v>JXP0STRU .SUGR.SG04</v>
      </c>
      <c r="S556" s="3" t="str">
        <f t="shared" si="61"/>
        <v>JXP03356354XSuspension RHR</v>
      </c>
      <c r="T556" s="3" t="s">
        <v>521</v>
      </c>
      <c r="U556" s="3" t="s">
        <v>99</v>
      </c>
      <c r="V556" t="str">
        <f t="shared" si="62"/>
        <v>7213RR</v>
      </c>
    </row>
    <row r="557" spans="1:22">
      <c r="A557" t="s">
        <v>2204</v>
      </c>
      <c r="B557" t="s">
        <v>2220</v>
      </c>
      <c r="C557" t="s">
        <v>515</v>
      </c>
      <c r="D557" t="s">
        <v>516</v>
      </c>
      <c r="E557" t="s">
        <v>506</v>
      </c>
      <c r="F557" t="s">
        <v>27</v>
      </c>
      <c r="G557">
        <v>1</v>
      </c>
      <c r="H557" t="s">
        <v>2379</v>
      </c>
      <c r="I557" t="s">
        <v>2383</v>
      </c>
      <c r="J557" t="s">
        <v>2384</v>
      </c>
      <c r="K557" t="s">
        <v>2383</v>
      </c>
      <c r="L557" t="s">
        <v>788</v>
      </c>
      <c r="M557" s="1" t="str">
        <f t="shared" si="56"/>
        <v>06D55</v>
      </c>
      <c r="N557" s="1" t="str">
        <f t="shared" si="57"/>
        <v>C/O</v>
      </c>
      <c r="O557" s="1" t="str">
        <f t="shared" si="58"/>
        <v>Suspension LHR</v>
      </c>
      <c r="P557" s="1" t="str">
        <f t="shared" si="59"/>
        <v>JXP0</v>
      </c>
      <c r="Q557" s="2" t="str">
        <f t="shared" si="60"/>
        <v>JXP0Suspension LHR</v>
      </c>
      <c r="R557" s="2" t="str">
        <f>New_Xref[[#This Row],[Serial Prefix]]&amp;IF(New_Xref[[#This Row],[Func Loc]]&lt;&gt;"",New_Xref[[#This Row],[Func Loc]],"NO MATCH")</f>
        <v>JXP0STRU .SUGR.SG03</v>
      </c>
      <c r="S557" s="3" t="str">
        <f t="shared" si="61"/>
        <v>JXP03356354XSuspension LHR</v>
      </c>
      <c r="T557" s="3" t="s">
        <v>521</v>
      </c>
      <c r="U557" s="3" t="s">
        <v>96</v>
      </c>
      <c r="V557" t="str">
        <f t="shared" si="62"/>
        <v>7213LR</v>
      </c>
    </row>
    <row r="558" spans="1:22">
      <c r="A558" t="s">
        <v>2385</v>
      </c>
      <c r="B558" t="s">
        <v>2386</v>
      </c>
      <c r="C558" t="s">
        <v>2387</v>
      </c>
      <c r="D558" t="s">
        <v>2388</v>
      </c>
      <c r="E558" t="s">
        <v>2389</v>
      </c>
      <c r="F558" t="s">
        <v>27</v>
      </c>
      <c r="G558">
        <v>1</v>
      </c>
      <c r="H558" t="s">
        <v>2390</v>
      </c>
      <c r="I558" t="s">
        <v>2391</v>
      </c>
      <c r="J558" t="s">
        <v>2392</v>
      </c>
      <c r="K558" t="s">
        <v>2393</v>
      </c>
      <c r="L558" t="s">
        <v>32</v>
      </c>
      <c r="M558" s="1" t="str">
        <f t="shared" si="56"/>
        <v>06D58</v>
      </c>
      <c r="N558" s="1" t="str">
        <f t="shared" si="57"/>
        <v>C/O</v>
      </c>
      <c r="O558" s="1" t="str">
        <f t="shared" si="58"/>
        <v>Engine</v>
      </c>
      <c r="P558" s="1" t="str">
        <f t="shared" si="59"/>
        <v>T4Y0</v>
      </c>
      <c r="Q558" s="2" t="str">
        <f t="shared" si="60"/>
        <v>T4Y0Engine</v>
      </c>
      <c r="R558" s="2" t="str">
        <f>New_Xref[[#This Row],[Serial Prefix]]&amp;IF(New_Xref[[#This Row],[Func Loc]]&lt;&gt;"",New_Xref[[#This Row],[Func Loc]],"NO MATCH")</f>
        <v>T4Y0ENGD</v>
      </c>
      <c r="S558" s="3" t="str">
        <f t="shared" si="61"/>
        <v>T4Y03507671XEngine</v>
      </c>
      <c r="T558" s="3" t="s">
        <v>33</v>
      </c>
      <c r="U558" s="3" t="s">
        <v>34</v>
      </c>
      <c r="V558" t="str">
        <f t="shared" si="62"/>
        <v>100000</v>
      </c>
    </row>
    <row r="559" spans="1:22">
      <c r="A559" t="s">
        <v>2385</v>
      </c>
      <c r="B559" t="s">
        <v>2386</v>
      </c>
      <c r="C559" t="s">
        <v>419</v>
      </c>
      <c r="D559" t="s">
        <v>420</v>
      </c>
      <c r="E559" t="s">
        <v>42</v>
      </c>
      <c r="F559" t="s">
        <v>27</v>
      </c>
      <c r="G559">
        <v>1</v>
      </c>
      <c r="H559" t="s">
        <v>2394</v>
      </c>
      <c r="I559" t="s">
        <v>2391</v>
      </c>
      <c r="J559" t="s">
        <v>2395</v>
      </c>
      <c r="K559" t="s">
        <v>2396</v>
      </c>
      <c r="L559" t="s">
        <v>719</v>
      </c>
      <c r="M559" s="1" t="str">
        <f t="shared" si="56"/>
        <v>06D58</v>
      </c>
      <c r="N559" s="1" t="str">
        <f t="shared" si="57"/>
        <v>C/O</v>
      </c>
      <c r="O559" s="1" t="str">
        <f t="shared" si="58"/>
        <v>Turbocharger LH</v>
      </c>
      <c r="P559" s="1" t="str">
        <f t="shared" si="59"/>
        <v>T4Y0</v>
      </c>
      <c r="Q559" s="2" t="str">
        <f t="shared" si="60"/>
        <v>T4Y0Turbocharger LH</v>
      </c>
      <c r="R559" s="2" t="str">
        <f>New_Xref[[#This Row],[Serial Prefix]]&amp;IF(New_Xref[[#This Row],[Func Loc]]&lt;&gt;"",New_Xref[[#This Row],[Func Loc]],"NO MATCH")</f>
        <v>T4Y0ENGD .TURB.TC01</v>
      </c>
      <c r="S559" s="3" t="str">
        <f t="shared" si="61"/>
        <v>T4Y020R3180Turbocharger LH</v>
      </c>
      <c r="T559" s="3" t="s">
        <v>47</v>
      </c>
      <c r="U559" s="3" t="s">
        <v>108</v>
      </c>
      <c r="V559" t="str">
        <f t="shared" si="62"/>
        <v>1052LT</v>
      </c>
    </row>
    <row r="560" spans="1:22">
      <c r="A560" t="s">
        <v>2385</v>
      </c>
      <c r="B560" t="s">
        <v>2386</v>
      </c>
      <c r="C560" t="s">
        <v>425</v>
      </c>
      <c r="D560" t="s">
        <v>426</v>
      </c>
      <c r="E560" t="s">
        <v>42</v>
      </c>
      <c r="F560" t="s">
        <v>27</v>
      </c>
      <c r="G560">
        <v>1</v>
      </c>
      <c r="H560" t="s">
        <v>2397</v>
      </c>
      <c r="I560" t="s">
        <v>2391</v>
      </c>
      <c r="J560" t="s">
        <v>2398</v>
      </c>
      <c r="K560" t="s">
        <v>2399</v>
      </c>
      <c r="L560" t="s">
        <v>722</v>
      </c>
      <c r="M560" s="1" t="str">
        <f t="shared" si="56"/>
        <v>06D58</v>
      </c>
      <c r="N560" s="1" t="str">
        <f t="shared" si="57"/>
        <v>C/O</v>
      </c>
      <c r="O560" s="1" t="str">
        <f t="shared" si="58"/>
        <v>Turbocharger RH</v>
      </c>
      <c r="P560" s="1" t="str">
        <f t="shared" si="59"/>
        <v>T4Y0</v>
      </c>
      <c r="Q560" s="2" t="str">
        <f t="shared" si="60"/>
        <v>T4Y0Turbocharger RH</v>
      </c>
      <c r="R560" s="2" t="str">
        <f>New_Xref[[#This Row],[Serial Prefix]]&amp;IF(New_Xref[[#This Row],[Func Loc]]&lt;&gt;"",New_Xref[[#This Row],[Func Loc]],"NO MATCH")</f>
        <v>T4Y0ENGD .TURB.TC02</v>
      </c>
      <c r="S560" s="3" t="str">
        <f t="shared" si="61"/>
        <v>T4Y020R3182Turbocharger RH</v>
      </c>
      <c r="T560" s="3" t="s">
        <v>47</v>
      </c>
      <c r="U560" s="3" t="s">
        <v>115</v>
      </c>
      <c r="V560" t="str">
        <f t="shared" si="62"/>
        <v>1052RI</v>
      </c>
    </row>
    <row r="561" spans="1:22">
      <c r="A561" t="s">
        <v>2385</v>
      </c>
      <c r="B561" t="s">
        <v>2386</v>
      </c>
      <c r="C561" t="s">
        <v>431</v>
      </c>
      <c r="D561" t="s">
        <v>432</v>
      </c>
      <c r="E561" t="s">
        <v>276</v>
      </c>
      <c r="F561" t="s">
        <v>27</v>
      </c>
      <c r="G561">
        <v>12</v>
      </c>
      <c r="H561" t="s">
        <v>2400</v>
      </c>
      <c r="I561" t="s">
        <v>2391</v>
      </c>
      <c r="J561" t="s">
        <v>2401</v>
      </c>
      <c r="K561" t="s">
        <v>2402</v>
      </c>
      <c r="L561" t="s">
        <v>83</v>
      </c>
      <c r="M561" s="1" t="str">
        <f t="shared" si="56"/>
        <v>06D58</v>
      </c>
      <c r="N561" s="1" t="str">
        <f t="shared" si="57"/>
        <v>C/O</v>
      </c>
      <c r="O561" s="1" t="str">
        <f t="shared" si="58"/>
        <v>Fuel Injectors</v>
      </c>
      <c r="P561" s="1" t="str">
        <f t="shared" si="59"/>
        <v>T4Y0</v>
      </c>
      <c r="Q561" s="2" t="str">
        <f t="shared" si="60"/>
        <v>T4Y0Fuel Injectors</v>
      </c>
      <c r="R561" s="2" t="str">
        <f>New_Xref[[#This Row],[Serial Prefix]]&amp;IF(New_Xref[[#This Row],[Func Loc]]&lt;&gt;"",New_Xref[[#This Row],[Func Loc]],"NO MATCH")</f>
        <v>T4Y0NO MATCH</v>
      </c>
      <c r="S561" s="3" t="str">
        <f t="shared" si="61"/>
        <v>T4Y06470750Fuel Injectors</v>
      </c>
      <c r="T561" s="3" t="s">
        <v>63</v>
      </c>
      <c r="U561" s="3" t="s">
        <v>34</v>
      </c>
      <c r="V561" t="str">
        <f t="shared" si="62"/>
        <v>125100</v>
      </c>
    </row>
    <row r="562" spans="1:22">
      <c r="A562" t="s">
        <v>2385</v>
      </c>
      <c r="B562" t="s">
        <v>2386</v>
      </c>
      <c r="C562" t="s">
        <v>436</v>
      </c>
      <c r="D562" t="s">
        <v>437</v>
      </c>
      <c r="E562" t="s">
        <v>438</v>
      </c>
      <c r="F562" t="s">
        <v>27</v>
      </c>
      <c r="G562">
        <v>1</v>
      </c>
      <c r="H562" t="s">
        <v>2403</v>
      </c>
      <c r="I562" t="s">
        <v>2404</v>
      </c>
      <c r="J562" t="s">
        <v>2405</v>
      </c>
      <c r="K562" t="s">
        <v>2404</v>
      </c>
      <c r="L562" t="s">
        <v>67</v>
      </c>
      <c r="M562" s="1" t="str">
        <f t="shared" si="56"/>
        <v>06D58</v>
      </c>
      <c r="N562" s="1" t="str">
        <f t="shared" si="57"/>
        <v>C/O</v>
      </c>
      <c r="O562" s="1" t="str">
        <f t="shared" si="58"/>
        <v>Engine Radiator</v>
      </c>
      <c r="P562" s="1" t="str">
        <f t="shared" si="59"/>
        <v>T4Y0</v>
      </c>
      <c r="Q562" s="2" t="str">
        <f t="shared" si="60"/>
        <v>T4Y0Engine Radiator</v>
      </c>
      <c r="R562" s="2" t="str">
        <f>New_Xref[[#This Row],[Serial Prefix]]&amp;IF(New_Xref[[#This Row],[Func Loc]]&lt;&gt;"",New_Xref[[#This Row],[Func Loc]],"NO MATCH")</f>
        <v>T4Y0ENGD .ENCS.RADI</v>
      </c>
      <c r="S562" s="3" t="str">
        <f t="shared" si="61"/>
        <v>T4Y02955171FEngine Radiator</v>
      </c>
      <c r="T562" s="3" t="s">
        <v>68</v>
      </c>
      <c r="U562" s="3" t="s">
        <v>34</v>
      </c>
      <c r="V562" t="str">
        <f t="shared" si="62"/>
        <v>135300</v>
      </c>
    </row>
    <row r="563" spans="1:22">
      <c r="A563" t="s">
        <v>2385</v>
      </c>
      <c r="B563" t="s">
        <v>2386</v>
      </c>
      <c r="C563" t="s">
        <v>286</v>
      </c>
      <c r="D563" t="s">
        <v>287</v>
      </c>
      <c r="E563" t="s">
        <v>288</v>
      </c>
      <c r="F563" t="s">
        <v>27</v>
      </c>
      <c r="G563">
        <v>1</v>
      </c>
      <c r="H563" t="s">
        <v>2406</v>
      </c>
      <c r="I563" t="s">
        <v>2391</v>
      </c>
      <c r="J563" t="s">
        <v>2407</v>
      </c>
      <c r="K563" t="s">
        <v>2408</v>
      </c>
      <c r="L563" t="s">
        <v>739</v>
      </c>
      <c r="M563" s="1" t="str">
        <f t="shared" si="56"/>
        <v>06D58</v>
      </c>
      <c r="N563" s="1" t="str">
        <f t="shared" si="57"/>
        <v>C/O</v>
      </c>
      <c r="O563" s="1" t="str">
        <f t="shared" si="58"/>
        <v>Water Pump Main</v>
      </c>
      <c r="P563" s="1" t="str">
        <f t="shared" si="59"/>
        <v>T4Y0</v>
      </c>
      <c r="Q563" s="2" t="str">
        <f t="shared" si="60"/>
        <v>T4Y0Water Pump Main</v>
      </c>
      <c r="R563" s="2" t="str">
        <f>New_Xref[[#This Row],[Serial Prefix]]&amp;IF(New_Xref[[#This Row],[Func Loc]]&lt;&gt;"",New_Xref[[#This Row],[Func Loc]],"NO MATCH")</f>
        <v>T4Y0ENGD .WAPU.WP01</v>
      </c>
      <c r="S563" s="3" t="str">
        <f t="shared" si="61"/>
        <v>T4Y020R1859Water Pump Main</v>
      </c>
      <c r="T563" s="3" t="s">
        <v>183</v>
      </c>
      <c r="U563" s="3" t="s">
        <v>34</v>
      </c>
      <c r="V563" t="str">
        <f t="shared" si="62"/>
        <v>136100</v>
      </c>
    </row>
    <row r="564" spans="1:22">
      <c r="A564" t="s">
        <v>2385</v>
      </c>
      <c r="B564" t="s">
        <v>2386</v>
      </c>
      <c r="C564" t="s">
        <v>445</v>
      </c>
      <c r="D564" t="s">
        <v>446</v>
      </c>
      <c r="E564" t="s">
        <v>447</v>
      </c>
      <c r="F564" t="s">
        <v>27</v>
      </c>
      <c r="G564">
        <v>1</v>
      </c>
      <c r="H564" t="s">
        <v>2409</v>
      </c>
      <c r="I564" t="s">
        <v>2410</v>
      </c>
      <c r="J564" t="s">
        <v>2411</v>
      </c>
      <c r="K564" t="s">
        <v>2410</v>
      </c>
      <c r="L564" t="s">
        <v>72</v>
      </c>
      <c r="M564" s="1" t="str">
        <f t="shared" si="56"/>
        <v>06D58</v>
      </c>
      <c r="N564" s="1" t="str">
        <f t="shared" si="57"/>
        <v>C/O</v>
      </c>
      <c r="O564" s="1" t="str">
        <f t="shared" si="58"/>
        <v>Transmission</v>
      </c>
      <c r="P564" s="1" t="str">
        <f t="shared" si="59"/>
        <v>T4Y0</v>
      </c>
      <c r="Q564" s="2" t="str">
        <f t="shared" si="60"/>
        <v>T4Y0Transmission</v>
      </c>
      <c r="R564" s="2" t="str">
        <f>New_Xref[[#This Row],[Serial Prefix]]&amp;IF(New_Xref[[#This Row],[Func Loc]]&lt;&gt;"",New_Xref[[#This Row],[Func Loc]],"NO MATCH")</f>
        <v>T4Y0TRAN .TRAN</v>
      </c>
      <c r="S564" s="3" t="str">
        <f t="shared" si="61"/>
        <v>T4Y03156272XTransmission</v>
      </c>
      <c r="T564" s="3" t="s">
        <v>73</v>
      </c>
      <c r="U564" s="3" t="s">
        <v>34</v>
      </c>
      <c r="V564" t="str">
        <f t="shared" si="62"/>
        <v>303000</v>
      </c>
    </row>
    <row r="565" spans="1:22">
      <c r="A565" t="s">
        <v>2385</v>
      </c>
      <c r="B565" t="s">
        <v>2386</v>
      </c>
      <c r="C565" t="s">
        <v>2412</v>
      </c>
      <c r="D565" t="s">
        <v>2413</v>
      </c>
      <c r="E565" t="s">
        <v>2414</v>
      </c>
      <c r="F565" t="s">
        <v>27</v>
      </c>
      <c r="G565">
        <v>1</v>
      </c>
      <c r="H565" t="s">
        <v>2415</v>
      </c>
      <c r="I565" t="s">
        <v>2416</v>
      </c>
      <c r="J565" t="s">
        <v>2417</v>
      </c>
      <c r="K565" t="s">
        <v>2416</v>
      </c>
      <c r="L565" t="s">
        <v>304</v>
      </c>
      <c r="M565" s="1" t="str">
        <f t="shared" si="56"/>
        <v>06D58</v>
      </c>
      <c r="N565" s="1" t="str">
        <f t="shared" si="57"/>
        <v>C/O</v>
      </c>
      <c r="O565" s="1" t="str">
        <f t="shared" si="58"/>
        <v>Torque Converter</v>
      </c>
      <c r="P565" s="1" t="str">
        <f t="shared" si="59"/>
        <v>T4Y0</v>
      </c>
      <c r="Q565" s="2" t="str">
        <f t="shared" si="60"/>
        <v>T4Y0Torque Converter</v>
      </c>
      <c r="R565" s="2" t="str">
        <f>New_Xref[[#This Row],[Serial Prefix]]&amp;IF(New_Xref[[#This Row],[Func Loc]]&lt;&gt;"",New_Xref[[#This Row],[Func Loc]],"NO MATCH")</f>
        <v>T4Y0TRAN .TOCO</v>
      </c>
      <c r="S565" s="3" t="str">
        <f t="shared" si="61"/>
        <v>T4Y05948163XTorque Converter</v>
      </c>
      <c r="T565" s="3" t="s">
        <v>305</v>
      </c>
      <c r="U565" s="3" t="s">
        <v>34</v>
      </c>
      <c r="V565" t="str">
        <f t="shared" si="62"/>
        <v>310100</v>
      </c>
    </row>
    <row r="566" spans="1:22">
      <c r="A566" t="s">
        <v>2385</v>
      </c>
      <c r="B566" t="s">
        <v>2386</v>
      </c>
      <c r="C566" t="s">
        <v>457</v>
      </c>
      <c r="D566" t="s">
        <v>458</v>
      </c>
      <c r="E566" t="s">
        <v>459</v>
      </c>
      <c r="F566" t="s">
        <v>27</v>
      </c>
      <c r="G566">
        <v>1</v>
      </c>
      <c r="H566" t="s">
        <v>2418</v>
      </c>
      <c r="I566" t="s">
        <v>2419</v>
      </c>
      <c r="J566" t="s">
        <v>2420</v>
      </c>
      <c r="K566" t="s">
        <v>2419</v>
      </c>
      <c r="L566" t="s">
        <v>463</v>
      </c>
      <c r="M566" s="1" t="str">
        <f t="shared" si="56"/>
        <v>06D58</v>
      </c>
      <c r="N566" s="1" t="str">
        <f t="shared" si="57"/>
        <v>C/O</v>
      </c>
      <c r="O566" s="1" t="str">
        <f t="shared" si="58"/>
        <v>Differential</v>
      </c>
      <c r="P566" s="1" t="str">
        <f t="shared" si="59"/>
        <v>T4Y0</v>
      </c>
      <c r="Q566" s="2" t="str">
        <f t="shared" si="60"/>
        <v>T4Y0Differential</v>
      </c>
      <c r="R566" s="2" t="str">
        <f>New_Xref[[#This Row],[Serial Prefix]]&amp;IF(New_Xref[[#This Row],[Func Loc]]&lt;&gt;"",New_Xref[[#This Row],[Func Loc]],"NO MATCH")</f>
        <v>T4Y0FDRV .AXAR.DIFF</v>
      </c>
      <c r="S566" s="3" t="str">
        <f t="shared" si="61"/>
        <v>T4Y03451983XDifferential</v>
      </c>
      <c r="T566" s="3" t="s">
        <v>464</v>
      </c>
      <c r="U566" s="3" t="s">
        <v>34</v>
      </c>
      <c r="V566" t="str">
        <f t="shared" si="62"/>
        <v>325800</v>
      </c>
    </row>
    <row r="567" spans="1:22">
      <c r="A567" t="s">
        <v>2385</v>
      </c>
      <c r="B567" t="s">
        <v>2386</v>
      </c>
      <c r="C567" t="s">
        <v>465</v>
      </c>
      <c r="D567" t="s">
        <v>466</v>
      </c>
      <c r="E567" t="s">
        <v>467</v>
      </c>
      <c r="F567" t="s">
        <v>27</v>
      </c>
      <c r="G567">
        <v>1</v>
      </c>
      <c r="H567" t="s">
        <v>2421</v>
      </c>
      <c r="I567" t="s">
        <v>2422</v>
      </c>
      <c r="J567" t="s">
        <v>2423</v>
      </c>
      <c r="K567" t="s">
        <v>2422</v>
      </c>
      <c r="L567" t="s">
        <v>761</v>
      </c>
      <c r="M567" s="1" t="str">
        <f t="shared" si="56"/>
        <v>06D58</v>
      </c>
      <c r="N567" s="1" t="str">
        <f t="shared" si="57"/>
        <v>C/O</v>
      </c>
      <c r="O567" s="1" t="str">
        <f t="shared" si="58"/>
        <v>Hub &amp; Spindle LH</v>
      </c>
      <c r="P567" s="1" t="str">
        <f t="shared" si="59"/>
        <v>T4Y0</v>
      </c>
      <c r="Q567" s="2" t="str">
        <f t="shared" si="60"/>
        <v>T4Y0Hub &amp; Spindle LH</v>
      </c>
      <c r="R567" s="2" t="str">
        <f>New_Xref[[#This Row],[Serial Prefix]]&amp;IF(New_Xref[[#This Row],[Func Loc]]&lt;&gt;"",New_Xref[[#This Row],[Func Loc]],"NO MATCH")</f>
        <v>T4Y0FDRV .AXAF.HASL</v>
      </c>
      <c r="S567" s="3" t="str">
        <f t="shared" si="61"/>
        <v>T4Y03569843XLHub &amp; Spindle LH</v>
      </c>
      <c r="T567" s="3" t="s">
        <v>88</v>
      </c>
      <c r="U567" s="3" t="s">
        <v>89</v>
      </c>
      <c r="V567" t="str">
        <f t="shared" si="62"/>
        <v>4006LF</v>
      </c>
    </row>
    <row r="568" spans="1:22">
      <c r="A568" t="s">
        <v>2385</v>
      </c>
      <c r="B568" t="s">
        <v>2386</v>
      </c>
      <c r="C568" t="s">
        <v>471</v>
      </c>
      <c r="D568" t="s">
        <v>472</v>
      </c>
      <c r="E568" t="s">
        <v>467</v>
      </c>
      <c r="F568" t="s">
        <v>27</v>
      </c>
      <c r="G568">
        <v>1</v>
      </c>
      <c r="H568" t="s">
        <v>2424</v>
      </c>
      <c r="I568" t="s">
        <v>2425</v>
      </c>
      <c r="J568" t="s">
        <v>2426</v>
      </c>
      <c r="K568" t="s">
        <v>2425</v>
      </c>
      <c r="L568" t="s">
        <v>757</v>
      </c>
      <c r="M568" s="1" t="str">
        <f t="shared" si="56"/>
        <v>06D58</v>
      </c>
      <c r="N568" s="1" t="str">
        <f t="shared" si="57"/>
        <v>C/O</v>
      </c>
      <c r="O568" s="1" t="str">
        <f t="shared" si="58"/>
        <v>Hub &amp; Spindle RH</v>
      </c>
      <c r="P568" s="1" t="str">
        <f t="shared" si="59"/>
        <v>T4Y0</v>
      </c>
      <c r="Q568" s="2" t="str">
        <f t="shared" si="60"/>
        <v>T4Y0Hub &amp; Spindle RH</v>
      </c>
      <c r="R568" s="2" t="str">
        <f>New_Xref[[#This Row],[Serial Prefix]]&amp;IF(New_Xref[[#This Row],[Func Loc]]&lt;&gt;"",New_Xref[[#This Row],[Func Loc]],"NO MATCH")</f>
        <v>T4Y0FDRV .AXAF.HASR</v>
      </c>
      <c r="S568" s="3" t="str">
        <f t="shared" si="61"/>
        <v>T4Y03569843XRHub &amp; Spindle RH</v>
      </c>
      <c r="T568" s="3" t="s">
        <v>88</v>
      </c>
      <c r="U568" s="3" t="s">
        <v>92</v>
      </c>
      <c r="V568" t="str">
        <f t="shared" si="62"/>
        <v>4006RF</v>
      </c>
    </row>
    <row r="569" spans="1:22">
      <c r="A569" t="s">
        <v>2385</v>
      </c>
      <c r="B569" t="s">
        <v>2386</v>
      </c>
      <c r="C569" t="s">
        <v>2427</v>
      </c>
      <c r="D569" t="s">
        <v>2428</v>
      </c>
      <c r="E569" t="s">
        <v>2429</v>
      </c>
      <c r="F569" t="s">
        <v>27</v>
      </c>
      <c r="G569">
        <v>1</v>
      </c>
      <c r="H569" t="s">
        <v>2430</v>
      </c>
      <c r="I569" t="s">
        <v>2431</v>
      </c>
      <c r="J569" t="s">
        <v>2432</v>
      </c>
      <c r="K569" t="s">
        <v>2431</v>
      </c>
      <c r="L569" t="s">
        <v>83</v>
      </c>
      <c r="M569" s="1" t="str">
        <f t="shared" si="56"/>
        <v>06D58</v>
      </c>
      <c r="N569" s="1" t="str">
        <f t="shared" si="57"/>
        <v>C/O</v>
      </c>
      <c r="O569" s="1" t="str">
        <f t="shared" si="58"/>
        <v>Wheel Group LH</v>
      </c>
      <c r="P569" s="1" t="str">
        <f t="shared" si="59"/>
        <v>T4Y0</v>
      </c>
      <c r="Q569" s="2" t="str">
        <f t="shared" si="60"/>
        <v>T4Y0Wheel Group LH</v>
      </c>
      <c r="R569" s="2" t="str">
        <f>New_Xref[[#This Row],[Serial Prefix]]&amp;IF(New_Xref[[#This Row],[Func Loc]]&lt;&gt;"",New_Xref[[#This Row],[Func Loc]],"NO MATCH")</f>
        <v>T4Y0NO MATCH</v>
      </c>
      <c r="S569" s="3" t="str">
        <f t="shared" si="61"/>
        <v>T4Y03569840XWheel Group LH</v>
      </c>
      <c r="T569" s="3" t="s">
        <v>2105</v>
      </c>
      <c r="U569" s="3" t="s">
        <v>96</v>
      </c>
      <c r="V569" t="str">
        <f t="shared" si="62"/>
        <v>4008LR</v>
      </c>
    </row>
    <row r="570" spans="1:22">
      <c r="A570" t="s">
        <v>2385</v>
      </c>
      <c r="B570" t="s">
        <v>2386</v>
      </c>
      <c r="C570" t="s">
        <v>2427</v>
      </c>
      <c r="D570" t="s">
        <v>2428</v>
      </c>
      <c r="E570" t="s">
        <v>2429</v>
      </c>
      <c r="F570" t="s">
        <v>27</v>
      </c>
      <c r="G570">
        <v>1</v>
      </c>
      <c r="H570" t="s">
        <v>2430</v>
      </c>
      <c r="I570" t="s">
        <v>2433</v>
      </c>
      <c r="J570" t="s">
        <v>2434</v>
      </c>
      <c r="K570" t="s">
        <v>2433</v>
      </c>
      <c r="L570" t="s">
        <v>83</v>
      </c>
      <c r="M570" s="1" t="str">
        <f t="shared" si="56"/>
        <v>06D58</v>
      </c>
      <c r="N570" s="1" t="str">
        <f t="shared" si="57"/>
        <v>C/O</v>
      </c>
      <c r="O570" s="1" t="str">
        <f t="shared" si="58"/>
        <v>Wheel Group RH</v>
      </c>
      <c r="P570" s="1" t="str">
        <f t="shared" si="59"/>
        <v>T4Y0</v>
      </c>
      <c r="Q570" s="2" t="str">
        <f t="shared" si="60"/>
        <v>T4Y0Wheel Group RH</v>
      </c>
      <c r="R570" s="2" t="str">
        <f>New_Xref[[#This Row],[Serial Prefix]]&amp;IF(New_Xref[[#This Row],[Func Loc]]&lt;&gt;"",New_Xref[[#This Row],[Func Loc]],"NO MATCH")</f>
        <v>T4Y0NO MATCH</v>
      </c>
      <c r="S570" s="3" t="str">
        <f t="shared" si="61"/>
        <v>T4Y03569840XWheel Group RH</v>
      </c>
      <c r="T570" s="3" t="s">
        <v>2105</v>
      </c>
      <c r="U570" s="3" t="s">
        <v>99</v>
      </c>
      <c r="V570" t="str">
        <f t="shared" si="62"/>
        <v>4008RR</v>
      </c>
    </row>
    <row r="571" spans="1:22">
      <c r="A571" t="s">
        <v>2385</v>
      </c>
      <c r="B571" t="s">
        <v>2435</v>
      </c>
      <c r="C571" t="s">
        <v>465</v>
      </c>
      <c r="D571" t="s">
        <v>466</v>
      </c>
      <c r="E571" t="s">
        <v>2436</v>
      </c>
      <c r="F571" t="s">
        <v>27</v>
      </c>
      <c r="G571">
        <v>1</v>
      </c>
      <c r="H571" t="s">
        <v>2437</v>
      </c>
      <c r="I571" t="s">
        <v>2438</v>
      </c>
      <c r="J571" t="s">
        <v>2439</v>
      </c>
      <c r="K571" t="s">
        <v>2440</v>
      </c>
      <c r="L571" t="s">
        <v>761</v>
      </c>
      <c r="M571" s="1" t="str">
        <f t="shared" si="56"/>
        <v>06H274</v>
      </c>
      <c r="N571" s="1" t="str">
        <f t="shared" si="57"/>
        <v>C/O</v>
      </c>
      <c r="O571" s="1" t="str">
        <f t="shared" si="58"/>
        <v>Hub &amp; Spindle LH</v>
      </c>
      <c r="P571" s="1" t="str">
        <f t="shared" si="59"/>
        <v>T4Y0</v>
      </c>
      <c r="Q571" s="2" t="str">
        <f t="shared" si="60"/>
        <v>T4Y0Hub &amp; Spindle LH</v>
      </c>
      <c r="R571" s="2" t="str">
        <f>New_Xref[[#This Row],[Serial Prefix]]&amp;IF(New_Xref[[#This Row],[Func Loc]]&lt;&gt;"",New_Xref[[#This Row],[Func Loc]],"NO MATCH")</f>
        <v>T4Y0FDRV .AXAF.HASL</v>
      </c>
      <c r="S571" s="3" t="str">
        <f t="shared" si="61"/>
        <v>T4Y03569843XLHub &amp; Spindle LH</v>
      </c>
      <c r="T571" t="s">
        <v>2441</v>
      </c>
      <c r="U571" t="s">
        <v>89</v>
      </c>
      <c r="V571" t="str">
        <f t="shared" si="62"/>
        <v>4016LF</v>
      </c>
    </row>
    <row r="572" spans="1:22">
      <c r="A572" t="s">
        <v>2385</v>
      </c>
      <c r="B572" t="s">
        <v>2435</v>
      </c>
      <c r="C572" t="s">
        <v>471</v>
      </c>
      <c r="D572" t="s">
        <v>472</v>
      </c>
      <c r="E572" t="s">
        <v>2442</v>
      </c>
      <c r="F572" t="s">
        <v>27</v>
      </c>
      <c r="G572">
        <v>1</v>
      </c>
      <c r="H572" t="s">
        <v>2443</v>
      </c>
      <c r="I572" t="s">
        <v>2444</v>
      </c>
      <c r="J572" t="s">
        <v>2445</v>
      </c>
      <c r="K572" t="s">
        <v>2446</v>
      </c>
      <c r="L572" t="s">
        <v>757</v>
      </c>
      <c r="M572" s="1" t="str">
        <f t="shared" si="56"/>
        <v>06H274</v>
      </c>
      <c r="N572" s="1" t="str">
        <f t="shared" si="57"/>
        <v>C/O</v>
      </c>
      <c r="O572" s="1" t="str">
        <f t="shared" si="58"/>
        <v>Hub &amp; Spindle RH</v>
      </c>
      <c r="P572" s="1" t="str">
        <f t="shared" si="59"/>
        <v>T4Y0</v>
      </c>
      <c r="Q572" s="2" t="str">
        <f t="shared" si="60"/>
        <v>T4Y0Hub &amp; Spindle RH</v>
      </c>
      <c r="R572" s="2" t="str">
        <f>New_Xref[[#This Row],[Serial Prefix]]&amp;IF(New_Xref[[#This Row],[Func Loc]]&lt;&gt;"",New_Xref[[#This Row],[Func Loc]],"NO MATCH")</f>
        <v>T4Y0FDRV .AXAF.HASR</v>
      </c>
      <c r="S572" s="3" t="str">
        <f t="shared" si="61"/>
        <v>T4Y03569843XRHub &amp; Spindle RH</v>
      </c>
      <c r="T572" t="s">
        <v>2441</v>
      </c>
      <c r="U572" t="s">
        <v>92</v>
      </c>
      <c r="V572" t="str">
        <f t="shared" si="62"/>
        <v>4016RF</v>
      </c>
    </row>
    <row r="573" spans="1:22">
      <c r="A573" t="s">
        <v>2385</v>
      </c>
      <c r="B573" t="s">
        <v>2386</v>
      </c>
      <c r="C573" t="s">
        <v>2447</v>
      </c>
      <c r="D573" t="s">
        <v>2448</v>
      </c>
      <c r="E573" t="s">
        <v>2449</v>
      </c>
      <c r="F573" t="s">
        <v>27</v>
      </c>
      <c r="G573">
        <v>1</v>
      </c>
      <c r="H573" t="s">
        <v>2450</v>
      </c>
      <c r="I573" t="s">
        <v>2451</v>
      </c>
      <c r="J573" t="s">
        <v>2452</v>
      </c>
      <c r="K573" t="s">
        <v>2451</v>
      </c>
      <c r="L573" t="s">
        <v>2453</v>
      </c>
      <c r="M573" s="1" t="str">
        <f t="shared" si="56"/>
        <v>06D58</v>
      </c>
      <c r="N573" s="1" t="str">
        <f t="shared" si="57"/>
        <v>C/O</v>
      </c>
      <c r="O573" s="1" t="str">
        <f t="shared" si="58"/>
        <v>Hoist &amp; Brake Cooling Pump</v>
      </c>
      <c r="P573" s="1" t="str">
        <f t="shared" si="59"/>
        <v>T4Y0</v>
      </c>
      <c r="Q573" s="2" t="str">
        <f t="shared" si="60"/>
        <v>T4Y0Hoist &amp; Brake Cooling Pump</v>
      </c>
      <c r="R573" s="2" t="str">
        <f>New_Xref[[#This Row],[Serial Prefix]]&amp;IF(New_Xref[[#This Row],[Func Loc]]&lt;&gt;"",New_Xref[[#This Row],[Func Loc]],"NO MATCH")</f>
        <v>T4Y0MYHD .PUMP.HP01</v>
      </c>
      <c r="S573" s="3" t="str">
        <f t="shared" si="61"/>
        <v>T4Y05738015Hoist &amp; Brake Cooling Pump</v>
      </c>
      <c r="T573" s="3" t="s">
        <v>689</v>
      </c>
      <c r="U573" s="3" t="s">
        <v>34</v>
      </c>
      <c r="V573" t="str">
        <f t="shared" si="62"/>
        <v>426800</v>
      </c>
    </row>
    <row r="574" spans="1:22">
      <c r="A574" t="s">
        <v>2385</v>
      </c>
      <c r="B574" t="s">
        <v>2454</v>
      </c>
      <c r="C574" t="s">
        <v>483</v>
      </c>
      <c r="D574" t="s">
        <v>484</v>
      </c>
      <c r="E574" t="s">
        <v>485</v>
      </c>
      <c r="F574" t="s">
        <v>27</v>
      </c>
      <c r="G574">
        <v>1</v>
      </c>
      <c r="H574" t="s">
        <v>2455</v>
      </c>
      <c r="I574" t="s">
        <v>2456</v>
      </c>
      <c r="J574" t="s">
        <v>2457</v>
      </c>
      <c r="K574" t="s">
        <v>2458</v>
      </c>
      <c r="L574" t="s">
        <v>767</v>
      </c>
      <c r="M574" s="1" t="str">
        <f t="shared" si="56"/>
        <v>06H799</v>
      </c>
      <c r="N574" s="1" t="str">
        <f t="shared" si="57"/>
        <v>C/O</v>
      </c>
      <c r="O574" s="1" t="str">
        <f t="shared" si="58"/>
        <v>Steering Cylinder LH</v>
      </c>
      <c r="P574" s="1" t="str">
        <f t="shared" si="59"/>
        <v>T4Y0</v>
      </c>
      <c r="Q574" s="2" t="str">
        <f t="shared" si="60"/>
        <v>T4Y0Steering Cylinder LH</v>
      </c>
      <c r="R574" s="2" t="str">
        <f>New_Xref[[#This Row],[Serial Prefix]]&amp;IF(New_Xref[[#This Row],[Func Loc]]&lt;&gt;"",New_Xref[[#This Row],[Func Loc]],"NO MATCH")</f>
        <v>T4Y0STRG .CYLI.SC01</v>
      </c>
      <c r="S574" s="3" t="str">
        <f t="shared" si="61"/>
        <v>T4Y06170753Steering Cylinder LH</v>
      </c>
      <c r="T574" s="3" t="s">
        <v>107</v>
      </c>
      <c r="U574" s="3" t="s">
        <v>108</v>
      </c>
      <c r="V574" t="str">
        <f t="shared" si="62"/>
        <v>4303LT</v>
      </c>
    </row>
    <row r="575" spans="1:22">
      <c r="A575" t="s">
        <v>2385</v>
      </c>
      <c r="B575" t="s">
        <v>2454</v>
      </c>
      <c r="H575" t="s">
        <v>2459</v>
      </c>
      <c r="I575" t="s">
        <v>2460</v>
      </c>
      <c r="J575" t="s">
        <v>2461</v>
      </c>
      <c r="K575" t="s">
        <v>2462</v>
      </c>
      <c r="L575" t="s">
        <v>770</v>
      </c>
      <c r="M575" s="1" t="str">
        <f t="shared" si="56"/>
        <v>06H799</v>
      </c>
      <c r="N575" s="1" t="str">
        <f t="shared" si="57"/>
        <v>C/O</v>
      </c>
      <c r="O575" s="1" t="str">
        <f t="shared" si="58"/>
        <v>Steering Cylinder RH</v>
      </c>
      <c r="P575" s="1" t="str">
        <f t="shared" si="59"/>
        <v>T4Y0</v>
      </c>
      <c r="Q575" s="2" t="str">
        <f t="shared" si="60"/>
        <v>T4Y0Steering Cylinder RH</v>
      </c>
      <c r="R575" s="2" t="str">
        <f>New_Xref[[#This Row],[Serial Prefix]]&amp;IF(New_Xref[[#This Row],[Func Loc]]&lt;&gt;"",New_Xref[[#This Row],[Func Loc]],"NO MATCH")</f>
        <v>T4Y0STRG .CYLI.SC02</v>
      </c>
      <c r="S575" s="3" t="str">
        <f t="shared" si="61"/>
        <v>T4Y0Steering Cylinder RH</v>
      </c>
      <c r="T575" s="3" t="s">
        <v>107</v>
      </c>
      <c r="U575" s="3" t="s">
        <v>115</v>
      </c>
      <c r="V575" t="str">
        <f t="shared" si="62"/>
        <v>4303RI</v>
      </c>
    </row>
    <row r="576" spans="1:22">
      <c r="A576" t="s">
        <v>2385</v>
      </c>
      <c r="B576" t="s">
        <v>2386</v>
      </c>
      <c r="C576" t="s">
        <v>490</v>
      </c>
      <c r="D576" t="s">
        <v>491</v>
      </c>
      <c r="E576" t="s">
        <v>492</v>
      </c>
      <c r="F576" t="s">
        <v>27</v>
      </c>
      <c r="G576">
        <v>1</v>
      </c>
      <c r="H576" t="s">
        <v>2463</v>
      </c>
      <c r="I576" t="s">
        <v>2464</v>
      </c>
      <c r="J576" t="s">
        <v>2465</v>
      </c>
      <c r="K576" t="s">
        <v>2464</v>
      </c>
      <c r="L576" t="s">
        <v>2358</v>
      </c>
      <c r="M576" s="1" t="str">
        <f t="shared" si="56"/>
        <v>06D58</v>
      </c>
      <c r="N576" s="1" t="str">
        <f t="shared" si="57"/>
        <v>C/O</v>
      </c>
      <c r="O576" s="1" t="str">
        <f t="shared" si="58"/>
        <v>Primary Steering Pump</v>
      </c>
      <c r="P576" s="1" t="str">
        <f t="shared" si="59"/>
        <v>T4Y0</v>
      </c>
      <c r="Q576" s="2" t="str">
        <f t="shared" si="60"/>
        <v>T4Y0Primary Steering Pump</v>
      </c>
      <c r="R576" s="2" t="str">
        <f>New_Xref[[#This Row],[Serial Prefix]]&amp;IF(New_Xref[[#This Row],[Func Loc]]&lt;&gt;"",New_Xref[[#This Row],[Func Loc]],"NO MATCH")</f>
        <v>T4Y0STRG .PUMP.SP01</v>
      </c>
      <c r="S576" s="3" t="str">
        <f t="shared" si="61"/>
        <v>T4Y02615630Primary Steering Pump</v>
      </c>
      <c r="T576" s="3" t="s">
        <v>342</v>
      </c>
      <c r="U576" s="3" t="s">
        <v>34</v>
      </c>
      <c r="V576" t="str">
        <f t="shared" si="62"/>
        <v>430600</v>
      </c>
    </row>
    <row r="577" spans="1:22">
      <c r="A577" t="s">
        <v>2385</v>
      </c>
      <c r="B577" t="s">
        <v>2454</v>
      </c>
      <c r="C577" t="s">
        <v>2466</v>
      </c>
      <c r="D577" t="s">
        <v>2467</v>
      </c>
      <c r="E577" t="s">
        <v>2468</v>
      </c>
      <c r="F577" t="s">
        <v>27</v>
      </c>
      <c r="G577">
        <v>1</v>
      </c>
      <c r="H577" t="s">
        <v>2469</v>
      </c>
      <c r="I577" t="s">
        <v>2470</v>
      </c>
      <c r="J577" t="s">
        <v>2471</v>
      </c>
      <c r="K577" t="s">
        <v>2470</v>
      </c>
      <c r="L577" t="s">
        <v>83</v>
      </c>
      <c r="M577" s="1" t="str">
        <f t="shared" si="56"/>
        <v>06R600</v>
      </c>
      <c r="N577" s="1" t="str">
        <f t="shared" si="57"/>
        <v>C/O</v>
      </c>
      <c r="O577" s="1" t="str">
        <f t="shared" si="58"/>
        <v>Rear Axle Lubrication Pump</v>
      </c>
      <c r="P577" s="1" t="str">
        <f t="shared" si="59"/>
        <v>T4Y0</v>
      </c>
      <c r="Q577" s="2" t="str">
        <f t="shared" si="60"/>
        <v>T4Y0Rear Axle Lubrication Pump</v>
      </c>
      <c r="R577" s="2" t="str">
        <f>New_Xref[[#This Row],[Serial Prefix]]&amp;IF(New_Xref[[#This Row],[Func Loc]]&lt;&gt;"",New_Xref[[#This Row],[Func Loc]],"NO MATCH")</f>
        <v>T4Y0NO MATCH</v>
      </c>
      <c r="S577" s="3" t="str">
        <f t="shared" si="61"/>
        <v>T4Y02497012Rear Axle Lubrication Pump</v>
      </c>
      <c r="T577" s="3" t="s">
        <v>613</v>
      </c>
      <c r="U577" s="3" t="s">
        <v>34</v>
      </c>
      <c r="V577" t="str">
        <f t="shared" si="62"/>
        <v>506G00</v>
      </c>
    </row>
    <row r="578" spans="1:22">
      <c r="A578" t="s">
        <v>2385</v>
      </c>
      <c r="B578" t="s">
        <v>2386</v>
      </c>
      <c r="C578" t="s">
        <v>2472</v>
      </c>
      <c r="D578" t="s">
        <v>2473</v>
      </c>
      <c r="E578" t="s">
        <v>2474</v>
      </c>
      <c r="F578" t="s">
        <v>27</v>
      </c>
      <c r="G578">
        <v>1</v>
      </c>
      <c r="H578" t="s">
        <v>2475</v>
      </c>
      <c r="I578" t="s">
        <v>2476</v>
      </c>
      <c r="J578" t="s">
        <v>2477</v>
      </c>
      <c r="K578" t="s">
        <v>2476</v>
      </c>
      <c r="L578" t="s">
        <v>2478</v>
      </c>
      <c r="M578" s="1" t="str">
        <f t="shared" si="56"/>
        <v>06D58</v>
      </c>
      <c r="N578" s="1" t="str">
        <f t="shared" si="57"/>
        <v>C/O</v>
      </c>
      <c r="O578" s="1" t="str">
        <f t="shared" si="58"/>
        <v>Water System Hydraulic Pump</v>
      </c>
      <c r="P578" s="1" t="str">
        <f t="shared" si="59"/>
        <v>T4Y0</v>
      </c>
      <c r="Q578" s="2" t="str">
        <f t="shared" si="60"/>
        <v>T4Y0Water System Hydraulic Pump</v>
      </c>
      <c r="R578" s="2" t="str">
        <f>New_Xref[[#This Row],[Serial Prefix]]&amp;IF(New_Xref[[#This Row],[Func Loc]]&lt;&gt;"",New_Xref[[#This Row],[Func Loc]],"NO MATCH")</f>
        <v>T4Y0MYHD .PUMP.HP02</v>
      </c>
      <c r="S578" s="3" t="str">
        <f t="shared" si="61"/>
        <v>T4Y04595771Water System Hydraulic Pump</v>
      </c>
      <c r="T578" s="3" t="s">
        <v>220</v>
      </c>
      <c r="U578" s="3" t="s">
        <v>34</v>
      </c>
      <c r="V578" t="str">
        <f t="shared" si="62"/>
        <v>507000</v>
      </c>
    </row>
    <row r="579" spans="1:22">
      <c r="A579" t="s">
        <v>2385</v>
      </c>
      <c r="B579" t="s">
        <v>2386</v>
      </c>
      <c r="C579" t="s">
        <v>496</v>
      </c>
      <c r="D579" t="s">
        <v>497</v>
      </c>
      <c r="E579" t="s">
        <v>498</v>
      </c>
      <c r="F579" t="s">
        <v>27</v>
      </c>
      <c r="G579">
        <v>1</v>
      </c>
      <c r="H579" t="s">
        <v>2479</v>
      </c>
      <c r="I579" t="s">
        <v>2480</v>
      </c>
      <c r="J579" t="s">
        <v>2481</v>
      </c>
      <c r="K579" t="s">
        <v>2480</v>
      </c>
      <c r="L579" t="s">
        <v>2482</v>
      </c>
      <c r="M579" s="1" t="str">
        <f t="shared" ref="M579:M642" si="63">LEFT(K579,FIND(" ",K579,1)-1)</f>
        <v>06D58</v>
      </c>
      <c r="N579" s="1" t="str">
        <f t="shared" ref="N579:N642" si="64">MID(K579,LEN(M579)+2,FIND(" ",K579,LEN(M579)+2)-LEN(M579)-2)</f>
        <v>C/O</v>
      </c>
      <c r="O579" s="1" t="str">
        <f t="shared" ref="O579:O642" si="65">MID(K579,FIND(N579,K579,1)+LEN(N579)+1, 150)</f>
        <v>Water System Pilot Pump</v>
      </c>
      <c r="P579" s="1" t="str">
        <f t="shared" ref="P579:P642" si="66">LEFT(B579,4)</f>
        <v>T4Y0</v>
      </c>
      <c r="Q579" s="2" t="str">
        <f t="shared" ref="Q579:Q642" si="67">P579&amp;O579</f>
        <v>T4Y0Water System Pilot Pump</v>
      </c>
      <c r="R579" s="2" t="str">
        <f>New_Xref[[#This Row],[Serial Prefix]]&amp;IF(New_Xref[[#This Row],[Func Loc]]&lt;&gt;"",New_Xref[[#This Row],[Func Loc]],"NO MATCH")</f>
        <v>T4Y0MYHD .PUMP.HP03</v>
      </c>
      <c r="S579" s="3" t="str">
        <f t="shared" ref="S579:S642" si="68">P579&amp;D579&amp;O579</f>
        <v>T4Y01778924Water System Pilot Pump</v>
      </c>
      <c r="T579" s="3" t="s">
        <v>503</v>
      </c>
      <c r="U579" s="3" t="s">
        <v>34</v>
      </c>
      <c r="V579" t="str">
        <f t="shared" ref="V579:V642" si="69">LEFT(T579,FIND(" -",T579,1)-1)&amp;LEFT(U579,FIND(" -",U579,1)-1)</f>
        <v>507300</v>
      </c>
    </row>
    <row r="580" spans="1:22">
      <c r="A580" t="s">
        <v>2385</v>
      </c>
      <c r="B580" t="s">
        <v>2386</v>
      </c>
      <c r="C580" t="s">
        <v>504</v>
      </c>
      <c r="D580" t="s">
        <v>505</v>
      </c>
      <c r="E580" t="s">
        <v>506</v>
      </c>
      <c r="F580" t="s">
        <v>27</v>
      </c>
      <c r="G580">
        <v>1</v>
      </c>
      <c r="H580" t="s">
        <v>2483</v>
      </c>
      <c r="I580" t="s">
        <v>2484</v>
      </c>
      <c r="J580" t="s">
        <v>2485</v>
      </c>
      <c r="K580" t="s">
        <v>2484</v>
      </c>
      <c r="L580" t="s">
        <v>778</v>
      </c>
      <c r="M580" s="1" t="str">
        <f t="shared" si="63"/>
        <v>06D58</v>
      </c>
      <c r="N580" s="1" t="str">
        <f t="shared" si="64"/>
        <v>C/O</v>
      </c>
      <c r="O580" s="1" t="str">
        <f t="shared" si="65"/>
        <v>Suspension LHF</v>
      </c>
      <c r="P580" s="1" t="str">
        <f t="shared" si="66"/>
        <v>T4Y0</v>
      </c>
      <c r="Q580" s="2" t="str">
        <f t="shared" si="67"/>
        <v>T4Y0Suspension LHF</v>
      </c>
      <c r="R580" s="2" t="str">
        <f>New_Xref[[#This Row],[Serial Prefix]]&amp;IF(New_Xref[[#This Row],[Func Loc]]&lt;&gt;"",New_Xref[[#This Row],[Func Loc]],"NO MATCH")</f>
        <v>T4Y0STRU .SUGR.SG01</v>
      </c>
      <c r="S580" s="3" t="str">
        <f t="shared" si="68"/>
        <v>T4Y03356352XSuspension LHF</v>
      </c>
      <c r="T580" s="3" t="s">
        <v>511</v>
      </c>
      <c r="U580" s="3" t="s">
        <v>89</v>
      </c>
      <c r="V580" t="str">
        <f t="shared" si="69"/>
        <v>7201LF</v>
      </c>
    </row>
    <row r="581" spans="1:22">
      <c r="A581" t="s">
        <v>2385</v>
      </c>
      <c r="B581" t="s">
        <v>2386</v>
      </c>
      <c r="C581" t="s">
        <v>504</v>
      </c>
      <c r="D581" t="s">
        <v>505</v>
      </c>
      <c r="E581" t="s">
        <v>506</v>
      </c>
      <c r="F581" t="s">
        <v>27</v>
      </c>
      <c r="G581">
        <v>1</v>
      </c>
      <c r="H581" t="s">
        <v>2483</v>
      </c>
      <c r="I581" t="s">
        <v>2486</v>
      </c>
      <c r="J581" t="s">
        <v>2487</v>
      </c>
      <c r="K581" t="s">
        <v>2486</v>
      </c>
      <c r="L581" t="s">
        <v>781</v>
      </c>
      <c r="M581" s="1" t="str">
        <f t="shared" si="63"/>
        <v>06D58</v>
      </c>
      <c r="N581" s="1" t="str">
        <f t="shared" si="64"/>
        <v>C/O</v>
      </c>
      <c r="O581" s="1" t="str">
        <f t="shared" si="65"/>
        <v>Suspension RHF</v>
      </c>
      <c r="P581" s="1" t="str">
        <f t="shared" si="66"/>
        <v>T4Y0</v>
      </c>
      <c r="Q581" s="2" t="str">
        <f t="shared" si="67"/>
        <v>T4Y0Suspension RHF</v>
      </c>
      <c r="R581" s="2" t="str">
        <f>New_Xref[[#This Row],[Serial Prefix]]&amp;IF(New_Xref[[#This Row],[Func Loc]]&lt;&gt;"",New_Xref[[#This Row],[Func Loc]],"NO MATCH")</f>
        <v>T4Y0STRU .SUGR.SG02</v>
      </c>
      <c r="S581" s="3" t="str">
        <f t="shared" si="68"/>
        <v>T4Y03356352XSuspension RHF</v>
      </c>
      <c r="T581" s="3" t="s">
        <v>511</v>
      </c>
      <c r="U581" s="3" t="s">
        <v>92</v>
      </c>
      <c r="V581" t="str">
        <f t="shared" si="69"/>
        <v>7201RF</v>
      </c>
    </row>
    <row r="582" spans="1:22">
      <c r="A582" t="s">
        <v>2385</v>
      </c>
      <c r="B582" t="s">
        <v>2386</v>
      </c>
      <c r="C582" t="s">
        <v>515</v>
      </c>
      <c r="D582" t="s">
        <v>516</v>
      </c>
      <c r="E582" t="s">
        <v>506</v>
      </c>
      <c r="F582" t="s">
        <v>27</v>
      </c>
      <c r="G582">
        <v>1</v>
      </c>
      <c r="H582" t="s">
        <v>2488</v>
      </c>
      <c r="I582" t="s">
        <v>2489</v>
      </c>
      <c r="J582" t="s">
        <v>2490</v>
      </c>
      <c r="K582" t="s">
        <v>2489</v>
      </c>
      <c r="L582" t="s">
        <v>788</v>
      </c>
      <c r="M582" s="1" t="str">
        <f t="shared" si="63"/>
        <v>06D58</v>
      </c>
      <c r="N582" s="1" t="str">
        <f t="shared" si="64"/>
        <v>C/O</v>
      </c>
      <c r="O582" s="1" t="str">
        <f t="shared" si="65"/>
        <v>Suspension LHR</v>
      </c>
      <c r="P582" s="1" t="str">
        <f t="shared" si="66"/>
        <v>T4Y0</v>
      </c>
      <c r="Q582" s="2" t="str">
        <f t="shared" si="67"/>
        <v>T4Y0Suspension LHR</v>
      </c>
      <c r="R582" s="2" t="str">
        <f>New_Xref[[#This Row],[Serial Prefix]]&amp;IF(New_Xref[[#This Row],[Func Loc]]&lt;&gt;"",New_Xref[[#This Row],[Func Loc]],"NO MATCH")</f>
        <v>T4Y0STRU .SUGR.SG03</v>
      </c>
      <c r="S582" s="3" t="str">
        <f t="shared" si="68"/>
        <v>T4Y03356354XSuspension LHR</v>
      </c>
      <c r="T582" s="3" t="s">
        <v>521</v>
      </c>
      <c r="U582" s="3" t="s">
        <v>96</v>
      </c>
      <c r="V582" t="str">
        <f t="shared" si="69"/>
        <v>7213LR</v>
      </c>
    </row>
    <row r="583" spans="1:22">
      <c r="A583" t="s">
        <v>2385</v>
      </c>
      <c r="B583" t="s">
        <v>2386</v>
      </c>
      <c r="C583" t="s">
        <v>515</v>
      </c>
      <c r="D583" t="s">
        <v>516</v>
      </c>
      <c r="E583" t="s">
        <v>506</v>
      </c>
      <c r="F583" t="s">
        <v>27</v>
      </c>
      <c r="G583">
        <v>1</v>
      </c>
      <c r="H583" t="s">
        <v>2488</v>
      </c>
      <c r="I583" t="s">
        <v>2491</v>
      </c>
      <c r="J583" t="s">
        <v>2492</v>
      </c>
      <c r="K583" t="s">
        <v>2493</v>
      </c>
      <c r="L583" t="s">
        <v>791</v>
      </c>
      <c r="M583" s="1" t="str">
        <f t="shared" si="63"/>
        <v>06D58</v>
      </c>
      <c r="N583" s="1" t="str">
        <f t="shared" si="64"/>
        <v>C/O</v>
      </c>
      <c r="O583" s="1" t="str">
        <f t="shared" si="65"/>
        <v>Suspension RHR</v>
      </c>
      <c r="P583" s="1" t="str">
        <f t="shared" si="66"/>
        <v>T4Y0</v>
      </c>
      <c r="Q583" s="2" t="str">
        <f t="shared" si="67"/>
        <v>T4Y0Suspension RHR</v>
      </c>
      <c r="R583" s="2" t="str">
        <f>New_Xref[[#This Row],[Serial Prefix]]&amp;IF(New_Xref[[#This Row],[Func Loc]]&lt;&gt;"",New_Xref[[#This Row],[Func Loc]],"NO MATCH")</f>
        <v>T4Y0STRU .SUGR.SG04</v>
      </c>
      <c r="S583" s="3" t="str">
        <f t="shared" si="68"/>
        <v>T4Y03356354XSuspension RHR</v>
      </c>
      <c r="T583" s="3" t="s">
        <v>521</v>
      </c>
      <c r="U583" s="3" t="s">
        <v>99</v>
      </c>
      <c r="V583" t="str">
        <f t="shared" si="69"/>
        <v>7213RR</v>
      </c>
    </row>
    <row r="584" spans="1:22">
      <c r="A584" t="s">
        <v>2494</v>
      </c>
      <c r="B584" t="s">
        <v>2495</v>
      </c>
      <c r="C584" t="s">
        <v>2496</v>
      </c>
      <c r="D584" t="s">
        <v>2497</v>
      </c>
      <c r="E584" t="s">
        <v>2498</v>
      </c>
      <c r="F584" t="s">
        <v>27</v>
      </c>
      <c r="G584">
        <v>1</v>
      </c>
      <c r="H584" t="s">
        <v>2499</v>
      </c>
      <c r="I584" t="s">
        <v>2500</v>
      </c>
      <c r="J584" t="s">
        <v>2501</v>
      </c>
      <c r="K584" t="s">
        <v>2502</v>
      </c>
      <c r="L584" t="s">
        <v>32</v>
      </c>
      <c r="M584" s="1" t="str">
        <f t="shared" si="63"/>
        <v>06D27</v>
      </c>
      <c r="N584" s="1" t="str">
        <f t="shared" si="64"/>
        <v>C/O</v>
      </c>
      <c r="O584" s="1" t="str">
        <f t="shared" si="65"/>
        <v>Engine</v>
      </c>
      <c r="P584" s="1" t="str">
        <f t="shared" si="66"/>
        <v>APX0</v>
      </c>
      <c r="Q584" s="2" t="str">
        <f t="shared" si="67"/>
        <v>APX0Engine</v>
      </c>
      <c r="R584" s="2" t="str">
        <f>New_Xref[[#This Row],[Serial Prefix]]&amp;IF(New_Xref[[#This Row],[Func Loc]]&lt;&gt;"",New_Xref[[#This Row],[Func Loc]],"NO MATCH")</f>
        <v>APX0ENGD</v>
      </c>
      <c r="S584" s="3" t="str">
        <f t="shared" si="68"/>
        <v>APX01755285XEngine</v>
      </c>
      <c r="T584" s="3" t="s">
        <v>33</v>
      </c>
      <c r="U584" s="3" t="s">
        <v>34</v>
      </c>
      <c r="V584" t="str">
        <f t="shared" si="69"/>
        <v>100000</v>
      </c>
    </row>
    <row r="585" spans="1:22">
      <c r="A585" t="s">
        <v>2494</v>
      </c>
      <c r="B585" t="s">
        <v>2495</v>
      </c>
      <c r="C585" t="s">
        <v>2503</v>
      </c>
      <c r="D585" t="s">
        <v>2504</v>
      </c>
      <c r="E585" t="s">
        <v>263</v>
      </c>
      <c r="F585" t="s">
        <v>27</v>
      </c>
      <c r="G585">
        <v>1</v>
      </c>
      <c r="H585" t="s">
        <v>2505</v>
      </c>
      <c r="I585" t="s">
        <v>2500</v>
      </c>
      <c r="J585" t="s">
        <v>2506</v>
      </c>
      <c r="K585" t="s">
        <v>2507</v>
      </c>
      <c r="L585" t="s">
        <v>719</v>
      </c>
      <c r="M585" s="1" t="str">
        <f t="shared" si="63"/>
        <v>06D27</v>
      </c>
      <c r="N585" s="1" t="str">
        <f t="shared" si="64"/>
        <v>C/O</v>
      </c>
      <c r="O585" s="1" t="str">
        <f t="shared" si="65"/>
        <v>Turbocharger LH</v>
      </c>
      <c r="P585" s="1" t="str">
        <f t="shared" si="66"/>
        <v>APX0</v>
      </c>
      <c r="Q585" s="2" t="str">
        <f t="shared" si="67"/>
        <v>APX0Turbocharger LH</v>
      </c>
      <c r="R585" s="2" t="str">
        <f>New_Xref[[#This Row],[Serial Prefix]]&amp;IF(New_Xref[[#This Row],[Func Loc]]&lt;&gt;"",New_Xref[[#This Row],[Func Loc]],"NO MATCH")</f>
        <v>APX0ENGD .TURB.TC01</v>
      </c>
      <c r="S585" s="3" t="str">
        <f t="shared" si="68"/>
        <v>APX00R7430Turbocharger LH</v>
      </c>
      <c r="T585" s="3" t="s">
        <v>47</v>
      </c>
      <c r="U585" s="3" t="s">
        <v>108</v>
      </c>
      <c r="V585" t="str">
        <f t="shared" si="69"/>
        <v>1052LT</v>
      </c>
    </row>
    <row r="586" spans="1:22">
      <c r="A586" t="s">
        <v>2494</v>
      </c>
      <c r="B586" t="s">
        <v>2495</v>
      </c>
      <c r="C586" t="s">
        <v>2503</v>
      </c>
      <c r="D586" t="s">
        <v>2504</v>
      </c>
      <c r="E586" t="s">
        <v>263</v>
      </c>
      <c r="F586" t="s">
        <v>27</v>
      </c>
      <c r="G586">
        <v>1</v>
      </c>
      <c r="H586" t="s">
        <v>2508</v>
      </c>
      <c r="I586" t="s">
        <v>2500</v>
      </c>
      <c r="J586" t="s">
        <v>2509</v>
      </c>
      <c r="K586" t="s">
        <v>2510</v>
      </c>
      <c r="L586" t="s">
        <v>722</v>
      </c>
      <c r="M586" s="1" t="str">
        <f t="shared" si="63"/>
        <v>06D27</v>
      </c>
      <c r="N586" s="1" t="str">
        <f t="shared" si="64"/>
        <v>C/O</v>
      </c>
      <c r="O586" s="1" t="str">
        <f t="shared" si="65"/>
        <v>Turbocharger RH</v>
      </c>
      <c r="P586" s="1" t="str">
        <f t="shared" si="66"/>
        <v>APX0</v>
      </c>
      <c r="Q586" s="2" t="str">
        <f t="shared" si="67"/>
        <v>APX0Turbocharger RH</v>
      </c>
      <c r="R586" s="2" t="str">
        <f>New_Xref[[#This Row],[Serial Prefix]]&amp;IF(New_Xref[[#This Row],[Func Loc]]&lt;&gt;"",New_Xref[[#This Row],[Func Loc]],"NO MATCH")</f>
        <v>APX0ENGD .TURB.TC02</v>
      </c>
      <c r="S586" s="3" t="str">
        <f t="shared" si="68"/>
        <v>APX00R7430Turbocharger RH</v>
      </c>
      <c r="T586" s="3" t="s">
        <v>47</v>
      </c>
      <c r="U586" s="3" t="s">
        <v>115</v>
      </c>
      <c r="V586" t="str">
        <f t="shared" si="69"/>
        <v>1052RI</v>
      </c>
    </row>
    <row r="587" spans="1:22">
      <c r="A587" t="s">
        <v>2494</v>
      </c>
      <c r="B587" t="s">
        <v>2495</v>
      </c>
      <c r="C587" t="s">
        <v>2511</v>
      </c>
      <c r="D587" t="s">
        <v>2512</v>
      </c>
      <c r="E587" t="s">
        <v>2513</v>
      </c>
      <c r="F587" t="s">
        <v>27</v>
      </c>
      <c r="G587">
        <v>1</v>
      </c>
      <c r="H587" t="s">
        <v>2499</v>
      </c>
      <c r="I587" t="s">
        <v>2500</v>
      </c>
      <c r="J587" t="s">
        <v>2501</v>
      </c>
      <c r="K587" t="s">
        <v>2502</v>
      </c>
      <c r="L587" t="s">
        <v>32</v>
      </c>
      <c r="M587" s="1" t="str">
        <f t="shared" si="63"/>
        <v>06D27</v>
      </c>
      <c r="N587" s="1" t="str">
        <f t="shared" si="64"/>
        <v>C/O</v>
      </c>
      <c r="O587" s="1" t="str">
        <f t="shared" si="65"/>
        <v>Engine</v>
      </c>
      <c r="P587" s="1" t="str">
        <f t="shared" si="66"/>
        <v>APX0</v>
      </c>
      <c r="Q587" s="2" t="str">
        <f t="shared" si="67"/>
        <v>APX0Engine</v>
      </c>
      <c r="R587" s="2" t="str">
        <f>New_Xref[[#This Row],[Serial Prefix]]&amp;IF(New_Xref[[#This Row],[Func Loc]]&lt;&gt;"",New_Xref[[#This Row],[Func Loc]],"NO MATCH")</f>
        <v>APX0ENGD</v>
      </c>
      <c r="S587" s="3" t="str">
        <f t="shared" si="68"/>
        <v>APX03936232XEngine</v>
      </c>
      <c r="T587" s="3" t="s">
        <v>2514</v>
      </c>
      <c r="U587" s="3" t="s">
        <v>34</v>
      </c>
      <c r="V587" t="str">
        <f t="shared" si="69"/>
        <v>120700</v>
      </c>
    </row>
    <row r="588" spans="1:22">
      <c r="A588" t="s">
        <v>2494</v>
      </c>
      <c r="B588" t="s">
        <v>2495</v>
      </c>
      <c r="C588" t="s">
        <v>2152</v>
      </c>
      <c r="D588" t="s">
        <v>2153</v>
      </c>
      <c r="E588" t="s">
        <v>2515</v>
      </c>
      <c r="F588" t="s">
        <v>27</v>
      </c>
      <c r="G588">
        <v>12</v>
      </c>
      <c r="H588" t="s">
        <v>2516</v>
      </c>
      <c r="I588" t="s">
        <v>2500</v>
      </c>
      <c r="J588" t="s">
        <v>2517</v>
      </c>
      <c r="K588" t="s">
        <v>2518</v>
      </c>
      <c r="L588" t="s">
        <v>62</v>
      </c>
      <c r="M588" s="1" t="str">
        <f t="shared" si="63"/>
        <v>06D27</v>
      </c>
      <c r="N588" s="1" t="str">
        <f t="shared" si="64"/>
        <v>C/O</v>
      </c>
      <c r="O588" s="1" t="str">
        <f t="shared" si="65"/>
        <v>Fuel Injectors</v>
      </c>
      <c r="P588" s="1" t="str">
        <f t="shared" si="66"/>
        <v>APX0</v>
      </c>
      <c r="Q588" s="2" t="str">
        <f t="shared" si="67"/>
        <v>APX0Fuel Injectors</v>
      </c>
      <c r="R588" s="2" t="str">
        <f>New_Xref[[#This Row],[Serial Prefix]]&amp;IF(New_Xref[[#This Row],[Func Loc]]&lt;&gt;"",New_Xref[[#This Row],[Func Loc]],"NO MATCH")</f>
        <v>APX0ENGD .FUEL.INJE</v>
      </c>
      <c r="S588" s="3" t="str">
        <f t="shared" si="68"/>
        <v>APX020R0849Fuel Injectors</v>
      </c>
      <c r="T588" s="3" t="s">
        <v>63</v>
      </c>
      <c r="U588" s="3" t="s">
        <v>34</v>
      </c>
      <c r="V588" t="str">
        <f t="shared" si="69"/>
        <v>125100</v>
      </c>
    </row>
    <row r="589" spans="1:22">
      <c r="A589" t="s">
        <v>2494</v>
      </c>
      <c r="B589" t="s">
        <v>2495</v>
      </c>
      <c r="C589" t="s">
        <v>2519</v>
      </c>
      <c r="D589" t="s">
        <v>2520</v>
      </c>
      <c r="E589" t="s">
        <v>2521</v>
      </c>
      <c r="F589" t="s">
        <v>27</v>
      </c>
      <c r="G589">
        <v>1</v>
      </c>
      <c r="H589" t="s">
        <v>2522</v>
      </c>
      <c r="I589" t="s">
        <v>2523</v>
      </c>
      <c r="J589" t="s">
        <v>2524</v>
      </c>
      <c r="K589" t="s">
        <v>2523</v>
      </c>
      <c r="L589" t="s">
        <v>67</v>
      </c>
      <c r="M589" s="1" t="str">
        <f t="shared" si="63"/>
        <v>06D27</v>
      </c>
      <c r="N589" s="1" t="str">
        <f t="shared" si="64"/>
        <v>C/O</v>
      </c>
      <c r="O589" s="1" t="str">
        <f t="shared" si="65"/>
        <v>Engine Radiator</v>
      </c>
      <c r="P589" s="1" t="str">
        <f t="shared" si="66"/>
        <v>APX0</v>
      </c>
      <c r="Q589" s="2" t="str">
        <f t="shared" si="67"/>
        <v>APX0Engine Radiator</v>
      </c>
      <c r="R589" s="2" t="str">
        <f>New_Xref[[#This Row],[Serial Prefix]]&amp;IF(New_Xref[[#This Row],[Func Loc]]&lt;&gt;"",New_Xref[[#This Row],[Func Loc]],"NO MATCH")</f>
        <v>APX0ENGD .ENCS.RADI</v>
      </c>
      <c r="S589" s="3" t="str">
        <f t="shared" si="68"/>
        <v>APX01630809FEngine Radiator</v>
      </c>
      <c r="T589" s="3" t="s">
        <v>68</v>
      </c>
      <c r="U589" s="3" t="s">
        <v>34</v>
      </c>
      <c r="V589" t="str">
        <f t="shared" si="69"/>
        <v>135300</v>
      </c>
    </row>
    <row r="590" spans="1:22">
      <c r="A590" t="s">
        <v>2494</v>
      </c>
      <c r="B590" t="s">
        <v>2495</v>
      </c>
      <c r="C590" t="s">
        <v>2525</v>
      </c>
      <c r="D590" t="s">
        <v>2526</v>
      </c>
      <c r="E590" t="s">
        <v>2527</v>
      </c>
      <c r="F590" t="s">
        <v>27</v>
      </c>
      <c r="G590">
        <v>1</v>
      </c>
      <c r="H590" t="s">
        <v>2528</v>
      </c>
      <c r="I590" t="s">
        <v>2529</v>
      </c>
      <c r="J590" t="s">
        <v>2530</v>
      </c>
      <c r="K590" t="s">
        <v>2529</v>
      </c>
      <c r="L590" t="s">
        <v>72</v>
      </c>
      <c r="M590" s="1" t="str">
        <f t="shared" si="63"/>
        <v>06D27</v>
      </c>
      <c r="N590" s="1" t="str">
        <f t="shared" si="64"/>
        <v>C/O</v>
      </c>
      <c r="O590" s="1" t="str">
        <f t="shared" si="65"/>
        <v>Transmission</v>
      </c>
      <c r="P590" s="1" t="str">
        <f t="shared" si="66"/>
        <v>APX0</v>
      </c>
      <c r="Q590" s="2" t="str">
        <f t="shared" si="67"/>
        <v>APX0Transmission</v>
      </c>
      <c r="R590" s="2" t="str">
        <f>New_Xref[[#This Row],[Serial Prefix]]&amp;IF(New_Xref[[#This Row],[Func Loc]]&lt;&gt;"",New_Xref[[#This Row],[Func Loc]],"NO MATCH")</f>
        <v>APX0TRAN .TRAN</v>
      </c>
      <c r="S590" s="3" t="str">
        <f t="shared" si="68"/>
        <v>APX03T0034XTransmission</v>
      </c>
      <c r="T590" s="3" t="s">
        <v>73</v>
      </c>
      <c r="U590" s="3" t="s">
        <v>34</v>
      </c>
      <c r="V590" t="str">
        <f t="shared" si="69"/>
        <v>303000</v>
      </c>
    </row>
    <row r="591" spans="1:22">
      <c r="A591" t="s">
        <v>2494</v>
      </c>
      <c r="B591" t="s">
        <v>2495</v>
      </c>
      <c r="C591" t="s">
        <v>2531</v>
      </c>
      <c r="D591" t="s">
        <v>2532</v>
      </c>
      <c r="E591" t="s">
        <v>2533</v>
      </c>
      <c r="F591" t="s">
        <v>27</v>
      </c>
      <c r="G591">
        <v>1</v>
      </c>
      <c r="H591" t="s">
        <v>2534</v>
      </c>
      <c r="I591" t="s">
        <v>2535</v>
      </c>
      <c r="J591" t="s">
        <v>2536</v>
      </c>
      <c r="K591" t="s">
        <v>2535</v>
      </c>
      <c r="L591" t="s">
        <v>83</v>
      </c>
      <c r="M591" s="1" t="str">
        <f t="shared" si="63"/>
        <v>06D27</v>
      </c>
      <c r="N591" s="1" t="str">
        <f t="shared" si="64"/>
        <v>C/O</v>
      </c>
      <c r="O591" s="1" t="str">
        <f t="shared" si="65"/>
        <v>Trans Charge/Scavenge Pump</v>
      </c>
      <c r="P591" s="1" t="str">
        <f t="shared" si="66"/>
        <v>APX0</v>
      </c>
      <c r="Q591" s="2" t="str">
        <f t="shared" si="67"/>
        <v>APX0Trans Charge/Scavenge Pump</v>
      </c>
      <c r="R591" s="2" t="str">
        <f>New_Xref[[#This Row],[Serial Prefix]]&amp;IF(New_Xref[[#This Row],[Func Loc]]&lt;&gt;"",New_Xref[[#This Row],[Func Loc]],"NO MATCH")</f>
        <v>APX0NO MATCH</v>
      </c>
      <c r="S591" s="3" t="str">
        <f t="shared" si="68"/>
        <v>APX00R7822Trans Charge/Scavenge Pump</v>
      </c>
      <c r="T591" s="3" t="s">
        <v>584</v>
      </c>
      <c r="U591" s="3" t="s">
        <v>34</v>
      </c>
      <c r="V591" t="str">
        <f t="shared" si="69"/>
        <v>306600</v>
      </c>
    </row>
    <row r="592" spans="1:22">
      <c r="A592" t="s">
        <v>2494</v>
      </c>
      <c r="B592" t="s">
        <v>2495</v>
      </c>
      <c r="C592" t="s">
        <v>2537</v>
      </c>
      <c r="D592" t="s">
        <v>2538</v>
      </c>
      <c r="E592" t="s">
        <v>453</v>
      </c>
      <c r="F592" t="s">
        <v>27</v>
      </c>
      <c r="G592">
        <v>1</v>
      </c>
      <c r="H592" t="s">
        <v>2539</v>
      </c>
      <c r="I592" t="s">
        <v>2540</v>
      </c>
      <c r="J592" t="s">
        <v>2541</v>
      </c>
      <c r="K592" t="s">
        <v>2540</v>
      </c>
      <c r="L592" t="s">
        <v>304</v>
      </c>
      <c r="M592" s="1" t="str">
        <f t="shared" si="63"/>
        <v>06D27</v>
      </c>
      <c r="N592" s="1" t="str">
        <f t="shared" si="64"/>
        <v>C/O</v>
      </c>
      <c r="O592" s="1" t="str">
        <f t="shared" si="65"/>
        <v>Torque Converter</v>
      </c>
      <c r="P592" s="1" t="str">
        <f t="shared" si="66"/>
        <v>APX0</v>
      </c>
      <c r="Q592" s="2" t="str">
        <f t="shared" si="67"/>
        <v>APX0Torque Converter</v>
      </c>
      <c r="R592" s="2" t="str">
        <f>New_Xref[[#This Row],[Serial Prefix]]&amp;IF(New_Xref[[#This Row],[Func Loc]]&lt;&gt;"",New_Xref[[#This Row],[Func Loc]],"NO MATCH")</f>
        <v>APX0TRAN .TOCO</v>
      </c>
      <c r="S592" s="3" t="str">
        <f t="shared" si="68"/>
        <v>APX01173357XTorque Converter</v>
      </c>
      <c r="T592" s="3" t="s">
        <v>305</v>
      </c>
      <c r="U592" s="3" t="s">
        <v>34</v>
      </c>
      <c r="V592" t="str">
        <f t="shared" si="69"/>
        <v>310100</v>
      </c>
    </row>
    <row r="593" spans="1:22">
      <c r="A593" t="s">
        <v>2494</v>
      </c>
      <c r="B593" t="s">
        <v>2495</v>
      </c>
      <c r="C593" t="s">
        <v>2542</v>
      </c>
      <c r="D593" t="s">
        <v>2543</v>
      </c>
      <c r="E593" t="s">
        <v>2544</v>
      </c>
      <c r="F593" t="s">
        <v>27</v>
      </c>
      <c r="G593">
        <v>1</v>
      </c>
      <c r="H593" t="s">
        <v>2545</v>
      </c>
      <c r="I593" t="s">
        <v>2546</v>
      </c>
      <c r="J593" t="s">
        <v>2547</v>
      </c>
      <c r="K593" t="s">
        <v>2546</v>
      </c>
      <c r="L593" t="s">
        <v>2548</v>
      </c>
      <c r="M593" s="1" t="str">
        <f t="shared" si="63"/>
        <v>06D27</v>
      </c>
      <c r="N593" s="1" t="str">
        <f t="shared" si="64"/>
        <v>C/O</v>
      </c>
      <c r="O593" s="1" t="str">
        <f t="shared" si="65"/>
        <v>Pump Drive</v>
      </c>
      <c r="P593" s="1" t="str">
        <f t="shared" si="66"/>
        <v>APX0</v>
      </c>
      <c r="Q593" s="2" t="str">
        <f t="shared" si="67"/>
        <v>APX0Pump Drive</v>
      </c>
      <c r="R593" s="2" t="str">
        <f>New_Xref[[#This Row],[Serial Prefix]]&amp;IF(New_Xref[[#This Row],[Func Loc]]&lt;&gt;"",New_Xref[[#This Row],[Func Loc]],"NO MATCH")</f>
        <v>APX0FDRV .SHAF.DS02</v>
      </c>
      <c r="S593" s="3" t="str">
        <f t="shared" si="68"/>
        <v>APX02A6546XPump Drive</v>
      </c>
      <c r="T593" s="3" t="s">
        <v>1234</v>
      </c>
      <c r="U593" s="3" t="s">
        <v>34</v>
      </c>
      <c r="V593" t="str">
        <f t="shared" si="69"/>
        <v>310800</v>
      </c>
    </row>
    <row r="594" spans="1:22">
      <c r="A594" t="s">
        <v>2494</v>
      </c>
      <c r="B594" t="s">
        <v>2495</v>
      </c>
      <c r="C594" t="s">
        <v>2549</v>
      </c>
      <c r="D594" t="s">
        <v>2550</v>
      </c>
      <c r="E594" t="s">
        <v>2551</v>
      </c>
      <c r="F594" t="s">
        <v>27</v>
      </c>
      <c r="G594">
        <v>1</v>
      </c>
      <c r="H594" t="s">
        <v>2552</v>
      </c>
      <c r="I594" t="s">
        <v>2553</v>
      </c>
      <c r="J594" t="s">
        <v>2554</v>
      </c>
      <c r="K594" t="s">
        <v>2555</v>
      </c>
      <c r="L594" t="s">
        <v>83</v>
      </c>
      <c r="M594" s="1" t="str">
        <f t="shared" si="63"/>
        <v>06D27</v>
      </c>
      <c r="N594" s="1" t="str">
        <f t="shared" si="64"/>
        <v>C/O</v>
      </c>
      <c r="O594" s="1" t="str">
        <f t="shared" si="65"/>
        <v>Driveshaft Main</v>
      </c>
      <c r="P594" s="1" t="str">
        <f t="shared" si="66"/>
        <v>APX0</v>
      </c>
      <c r="Q594" s="2" t="str">
        <f t="shared" si="67"/>
        <v>APX0Driveshaft Main</v>
      </c>
      <c r="R594" s="2" t="str">
        <f>New_Xref[[#This Row],[Serial Prefix]]&amp;IF(New_Xref[[#This Row],[Func Loc]]&lt;&gt;"",New_Xref[[#This Row],[Func Loc]],"NO MATCH")</f>
        <v>APX0NO MATCH</v>
      </c>
      <c r="S594" s="3" t="str">
        <f t="shared" si="68"/>
        <v>APX010R5186Driveshaft Main</v>
      </c>
      <c r="T594" s="3" t="s">
        <v>674</v>
      </c>
      <c r="U594" s="3" t="s">
        <v>34</v>
      </c>
      <c r="V594" t="str">
        <f t="shared" si="69"/>
        <v>325300</v>
      </c>
    </row>
    <row r="595" spans="1:22">
      <c r="A595" t="s">
        <v>2494</v>
      </c>
      <c r="B595" t="s">
        <v>2495</v>
      </c>
      <c r="C595" t="s">
        <v>2556</v>
      </c>
      <c r="D595" t="s">
        <v>2557</v>
      </c>
      <c r="E595" t="s">
        <v>459</v>
      </c>
      <c r="F595" t="s">
        <v>27</v>
      </c>
      <c r="G595">
        <v>1</v>
      </c>
      <c r="H595" t="s">
        <v>2558</v>
      </c>
      <c r="I595" t="s">
        <v>2559</v>
      </c>
      <c r="J595" t="s">
        <v>2560</v>
      </c>
      <c r="K595" t="s">
        <v>2559</v>
      </c>
      <c r="L595" t="s">
        <v>463</v>
      </c>
      <c r="M595" s="1" t="str">
        <f t="shared" si="63"/>
        <v>06D27</v>
      </c>
      <c r="N595" s="1" t="str">
        <f t="shared" si="64"/>
        <v>C/O</v>
      </c>
      <c r="O595" s="1" t="str">
        <f t="shared" si="65"/>
        <v>Differential</v>
      </c>
      <c r="P595" s="1" t="str">
        <f t="shared" si="66"/>
        <v>APX0</v>
      </c>
      <c r="Q595" s="2" t="str">
        <f t="shared" si="67"/>
        <v>APX0Differential</v>
      </c>
      <c r="R595" s="2" t="str">
        <f>New_Xref[[#This Row],[Serial Prefix]]&amp;IF(New_Xref[[#This Row],[Func Loc]]&lt;&gt;"",New_Xref[[#This Row],[Func Loc]],"NO MATCH")</f>
        <v>APX0FDRV .AXAR.DIFF</v>
      </c>
      <c r="S595" s="3" t="str">
        <f t="shared" si="68"/>
        <v>APX01306634XPDifferential</v>
      </c>
      <c r="T595" s="3" t="s">
        <v>464</v>
      </c>
      <c r="U595" s="3" t="s">
        <v>34</v>
      </c>
      <c r="V595" t="str">
        <f t="shared" si="69"/>
        <v>325800</v>
      </c>
    </row>
    <row r="596" spans="1:22">
      <c r="A596" t="s">
        <v>2494</v>
      </c>
      <c r="B596" t="s">
        <v>2495</v>
      </c>
      <c r="C596" t="s">
        <v>2561</v>
      </c>
      <c r="D596" t="s">
        <v>2562</v>
      </c>
      <c r="E596" t="s">
        <v>2563</v>
      </c>
      <c r="F596" t="s">
        <v>27</v>
      </c>
      <c r="G596">
        <v>1</v>
      </c>
      <c r="H596" t="s">
        <v>2564</v>
      </c>
      <c r="I596" t="s">
        <v>2565</v>
      </c>
      <c r="J596" t="s">
        <v>2566</v>
      </c>
      <c r="K596" t="s">
        <v>2565</v>
      </c>
      <c r="L596" t="s">
        <v>761</v>
      </c>
      <c r="M596" s="1" t="str">
        <f t="shared" si="63"/>
        <v>06D27</v>
      </c>
      <c r="N596" s="1" t="str">
        <f t="shared" si="64"/>
        <v>C/O</v>
      </c>
      <c r="O596" s="1" t="str">
        <f t="shared" si="65"/>
        <v>Hub &amp; Spindle LH</v>
      </c>
      <c r="P596" s="1" t="str">
        <f t="shared" si="66"/>
        <v>APX0</v>
      </c>
      <c r="Q596" s="2" t="str">
        <f t="shared" si="67"/>
        <v>APX0Hub &amp; Spindle LH</v>
      </c>
      <c r="R596" s="2" t="str">
        <f>New_Xref[[#This Row],[Serial Prefix]]&amp;IF(New_Xref[[#This Row],[Func Loc]]&lt;&gt;"",New_Xref[[#This Row],[Func Loc]],"NO MATCH")</f>
        <v>APX0FDRV .AXAF.HASL</v>
      </c>
      <c r="S596" s="3" t="str">
        <f t="shared" si="68"/>
        <v>APX03099597XLHub &amp; Spindle LH</v>
      </c>
      <c r="T596" t="s">
        <v>2441</v>
      </c>
      <c r="U596" t="s">
        <v>89</v>
      </c>
      <c r="V596" t="str">
        <f t="shared" si="69"/>
        <v>4016LF</v>
      </c>
    </row>
    <row r="597" spans="1:22">
      <c r="A597" t="s">
        <v>2494</v>
      </c>
      <c r="B597" t="s">
        <v>2495</v>
      </c>
      <c r="C597" t="s">
        <v>2567</v>
      </c>
      <c r="D597" t="s">
        <v>2568</v>
      </c>
      <c r="E597" t="s">
        <v>2569</v>
      </c>
      <c r="F597" t="s">
        <v>27</v>
      </c>
      <c r="G597">
        <v>1</v>
      </c>
      <c r="H597" t="s">
        <v>2570</v>
      </c>
      <c r="I597" t="s">
        <v>2571</v>
      </c>
      <c r="J597" t="s">
        <v>2572</v>
      </c>
      <c r="K597" t="s">
        <v>2571</v>
      </c>
      <c r="L597" t="s">
        <v>757</v>
      </c>
      <c r="M597" s="1" t="str">
        <f t="shared" si="63"/>
        <v>06D27</v>
      </c>
      <c r="N597" s="1" t="str">
        <f t="shared" si="64"/>
        <v>C/O</v>
      </c>
      <c r="O597" s="1" t="str">
        <f t="shared" si="65"/>
        <v>Hub &amp; Spindle RH</v>
      </c>
      <c r="P597" s="1" t="str">
        <f t="shared" si="66"/>
        <v>APX0</v>
      </c>
      <c r="Q597" s="2" t="str">
        <f t="shared" si="67"/>
        <v>APX0Hub &amp; Spindle RH</v>
      </c>
      <c r="R597" s="2" t="str">
        <f>New_Xref[[#This Row],[Serial Prefix]]&amp;IF(New_Xref[[#This Row],[Func Loc]]&lt;&gt;"",New_Xref[[#This Row],[Func Loc]],"NO MATCH")</f>
        <v>APX0FDRV .AXAF.HASR</v>
      </c>
      <c r="S597" s="3" t="str">
        <f t="shared" si="68"/>
        <v>APX03099597XRHub &amp; Spindle RH</v>
      </c>
      <c r="T597" t="s">
        <v>2441</v>
      </c>
      <c r="U597" t="s">
        <v>92</v>
      </c>
      <c r="V597" t="str">
        <f t="shared" si="69"/>
        <v>4016RF</v>
      </c>
    </row>
    <row r="598" spans="1:22">
      <c r="A598" t="s">
        <v>2494</v>
      </c>
      <c r="B598" t="s">
        <v>2495</v>
      </c>
      <c r="C598" t="s">
        <v>2573</v>
      </c>
      <c r="D598" t="s">
        <v>2574</v>
      </c>
      <c r="E598" t="s">
        <v>2575</v>
      </c>
      <c r="F598" t="s">
        <v>27</v>
      </c>
      <c r="G598">
        <v>1</v>
      </c>
      <c r="H598" t="s">
        <v>2576</v>
      </c>
      <c r="I598" t="s">
        <v>2577</v>
      </c>
      <c r="J598" t="s">
        <v>2578</v>
      </c>
      <c r="K598" t="s">
        <v>2577</v>
      </c>
      <c r="L598" t="s">
        <v>1605</v>
      </c>
      <c r="M598" s="1" t="str">
        <f t="shared" si="63"/>
        <v>06D27</v>
      </c>
      <c r="N598" s="1" t="str">
        <f t="shared" si="64"/>
        <v>C/O</v>
      </c>
      <c r="O598" s="1" t="str">
        <f t="shared" si="65"/>
        <v>Wheel Group LHR</v>
      </c>
      <c r="P598" s="1" t="str">
        <f t="shared" si="66"/>
        <v>APX0</v>
      </c>
      <c r="Q598" s="2" t="str">
        <f t="shared" si="67"/>
        <v>APX0Wheel Group LHR</v>
      </c>
      <c r="R598" s="2" t="str">
        <f>New_Xref[[#This Row],[Serial Prefix]]&amp;IF(New_Xref[[#This Row],[Func Loc]]&lt;&gt;"",New_Xref[[#This Row],[Func Loc]],"NO MATCH")</f>
        <v>APX0FDRV .AXAR.FDLH</v>
      </c>
      <c r="S598" s="3" t="str">
        <f t="shared" si="68"/>
        <v>APX03178378XWheel Group LHR</v>
      </c>
      <c r="T598" s="3" t="s">
        <v>2105</v>
      </c>
      <c r="U598" s="3" t="s">
        <v>96</v>
      </c>
      <c r="V598" t="str">
        <f t="shared" si="69"/>
        <v>4008LR</v>
      </c>
    </row>
    <row r="599" spans="1:22">
      <c r="A599" t="s">
        <v>2494</v>
      </c>
      <c r="B599" t="s">
        <v>2495</v>
      </c>
      <c r="C599" t="s">
        <v>2573</v>
      </c>
      <c r="D599" t="s">
        <v>2574</v>
      </c>
      <c r="E599" t="s">
        <v>2575</v>
      </c>
      <c r="F599" t="s">
        <v>27</v>
      </c>
      <c r="G599">
        <v>1</v>
      </c>
      <c r="H599" t="s">
        <v>2576</v>
      </c>
      <c r="I599" t="s">
        <v>2579</v>
      </c>
      <c r="J599" t="s">
        <v>2580</v>
      </c>
      <c r="K599" t="s">
        <v>2579</v>
      </c>
      <c r="L599" t="s">
        <v>1608</v>
      </c>
      <c r="M599" s="1" t="str">
        <f t="shared" si="63"/>
        <v>06D27</v>
      </c>
      <c r="N599" s="1" t="str">
        <f t="shared" si="64"/>
        <v>C/O</v>
      </c>
      <c r="O599" s="1" t="str">
        <f t="shared" si="65"/>
        <v>Wheel Group RHR</v>
      </c>
      <c r="P599" s="1" t="str">
        <f t="shared" si="66"/>
        <v>APX0</v>
      </c>
      <c r="Q599" s="2" t="str">
        <f t="shared" si="67"/>
        <v>APX0Wheel Group RHR</v>
      </c>
      <c r="R599" s="2" t="str">
        <f>New_Xref[[#This Row],[Serial Prefix]]&amp;IF(New_Xref[[#This Row],[Func Loc]]&lt;&gt;"",New_Xref[[#This Row],[Func Loc]],"NO MATCH")</f>
        <v>APX0FDRV .AXAR.FDRH</v>
      </c>
      <c r="S599" s="3" t="str">
        <f t="shared" si="68"/>
        <v>APX03178378XWheel Group RHR</v>
      </c>
      <c r="T599" s="3" t="s">
        <v>2105</v>
      </c>
      <c r="U599" s="3" t="s">
        <v>99</v>
      </c>
      <c r="V599" t="str">
        <f t="shared" si="69"/>
        <v>4008RR</v>
      </c>
    </row>
    <row r="600" spans="1:22">
      <c r="A600" t="s">
        <v>2494</v>
      </c>
      <c r="B600" t="s">
        <v>2495</v>
      </c>
      <c r="C600" t="s">
        <v>2561</v>
      </c>
      <c r="D600" t="s">
        <v>2562</v>
      </c>
      <c r="E600" t="s">
        <v>2581</v>
      </c>
      <c r="F600" t="s">
        <v>27</v>
      </c>
      <c r="G600">
        <v>1</v>
      </c>
      <c r="H600" t="s">
        <v>2582</v>
      </c>
      <c r="I600" t="s">
        <v>2583</v>
      </c>
      <c r="J600" t="s">
        <v>2566</v>
      </c>
      <c r="K600" t="s">
        <v>2565</v>
      </c>
      <c r="L600" t="s">
        <v>761</v>
      </c>
      <c r="M600" s="1" t="str">
        <f t="shared" si="63"/>
        <v>06D27</v>
      </c>
      <c r="N600" s="1" t="str">
        <f t="shared" si="64"/>
        <v>C/O</v>
      </c>
      <c r="O600" s="1" t="str">
        <f t="shared" si="65"/>
        <v>Hub &amp; Spindle LH</v>
      </c>
      <c r="P600" s="1" t="str">
        <f t="shared" si="66"/>
        <v>APX0</v>
      </c>
      <c r="Q600" s="2" t="str">
        <f t="shared" si="67"/>
        <v>APX0Hub &amp; Spindle LH</v>
      </c>
      <c r="R600" s="2" t="str">
        <f>New_Xref[[#This Row],[Serial Prefix]]&amp;IF(New_Xref[[#This Row],[Func Loc]]&lt;&gt;"",New_Xref[[#This Row],[Func Loc]],"NO MATCH")</f>
        <v>APX0FDRV .AXAF.HASL</v>
      </c>
      <c r="S600" s="3" t="str">
        <f t="shared" si="68"/>
        <v>APX03099597XLHub &amp; Spindle LH</v>
      </c>
      <c r="T600" s="2" t="s">
        <v>88</v>
      </c>
      <c r="U600" s="2" t="s">
        <v>89</v>
      </c>
      <c r="V600" t="str">
        <f t="shared" si="69"/>
        <v>4006LF</v>
      </c>
    </row>
    <row r="601" spans="1:22">
      <c r="A601" t="s">
        <v>2494</v>
      </c>
      <c r="B601" t="s">
        <v>2495</v>
      </c>
      <c r="C601" t="s">
        <v>2567</v>
      </c>
      <c r="D601" t="s">
        <v>2568</v>
      </c>
      <c r="E601" t="s">
        <v>2584</v>
      </c>
      <c r="F601" t="s">
        <v>27</v>
      </c>
      <c r="G601">
        <v>1</v>
      </c>
      <c r="H601" t="s">
        <v>2585</v>
      </c>
      <c r="I601" t="s">
        <v>2586</v>
      </c>
      <c r="J601" t="s">
        <v>2572</v>
      </c>
      <c r="K601" t="s">
        <v>2571</v>
      </c>
      <c r="L601" t="s">
        <v>757</v>
      </c>
      <c r="M601" s="1" t="str">
        <f t="shared" si="63"/>
        <v>06D27</v>
      </c>
      <c r="N601" s="1" t="str">
        <f t="shared" si="64"/>
        <v>C/O</v>
      </c>
      <c r="O601" s="1" t="str">
        <f t="shared" si="65"/>
        <v>Hub &amp; Spindle RH</v>
      </c>
      <c r="P601" s="1" t="str">
        <f t="shared" si="66"/>
        <v>APX0</v>
      </c>
      <c r="Q601" s="2" t="str">
        <f t="shared" si="67"/>
        <v>APX0Hub &amp; Spindle RH</v>
      </c>
      <c r="R601" s="2" t="str">
        <f>New_Xref[[#This Row],[Serial Prefix]]&amp;IF(New_Xref[[#This Row],[Func Loc]]&lt;&gt;"",New_Xref[[#This Row],[Func Loc]],"NO MATCH")</f>
        <v>APX0FDRV .AXAF.HASR</v>
      </c>
      <c r="S601" s="3" t="str">
        <f t="shared" si="68"/>
        <v>APX03099597XRHub &amp; Spindle RH</v>
      </c>
      <c r="T601" s="2" t="s">
        <v>88</v>
      </c>
      <c r="U601" s="2" t="s">
        <v>92</v>
      </c>
      <c r="V601" t="str">
        <f t="shared" si="69"/>
        <v>4006RF</v>
      </c>
    </row>
    <row r="602" spans="1:22">
      <c r="A602" t="s">
        <v>2494</v>
      </c>
      <c r="B602" t="s">
        <v>2587</v>
      </c>
      <c r="H602" t="s">
        <v>2588</v>
      </c>
      <c r="I602" t="s">
        <v>2589</v>
      </c>
      <c r="J602" t="s">
        <v>2590</v>
      </c>
      <c r="K602" t="s">
        <v>2591</v>
      </c>
      <c r="L602" t="s">
        <v>767</v>
      </c>
      <c r="M602" s="1" t="str">
        <f t="shared" si="63"/>
        <v>06H108</v>
      </c>
      <c r="N602" s="1" t="str">
        <f t="shared" si="64"/>
        <v>C/O</v>
      </c>
      <c r="O602" s="1" t="str">
        <f t="shared" si="65"/>
        <v>Steering Cylinder LH</v>
      </c>
      <c r="P602" s="1" t="str">
        <f t="shared" si="66"/>
        <v>APX0</v>
      </c>
      <c r="Q602" s="2" t="str">
        <f t="shared" si="67"/>
        <v>APX0Steering Cylinder LH</v>
      </c>
      <c r="R602" s="2" t="str">
        <f>New_Xref[[#This Row],[Serial Prefix]]&amp;IF(New_Xref[[#This Row],[Func Loc]]&lt;&gt;"",New_Xref[[#This Row],[Func Loc]],"NO MATCH")</f>
        <v>APX0STRG .CYLI.SC01</v>
      </c>
      <c r="S602" s="3" t="str">
        <f t="shared" si="68"/>
        <v>APX0Steering Cylinder LH</v>
      </c>
      <c r="T602" s="3" t="s">
        <v>107</v>
      </c>
      <c r="U602" s="3" t="s">
        <v>108</v>
      </c>
      <c r="V602" t="str">
        <f t="shared" si="69"/>
        <v>4303LT</v>
      </c>
    </row>
    <row r="603" spans="1:22">
      <c r="A603" t="s">
        <v>2494</v>
      </c>
      <c r="B603" t="s">
        <v>2495</v>
      </c>
      <c r="H603" t="s">
        <v>2588</v>
      </c>
      <c r="I603" t="s">
        <v>2592</v>
      </c>
      <c r="J603" t="s">
        <v>2593</v>
      </c>
      <c r="K603" t="s">
        <v>2594</v>
      </c>
      <c r="L603" t="s">
        <v>770</v>
      </c>
      <c r="M603" s="1" t="str">
        <f t="shared" si="63"/>
        <v>06D27</v>
      </c>
      <c r="N603" s="1" t="str">
        <f t="shared" si="64"/>
        <v>C/O</v>
      </c>
      <c r="O603" s="1" t="str">
        <f t="shared" si="65"/>
        <v>Steering Cylinder RH</v>
      </c>
      <c r="P603" s="1" t="str">
        <f t="shared" si="66"/>
        <v>APX0</v>
      </c>
      <c r="Q603" s="2" t="str">
        <f t="shared" si="67"/>
        <v>APX0Steering Cylinder RH</v>
      </c>
      <c r="R603" s="2" t="str">
        <f>New_Xref[[#This Row],[Serial Prefix]]&amp;IF(New_Xref[[#This Row],[Func Loc]]&lt;&gt;"",New_Xref[[#This Row],[Func Loc]],"NO MATCH")</f>
        <v>APX0STRG .CYLI.SC02</v>
      </c>
      <c r="S603" s="3" t="str">
        <f t="shared" si="68"/>
        <v>APX0Steering Cylinder RH</v>
      </c>
      <c r="T603" s="3" t="s">
        <v>107</v>
      </c>
      <c r="U603" s="3" t="s">
        <v>115</v>
      </c>
      <c r="V603" t="str">
        <f t="shared" si="69"/>
        <v>4303RI</v>
      </c>
    </row>
    <row r="604" spans="1:22">
      <c r="A604" t="s">
        <v>2494</v>
      </c>
      <c r="B604" t="s">
        <v>2495</v>
      </c>
      <c r="C604" t="s">
        <v>2595</v>
      </c>
      <c r="D604" t="s">
        <v>2596</v>
      </c>
      <c r="E604" t="s">
        <v>1788</v>
      </c>
      <c r="F604" t="s">
        <v>27</v>
      </c>
      <c r="G604">
        <v>1</v>
      </c>
      <c r="H604" t="s">
        <v>2597</v>
      </c>
      <c r="I604" t="s">
        <v>2598</v>
      </c>
      <c r="J604" t="s">
        <v>2599</v>
      </c>
      <c r="K604" t="s">
        <v>2598</v>
      </c>
      <c r="L604" t="s">
        <v>2358</v>
      </c>
      <c r="M604" s="1" t="str">
        <f t="shared" si="63"/>
        <v>06D27</v>
      </c>
      <c r="N604" s="1" t="str">
        <f t="shared" si="64"/>
        <v>C/O</v>
      </c>
      <c r="O604" s="1" t="str">
        <f t="shared" si="65"/>
        <v>Primary Steering Pump</v>
      </c>
      <c r="P604" s="1" t="str">
        <f t="shared" si="66"/>
        <v>APX0</v>
      </c>
      <c r="Q604" s="2" t="str">
        <f t="shared" si="67"/>
        <v>APX0Primary Steering Pump</v>
      </c>
      <c r="R604" s="2" t="str">
        <f>New_Xref[[#This Row],[Serial Prefix]]&amp;IF(New_Xref[[#This Row],[Func Loc]]&lt;&gt;"",New_Xref[[#This Row],[Func Loc]],"NO MATCH")</f>
        <v>APX0STRG .PUMP.SP01</v>
      </c>
      <c r="S604" s="3" t="str">
        <f t="shared" si="68"/>
        <v>APX010R9089Primary Steering Pump</v>
      </c>
      <c r="T604" s="3" t="s">
        <v>342</v>
      </c>
      <c r="U604" s="3" t="s">
        <v>34</v>
      </c>
      <c r="V604" t="str">
        <f t="shared" si="69"/>
        <v>430600</v>
      </c>
    </row>
    <row r="605" spans="1:22">
      <c r="A605" t="s">
        <v>2494</v>
      </c>
      <c r="B605" t="s">
        <v>2587</v>
      </c>
      <c r="C605" t="s">
        <v>2600</v>
      </c>
      <c r="D605" t="s">
        <v>2601</v>
      </c>
      <c r="E605" t="s">
        <v>2602</v>
      </c>
      <c r="F605" t="s">
        <v>27</v>
      </c>
      <c r="G605">
        <v>1</v>
      </c>
      <c r="H605" t="s">
        <v>2603</v>
      </c>
      <c r="I605" t="s">
        <v>2604</v>
      </c>
      <c r="J605" t="s">
        <v>2605</v>
      </c>
      <c r="K605" t="s">
        <v>2606</v>
      </c>
      <c r="L605" t="s">
        <v>83</v>
      </c>
      <c r="M605" s="1" t="str">
        <f t="shared" si="63"/>
        <v>06H108</v>
      </c>
      <c r="N605" s="1" t="str">
        <f t="shared" si="64"/>
        <v>C/O</v>
      </c>
      <c r="O605" s="1" t="str">
        <f t="shared" si="65"/>
        <v>Hoist Pump</v>
      </c>
      <c r="P605" s="1" t="str">
        <f t="shared" si="66"/>
        <v>APX0</v>
      </c>
      <c r="Q605" s="2" t="str">
        <f t="shared" si="67"/>
        <v>APX0Hoist Pump</v>
      </c>
      <c r="R605" s="2" t="str">
        <f>New_Xref[[#This Row],[Serial Prefix]]&amp;IF(New_Xref[[#This Row],[Func Loc]]&lt;&gt;"",New_Xref[[#This Row],[Func Loc]],"NO MATCH")</f>
        <v>APX0NO MATCH</v>
      </c>
      <c r="S605" s="3" t="str">
        <f t="shared" si="68"/>
        <v>APX010R7971Hoist Pump</v>
      </c>
      <c r="T605" s="3" t="s">
        <v>2607</v>
      </c>
      <c r="U605" s="3" t="s">
        <v>34</v>
      </c>
      <c r="V605" t="str">
        <f t="shared" si="69"/>
        <v>508300</v>
      </c>
    </row>
    <row r="606" spans="1:22">
      <c r="A606" t="s">
        <v>2494</v>
      </c>
      <c r="B606" t="s">
        <v>2495</v>
      </c>
      <c r="C606" t="s">
        <v>2600</v>
      </c>
      <c r="D606" t="s">
        <v>2601</v>
      </c>
      <c r="E606" t="s">
        <v>2602</v>
      </c>
      <c r="F606" t="s">
        <v>27</v>
      </c>
      <c r="G606">
        <v>1</v>
      </c>
      <c r="H606" t="s">
        <v>2603</v>
      </c>
      <c r="I606" t="s">
        <v>2608</v>
      </c>
      <c r="J606" t="s">
        <v>2609</v>
      </c>
      <c r="K606" t="s">
        <v>2608</v>
      </c>
      <c r="L606" t="s">
        <v>2610</v>
      </c>
      <c r="M606" s="1" t="str">
        <f t="shared" si="63"/>
        <v>06D27</v>
      </c>
      <c r="N606" s="1" t="str">
        <f t="shared" si="64"/>
        <v>C/O</v>
      </c>
      <c r="O606" s="1" t="str">
        <f t="shared" si="65"/>
        <v>Hoist &amp; Brake Cooling Pump</v>
      </c>
      <c r="P606" s="1" t="str">
        <f t="shared" si="66"/>
        <v>APX0</v>
      </c>
      <c r="Q606" s="2" t="str">
        <f t="shared" si="67"/>
        <v>APX0Hoist &amp; Brake Cooling Pump</v>
      </c>
      <c r="R606" s="2" t="str">
        <f>New_Xref[[#This Row],[Serial Prefix]]&amp;IF(New_Xref[[#This Row],[Func Loc]]&lt;&gt;"",New_Xref[[#This Row],[Func Loc]],"NO MATCH")</f>
        <v>APX0MYHD .PUMP</v>
      </c>
      <c r="S606" s="3" t="str">
        <f t="shared" si="68"/>
        <v>APX010R7971Hoist &amp; Brake Cooling Pump</v>
      </c>
      <c r="T606" s="3" t="s">
        <v>2607</v>
      </c>
      <c r="U606" s="3" t="s">
        <v>34</v>
      </c>
      <c r="V606" t="str">
        <f t="shared" si="69"/>
        <v>508300</v>
      </c>
    </row>
    <row r="607" spans="1:22">
      <c r="A607" t="s">
        <v>2494</v>
      </c>
      <c r="B607" t="s">
        <v>2611</v>
      </c>
      <c r="H607" t="s">
        <v>2612</v>
      </c>
      <c r="I607" t="s">
        <v>2613</v>
      </c>
      <c r="J607" t="s">
        <v>2614</v>
      </c>
      <c r="K607" t="s">
        <v>2613</v>
      </c>
      <c r="L607" t="s">
        <v>778</v>
      </c>
      <c r="M607" s="1" t="str">
        <f t="shared" si="63"/>
        <v>06H161</v>
      </c>
      <c r="N607" s="1" t="str">
        <f t="shared" si="64"/>
        <v>C/O</v>
      </c>
      <c r="O607" s="1" t="str">
        <f t="shared" si="65"/>
        <v>Suspension LHF</v>
      </c>
      <c r="P607" s="1" t="str">
        <f t="shared" si="66"/>
        <v>APX0</v>
      </c>
      <c r="Q607" s="2" t="str">
        <f t="shared" si="67"/>
        <v>APX0Suspension LHF</v>
      </c>
      <c r="R607" s="2" t="str">
        <f>New_Xref[[#This Row],[Serial Prefix]]&amp;IF(New_Xref[[#This Row],[Func Loc]]&lt;&gt;"",New_Xref[[#This Row],[Func Loc]],"NO MATCH")</f>
        <v>APX0STRU .SUGR.SG01</v>
      </c>
      <c r="S607" s="3" t="str">
        <f t="shared" si="68"/>
        <v>APX0Suspension LHF</v>
      </c>
      <c r="T607" s="3" t="s">
        <v>511</v>
      </c>
      <c r="U607" s="3" t="s">
        <v>89</v>
      </c>
      <c r="V607" t="str">
        <f t="shared" si="69"/>
        <v>7201LF</v>
      </c>
    </row>
    <row r="608" spans="1:22">
      <c r="A608" t="s">
        <v>2494</v>
      </c>
      <c r="B608" t="s">
        <v>2611</v>
      </c>
      <c r="H608" t="s">
        <v>2612</v>
      </c>
      <c r="I608" t="s">
        <v>2615</v>
      </c>
      <c r="J608" t="s">
        <v>2616</v>
      </c>
      <c r="K608" t="s">
        <v>2615</v>
      </c>
      <c r="L608" t="s">
        <v>781</v>
      </c>
      <c r="M608" s="1" t="str">
        <f t="shared" si="63"/>
        <v>06H161</v>
      </c>
      <c r="N608" s="1" t="str">
        <f t="shared" si="64"/>
        <v>C/O</v>
      </c>
      <c r="O608" s="1" t="str">
        <f t="shared" si="65"/>
        <v>Suspension RHF</v>
      </c>
      <c r="P608" s="1" t="str">
        <f t="shared" si="66"/>
        <v>APX0</v>
      </c>
      <c r="Q608" s="2" t="str">
        <f t="shared" si="67"/>
        <v>APX0Suspension RHF</v>
      </c>
      <c r="R608" s="2" t="str">
        <f>New_Xref[[#This Row],[Serial Prefix]]&amp;IF(New_Xref[[#This Row],[Func Loc]]&lt;&gt;"",New_Xref[[#This Row],[Func Loc]],"NO MATCH")</f>
        <v>APX0STRU .SUGR.SG02</v>
      </c>
      <c r="S608" s="3" t="str">
        <f t="shared" si="68"/>
        <v>APX0Suspension RHF</v>
      </c>
      <c r="T608" s="3" t="s">
        <v>511</v>
      </c>
      <c r="U608" s="3" t="s">
        <v>92</v>
      </c>
      <c r="V608" t="str">
        <f t="shared" si="69"/>
        <v>7201RF</v>
      </c>
    </row>
    <row r="609" spans="1:22">
      <c r="A609" t="s">
        <v>2494</v>
      </c>
      <c r="B609" t="s">
        <v>2617</v>
      </c>
      <c r="C609" t="s">
        <v>2618</v>
      </c>
      <c r="D609" t="s">
        <v>2619</v>
      </c>
      <c r="E609" t="s">
        <v>2620</v>
      </c>
      <c r="F609" t="s">
        <v>27</v>
      </c>
      <c r="G609">
        <v>1</v>
      </c>
      <c r="H609" t="s">
        <v>2621</v>
      </c>
      <c r="I609" t="s">
        <v>2622</v>
      </c>
      <c r="J609" t="s">
        <v>2623</v>
      </c>
      <c r="K609" t="s">
        <v>2622</v>
      </c>
      <c r="L609" t="s">
        <v>83</v>
      </c>
      <c r="M609" s="1" t="str">
        <f t="shared" si="63"/>
        <v>06H162</v>
      </c>
      <c r="N609" s="1" t="str">
        <f t="shared" si="64"/>
        <v>C/O</v>
      </c>
      <c r="O609" s="1" t="str">
        <f t="shared" si="65"/>
        <v>Suspension LHR O/C</v>
      </c>
      <c r="P609" s="1" t="str">
        <f t="shared" si="66"/>
        <v>APX0</v>
      </c>
      <c r="Q609" s="2" t="str">
        <f t="shared" si="67"/>
        <v>APX0Suspension LHR O/C</v>
      </c>
      <c r="R609" s="2" t="str">
        <f>New_Xref[[#This Row],[Serial Prefix]]&amp;IF(New_Xref[[#This Row],[Func Loc]]&lt;&gt;"",New_Xref[[#This Row],[Func Loc]],"NO MATCH")</f>
        <v>APX0NO MATCH</v>
      </c>
      <c r="S609" s="3" t="str">
        <f t="shared" si="68"/>
        <v>APX04568724XSuspension LHR O/C</v>
      </c>
      <c r="T609" s="3" t="s">
        <v>521</v>
      </c>
      <c r="U609" s="3" t="s">
        <v>96</v>
      </c>
      <c r="V609" t="str">
        <f t="shared" si="69"/>
        <v>7213LR</v>
      </c>
    </row>
    <row r="610" spans="1:22">
      <c r="A610" t="s">
        <v>2494</v>
      </c>
      <c r="B610" t="s">
        <v>2495</v>
      </c>
      <c r="C610" t="s">
        <v>2618</v>
      </c>
      <c r="D610" t="s">
        <v>2619</v>
      </c>
      <c r="E610" t="s">
        <v>2620</v>
      </c>
      <c r="F610" t="s">
        <v>27</v>
      </c>
      <c r="G610">
        <v>1</v>
      </c>
      <c r="H610" t="s">
        <v>2621</v>
      </c>
      <c r="I610" t="s">
        <v>2624</v>
      </c>
      <c r="J610" t="s">
        <v>2625</v>
      </c>
      <c r="K610" t="s">
        <v>2624</v>
      </c>
      <c r="L610" t="s">
        <v>788</v>
      </c>
      <c r="M610" s="1" t="str">
        <f t="shared" si="63"/>
        <v>06D27</v>
      </c>
      <c r="N610" s="1" t="str">
        <f t="shared" si="64"/>
        <v>C/O</v>
      </c>
      <c r="O610" s="1" t="str">
        <f t="shared" si="65"/>
        <v>Suspension LHR</v>
      </c>
      <c r="P610" s="1" t="str">
        <f t="shared" si="66"/>
        <v>APX0</v>
      </c>
      <c r="Q610" s="2" t="str">
        <f t="shared" si="67"/>
        <v>APX0Suspension LHR</v>
      </c>
      <c r="R610" s="2" t="str">
        <f>New_Xref[[#This Row],[Serial Prefix]]&amp;IF(New_Xref[[#This Row],[Func Loc]]&lt;&gt;"",New_Xref[[#This Row],[Func Loc]],"NO MATCH")</f>
        <v>APX0STRU .SUGR.SG03</v>
      </c>
      <c r="S610" s="3" t="str">
        <f t="shared" si="68"/>
        <v>APX04568724XSuspension LHR</v>
      </c>
      <c r="T610" s="3" t="s">
        <v>521</v>
      </c>
      <c r="U610" s="3" t="s">
        <v>96</v>
      </c>
      <c r="V610" t="str">
        <f t="shared" si="69"/>
        <v>7213LR</v>
      </c>
    </row>
    <row r="611" spans="1:22">
      <c r="A611" t="s">
        <v>2494</v>
      </c>
      <c r="B611" t="s">
        <v>2495</v>
      </c>
      <c r="C611" t="s">
        <v>2618</v>
      </c>
      <c r="D611" t="s">
        <v>2619</v>
      </c>
      <c r="E611" t="s">
        <v>2620</v>
      </c>
      <c r="F611" t="s">
        <v>27</v>
      </c>
      <c r="G611">
        <v>1</v>
      </c>
      <c r="H611" t="s">
        <v>2621</v>
      </c>
      <c r="I611" t="s">
        <v>2626</v>
      </c>
      <c r="J611" t="s">
        <v>2627</v>
      </c>
      <c r="K611" t="s">
        <v>2626</v>
      </c>
      <c r="L611" t="s">
        <v>791</v>
      </c>
      <c r="M611" s="1" t="str">
        <f t="shared" si="63"/>
        <v>06D27</v>
      </c>
      <c r="N611" s="1" t="str">
        <f t="shared" si="64"/>
        <v>C/O</v>
      </c>
      <c r="O611" s="1" t="str">
        <f t="shared" si="65"/>
        <v>Suspension RHR</v>
      </c>
      <c r="P611" s="1" t="str">
        <f t="shared" si="66"/>
        <v>APX0</v>
      </c>
      <c r="Q611" s="2" t="str">
        <f t="shared" si="67"/>
        <v>APX0Suspension RHR</v>
      </c>
      <c r="R611" s="2" t="str">
        <f>New_Xref[[#This Row],[Serial Prefix]]&amp;IF(New_Xref[[#This Row],[Func Loc]]&lt;&gt;"",New_Xref[[#This Row],[Func Loc]],"NO MATCH")</f>
        <v>APX0STRU .SUGR.SG04</v>
      </c>
      <c r="S611" s="3" t="str">
        <f t="shared" si="68"/>
        <v>APX04568724XSuspension RHR</v>
      </c>
      <c r="T611" s="3" t="s">
        <v>521</v>
      </c>
      <c r="U611" s="3" t="s">
        <v>99</v>
      </c>
      <c r="V611" t="str">
        <f t="shared" si="69"/>
        <v>7213RR</v>
      </c>
    </row>
    <row r="612" spans="1:22">
      <c r="A612" t="s">
        <v>2628</v>
      </c>
      <c r="B612" t="s">
        <v>2629</v>
      </c>
      <c r="C612" t="s">
        <v>2511</v>
      </c>
      <c r="D612" t="s">
        <v>2512</v>
      </c>
      <c r="E612" t="s">
        <v>2513</v>
      </c>
      <c r="F612" t="s">
        <v>27</v>
      </c>
      <c r="G612">
        <v>1</v>
      </c>
      <c r="H612" t="s">
        <v>2630</v>
      </c>
      <c r="I612" t="s">
        <v>2631</v>
      </c>
      <c r="J612" t="s">
        <v>2632</v>
      </c>
      <c r="K612" t="s">
        <v>2633</v>
      </c>
      <c r="L612" t="s">
        <v>32</v>
      </c>
      <c r="M612" s="1" t="str">
        <f t="shared" si="63"/>
        <v>06H721</v>
      </c>
      <c r="N612" s="1" t="str">
        <f t="shared" si="64"/>
        <v>C/O</v>
      </c>
      <c r="O612" s="1" t="str">
        <f t="shared" si="65"/>
        <v>Engine</v>
      </c>
      <c r="P612" s="1" t="str">
        <f t="shared" si="66"/>
        <v>DMC0</v>
      </c>
      <c r="Q612" s="2" t="str">
        <f t="shared" si="67"/>
        <v>DMC0Engine</v>
      </c>
      <c r="R612" s="2" t="str">
        <f>New_Xref[[#This Row],[Serial Prefix]]&amp;IF(New_Xref[[#This Row],[Func Loc]]&lt;&gt;"",New_Xref[[#This Row],[Func Loc]],"NO MATCH")</f>
        <v>DMC0ENGD</v>
      </c>
      <c r="S612" s="3" t="str">
        <f t="shared" si="68"/>
        <v>DMC03936232XEngine</v>
      </c>
      <c r="T612" s="3" t="s">
        <v>33</v>
      </c>
      <c r="U612" s="3" t="s">
        <v>34</v>
      </c>
      <c r="V612" t="str">
        <f t="shared" si="69"/>
        <v>100000</v>
      </c>
    </row>
    <row r="613" spans="1:22">
      <c r="A613" t="s">
        <v>2628</v>
      </c>
      <c r="B613" t="s">
        <v>2634</v>
      </c>
      <c r="C613" t="s">
        <v>2635</v>
      </c>
      <c r="D613" t="s">
        <v>2636</v>
      </c>
      <c r="E613" t="s">
        <v>2637</v>
      </c>
      <c r="F613" t="s">
        <v>27</v>
      </c>
      <c r="G613">
        <v>1</v>
      </c>
      <c r="H613" t="s">
        <v>2638</v>
      </c>
      <c r="I613" t="s">
        <v>2639</v>
      </c>
      <c r="J613" t="s">
        <v>2640</v>
      </c>
      <c r="K613" t="s">
        <v>2641</v>
      </c>
      <c r="L613" t="s">
        <v>32</v>
      </c>
      <c r="M613" s="1" t="str">
        <f t="shared" si="63"/>
        <v>06D327</v>
      </c>
      <c r="N613" s="1" t="str">
        <f t="shared" si="64"/>
        <v>C/O</v>
      </c>
      <c r="O613" s="1" t="str">
        <f t="shared" si="65"/>
        <v>Engine</v>
      </c>
      <c r="P613" s="1" t="str">
        <f t="shared" si="66"/>
        <v>DMC0</v>
      </c>
      <c r="Q613" s="2" t="str">
        <f t="shared" si="67"/>
        <v>DMC0Engine</v>
      </c>
      <c r="R613" s="2" t="str">
        <f>New_Xref[[#This Row],[Serial Prefix]]&amp;IF(New_Xref[[#This Row],[Func Loc]]&lt;&gt;"",New_Xref[[#This Row],[Func Loc]],"NO MATCH")</f>
        <v>DMC0ENGD</v>
      </c>
      <c r="S613" s="3" t="str">
        <f t="shared" si="68"/>
        <v>DMC03659313XEngine</v>
      </c>
      <c r="T613" s="3" t="s">
        <v>33</v>
      </c>
      <c r="U613" s="3" t="s">
        <v>34</v>
      </c>
      <c r="V613" t="str">
        <f t="shared" si="69"/>
        <v>100000</v>
      </c>
    </row>
    <row r="614" spans="1:22">
      <c r="A614" t="s">
        <v>2628</v>
      </c>
      <c r="B614" t="s">
        <v>2642</v>
      </c>
      <c r="C614" t="s">
        <v>2643</v>
      </c>
      <c r="D614" t="s">
        <v>2644</v>
      </c>
      <c r="E614" t="s">
        <v>2645</v>
      </c>
      <c r="F614" t="s">
        <v>27</v>
      </c>
      <c r="G614">
        <v>1</v>
      </c>
      <c r="H614" t="s">
        <v>2638</v>
      </c>
      <c r="I614" t="s">
        <v>2646</v>
      </c>
      <c r="J614" t="s">
        <v>2647</v>
      </c>
      <c r="K614" t="s">
        <v>2648</v>
      </c>
      <c r="L614" t="s">
        <v>32</v>
      </c>
      <c r="M614" s="1" t="str">
        <f t="shared" si="63"/>
        <v>06D367</v>
      </c>
      <c r="N614" s="1" t="str">
        <f t="shared" si="64"/>
        <v>C/O</v>
      </c>
      <c r="O614" s="1" t="str">
        <f t="shared" si="65"/>
        <v>Engine</v>
      </c>
      <c r="P614" s="1" t="str">
        <f t="shared" si="66"/>
        <v>DMC0</v>
      </c>
      <c r="Q614" s="2" t="str">
        <f t="shared" si="67"/>
        <v>DMC0Engine</v>
      </c>
      <c r="R614" s="2" t="str">
        <f>New_Xref[[#This Row],[Serial Prefix]]&amp;IF(New_Xref[[#This Row],[Func Loc]]&lt;&gt;"",New_Xref[[#This Row],[Func Loc]],"NO MATCH")</f>
        <v>DMC0ENGD</v>
      </c>
      <c r="S614" s="3" t="str">
        <f t="shared" si="68"/>
        <v>DMC05612194XEngine</v>
      </c>
      <c r="T614" s="3" t="s">
        <v>33</v>
      </c>
      <c r="U614" s="3" t="s">
        <v>34</v>
      </c>
      <c r="V614" t="str">
        <f t="shared" si="69"/>
        <v>100000</v>
      </c>
    </row>
    <row r="615" spans="1:22">
      <c r="A615" t="s">
        <v>2628</v>
      </c>
      <c r="B615" t="s">
        <v>2649</v>
      </c>
      <c r="C615" t="s">
        <v>2635</v>
      </c>
      <c r="D615" t="s">
        <v>2636</v>
      </c>
      <c r="E615" t="s">
        <v>2637</v>
      </c>
      <c r="F615" t="s">
        <v>27</v>
      </c>
      <c r="G615">
        <v>1</v>
      </c>
      <c r="H615" t="s">
        <v>2650</v>
      </c>
      <c r="I615" t="s">
        <v>2651</v>
      </c>
      <c r="J615" t="s">
        <v>2652</v>
      </c>
      <c r="K615" t="s">
        <v>2653</v>
      </c>
      <c r="L615" t="s">
        <v>32</v>
      </c>
      <c r="M615" s="1" t="str">
        <f t="shared" si="63"/>
        <v>06H637</v>
      </c>
      <c r="N615" s="1" t="str">
        <f t="shared" si="64"/>
        <v>C/O</v>
      </c>
      <c r="O615" s="1" t="str">
        <f t="shared" si="65"/>
        <v>Engine</v>
      </c>
      <c r="P615" s="1" t="str">
        <f t="shared" si="66"/>
        <v>MSY0</v>
      </c>
      <c r="Q615" s="2" t="str">
        <f t="shared" si="67"/>
        <v>MSY0Engine</v>
      </c>
      <c r="R615" s="2" t="str">
        <f>New_Xref[[#This Row],[Serial Prefix]]&amp;IF(New_Xref[[#This Row],[Func Loc]]&lt;&gt;"",New_Xref[[#This Row],[Func Loc]],"NO MATCH")</f>
        <v>MSY0ENGD</v>
      </c>
      <c r="S615" s="3" t="str">
        <f t="shared" si="68"/>
        <v>MSY03659313XEngine</v>
      </c>
      <c r="T615" s="3" t="s">
        <v>33</v>
      </c>
      <c r="U615" s="3" t="s">
        <v>34</v>
      </c>
      <c r="V615" t="str">
        <f t="shared" si="69"/>
        <v>100000</v>
      </c>
    </row>
    <row r="616" spans="1:22">
      <c r="A616" t="s">
        <v>2628</v>
      </c>
      <c r="B616" t="s">
        <v>2634</v>
      </c>
      <c r="C616" t="s">
        <v>2654</v>
      </c>
      <c r="D616" t="s">
        <v>2655</v>
      </c>
      <c r="E616" t="s">
        <v>263</v>
      </c>
      <c r="F616" t="s">
        <v>27</v>
      </c>
      <c r="G616">
        <v>1</v>
      </c>
      <c r="H616" t="s">
        <v>2656</v>
      </c>
      <c r="I616" t="s">
        <v>2639</v>
      </c>
      <c r="J616" t="s">
        <v>2657</v>
      </c>
      <c r="K616" t="s">
        <v>2658</v>
      </c>
      <c r="L616" t="s">
        <v>2659</v>
      </c>
      <c r="M616" s="1" t="str">
        <f t="shared" si="63"/>
        <v>06D327</v>
      </c>
      <c r="N616" s="1" t="str">
        <f t="shared" si="64"/>
        <v>C/O</v>
      </c>
      <c r="O616" s="1" t="str">
        <f t="shared" si="65"/>
        <v>Turbocharger LHF</v>
      </c>
      <c r="P616" s="1" t="str">
        <f t="shared" si="66"/>
        <v>DMC0</v>
      </c>
      <c r="Q616" s="2" t="str">
        <f t="shared" si="67"/>
        <v>DMC0Turbocharger LHF</v>
      </c>
      <c r="R616" s="2" t="str">
        <f>New_Xref[[#This Row],[Serial Prefix]]&amp;IF(New_Xref[[#This Row],[Func Loc]]&lt;&gt;"",New_Xref[[#This Row],[Func Loc]],"NO MATCH")</f>
        <v>DMC0ENGD .TURB.TCLF</v>
      </c>
      <c r="S616" s="3" t="str">
        <f t="shared" si="68"/>
        <v>DMC010R8799Turbocharger LHF</v>
      </c>
      <c r="T616" s="3" t="s">
        <v>47</v>
      </c>
      <c r="U616" s="3" t="s">
        <v>89</v>
      </c>
      <c r="V616" t="str">
        <f t="shared" si="69"/>
        <v>1052LF</v>
      </c>
    </row>
    <row r="617" spans="1:22">
      <c r="A617" t="s">
        <v>2628</v>
      </c>
      <c r="B617" t="s">
        <v>2634</v>
      </c>
      <c r="C617" t="s">
        <v>2654</v>
      </c>
      <c r="D617" t="s">
        <v>2655</v>
      </c>
      <c r="E617" t="s">
        <v>263</v>
      </c>
      <c r="F617" t="s">
        <v>27</v>
      </c>
      <c r="G617">
        <v>1</v>
      </c>
      <c r="H617" t="s">
        <v>2656</v>
      </c>
      <c r="I617" t="s">
        <v>2639</v>
      </c>
      <c r="J617" t="s">
        <v>2660</v>
      </c>
      <c r="K617" t="s">
        <v>2661</v>
      </c>
      <c r="L617" t="s">
        <v>2662</v>
      </c>
      <c r="M617" s="1" t="str">
        <f t="shared" si="63"/>
        <v>06D327</v>
      </c>
      <c r="N617" s="1" t="str">
        <f t="shared" si="64"/>
        <v>C/O</v>
      </c>
      <c r="O617" s="1" t="str">
        <f t="shared" si="65"/>
        <v>Turbocharger LHR</v>
      </c>
      <c r="P617" s="1" t="str">
        <f t="shared" si="66"/>
        <v>DMC0</v>
      </c>
      <c r="Q617" s="2" t="str">
        <f t="shared" si="67"/>
        <v>DMC0Turbocharger LHR</v>
      </c>
      <c r="R617" s="2" t="str">
        <f>New_Xref[[#This Row],[Serial Prefix]]&amp;IF(New_Xref[[#This Row],[Func Loc]]&lt;&gt;"",New_Xref[[#This Row],[Func Loc]],"NO MATCH")</f>
        <v>DMC0ENGD .TURB.TCLR</v>
      </c>
      <c r="S617" s="3" t="str">
        <f t="shared" si="68"/>
        <v>DMC010R8799Turbocharger LHR</v>
      </c>
      <c r="T617" s="3" t="s">
        <v>47</v>
      </c>
      <c r="U617" s="3" t="s">
        <v>96</v>
      </c>
      <c r="V617" t="str">
        <f t="shared" si="69"/>
        <v>1052LR</v>
      </c>
    </row>
    <row r="618" spans="1:22">
      <c r="A618" t="s">
        <v>2628</v>
      </c>
      <c r="B618" t="s">
        <v>2634</v>
      </c>
      <c r="C618" t="s">
        <v>2654</v>
      </c>
      <c r="D618" t="s">
        <v>2655</v>
      </c>
      <c r="E618" t="s">
        <v>263</v>
      </c>
      <c r="F618" t="s">
        <v>27</v>
      </c>
      <c r="G618">
        <v>1</v>
      </c>
      <c r="H618" t="s">
        <v>2656</v>
      </c>
      <c r="I618" t="s">
        <v>2639</v>
      </c>
      <c r="J618" t="s">
        <v>2663</v>
      </c>
      <c r="K618" t="s">
        <v>2664</v>
      </c>
      <c r="L618" t="s">
        <v>2665</v>
      </c>
      <c r="M618" s="1" t="str">
        <f t="shared" si="63"/>
        <v>06D327</v>
      </c>
      <c r="N618" s="1" t="str">
        <f t="shared" si="64"/>
        <v>C/O</v>
      </c>
      <c r="O618" s="1" t="str">
        <f t="shared" si="65"/>
        <v>Turbocharger RHF</v>
      </c>
      <c r="P618" s="1" t="str">
        <f t="shared" si="66"/>
        <v>DMC0</v>
      </c>
      <c r="Q618" s="2" t="str">
        <f t="shared" si="67"/>
        <v>DMC0Turbocharger RHF</v>
      </c>
      <c r="R618" s="2" t="str">
        <f>New_Xref[[#This Row],[Serial Prefix]]&amp;IF(New_Xref[[#This Row],[Func Loc]]&lt;&gt;"",New_Xref[[#This Row],[Func Loc]],"NO MATCH")</f>
        <v>DMC0ENGD .TURB.TCRF</v>
      </c>
      <c r="S618" s="3" t="str">
        <f t="shared" si="68"/>
        <v>DMC010R8799Turbocharger RHF</v>
      </c>
      <c r="T618" s="3" t="s">
        <v>47</v>
      </c>
      <c r="U618" s="3" t="s">
        <v>92</v>
      </c>
      <c r="V618" t="str">
        <f t="shared" si="69"/>
        <v>1052RF</v>
      </c>
    </row>
    <row r="619" spans="1:22">
      <c r="A619" t="s">
        <v>2628</v>
      </c>
      <c r="B619" t="s">
        <v>2634</v>
      </c>
      <c r="C619" t="s">
        <v>2654</v>
      </c>
      <c r="D619" t="s">
        <v>2655</v>
      </c>
      <c r="E619" t="s">
        <v>263</v>
      </c>
      <c r="F619" t="s">
        <v>27</v>
      </c>
      <c r="G619">
        <v>1</v>
      </c>
      <c r="H619" t="s">
        <v>2656</v>
      </c>
      <c r="I619" t="s">
        <v>2639</v>
      </c>
      <c r="J619" t="s">
        <v>2666</v>
      </c>
      <c r="K619" t="s">
        <v>2667</v>
      </c>
      <c r="L619" t="s">
        <v>2668</v>
      </c>
      <c r="M619" s="1" t="str">
        <f t="shared" si="63"/>
        <v>06D327</v>
      </c>
      <c r="N619" s="1" t="str">
        <f t="shared" si="64"/>
        <v>C/O</v>
      </c>
      <c r="O619" s="1" t="str">
        <f t="shared" si="65"/>
        <v>Turbocharger RHR</v>
      </c>
      <c r="P619" s="1" t="str">
        <f t="shared" si="66"/>
        <v>DMC0</v>
      </c>
      <c r="Q619" s="2" t="str">
        <f t="shared" si="67"/>
        <v>DMC0Turbocharger RHR</v>
      </c>
      <c r="R619" s="2" t="str">
        <f>New_Xref[[#This Row],[Serial Prefix]]&amp;IF(New_Xref[[#This Row],[Func Loc]]&lt;&gt;"",New_Xref[[#This Row],[Func Loc]],"NO MATCH")</f>
        <v>DMC0ENGD .TURB.TCRR</v>
      </c>
      <c r="S619" s="3" t="str">
        <f t="shared" si="68"/>
        <v>DMC010R8799Turbocharger RHR</v>
      </c>
      <c r="T619" s="3" t="s">
        <v>47</v>
      </c>
      <c r="U619" s="3" t="s">
        <v>99</v>
      </c>
      <c r="V619" t="str">
        <f t="shared" si="69"/>
        <v>1052RR</v>
      </c>
    </row>
    <row r="620" spans="1:22">
      <c r="A620" t="s">
        <v>2628</v>
      </c>
      <c r="B620" t="s">
        <v>2649</v>
      </c>
      <c r="C620" t="s">
        <v>2654</v>
      </c>
      <c r="D620" t="s">
        <v>2655</v>
      </c>
      <c r="E620" t="s">
        <v>263</v>
      </c>
      <c r="F620" t="s">
        <v>27</v>
      </c>
      <c r="G620">
        <v>1</v>
      </c>
      <c r="H620" t="s">
        <v>2669</v>
      </c>
      <c r="I620" t="s">
        <v>2651</v>
      </c>
      <c r="J620" t="s">
        <v>2670</v>
      </c>
      <c r="K620" t="s">
        <v>2671</v>
      </c>
      <c r="L620" t="s">
        <v>2659</v>
      </c>
      <c r="M620" s="1" t="str">
        <f t="shared" si="63"/>
        <v>06H637</v>
      </c>
      <c r="N620" s="1" t="str">
        <f t="shared" si="64"/>
        <v>C/O</v>
      </c>
      <c r="O620" s="1" t="str">
        <f t="shared" si="65"/>
        <v>Turbocharger LHF</v>
      </c>
      <c r="P620" s="1" t="str">
        <f t="shared" si="66"/>
        <v>MSY0</v>
      </c>
      <c r="Q620" s="2" t="str">
        <f t="shared" si="67"/>
        <v>MSY0Turbocharger LHF</v>
      </c>
      <c r="R620" s="2" t="str">
        <f>New_Xref[[#This Row],[Serial Prefix]]&amp;IF(New_Xref[[#This Row],[Func Loc]]&lt;&gt;"",New_Xref[[#This Row],[Func Loc]],"NO MATCH")</f>
        <v>MSY0ENGD .TURB.TCLF</v>
      </c>
      <c r="S620" s="3" t="str">
        <f t="shared" si="68"/>
        <v>MSY010R8799Turbocharger LHF</v>
      </c>
      <c r="T620" s="3" t="s">
        <v>47</v>
      </c>
      <c r="U620" s="3" t="s">
        <v>89</v>
      </c>
      <c r="V620" t="str">
        <f t="shared" si="69"/>
        <v>1052LF</v>
      </c>
    </row>
    <row r="621" spans="1:22">
      <c r="A621" t="s">
        <v>2628</v>
      </c>
      <c r="B621" t="s">
        <v>2649</v>
      </c>
      <c r="C621" t="s">
        <v>2654</v>
      </c>
      <c r="D621" t="s">
        <v>2655</v>
      </c>
      <c r="E621" t="s">
        <v>263</v>
      </c>
      <c r="F621" t="s">
        <v>27</v>
      </c>
      <c r="G621">
        <v>1</v>
      </c>
      <c r="H621" t="s">
        <v>2669</v>
      </c>
      <c r="I621" t="s">
        <v>2651</v>
      </c>
      <c r="J621" t="s">
        <v>2672</v>
      </c>
      <c r="K621" t="s">
        <v>2673</v>
      </c>
      <c r="L621" t="s">
        <v>2665</v>
      </c>
      <c r="M621" s="1" t="str">
        <f t="shared" si="63"/>
        <v>06H637</v>
      </c>
      <c r="N621" s="1" t="str">
        <f t="shared" si="64"/>
        <v>C/O</v>
      </c>
      <c r="O621" s="1" t="str">
        <f t="shared" si="65"/>
        <v>Turbocharger RHF</v>
      </c>
      <c r="P621" s="1" t="str">
        <f t="shared" si="66"/>
        <v>MSY0</v>
      </c>
      <c r="Q621" s="2" t="str">
        <f t="shared" si="67"/>
        <v>MSY0Turbocharger RHF</v>
      </c>
      <c r="R621" s="2" t="str">
        <f>New_Xref[[#This Row],[Serial Prefix]]&amp;IF(New_Xref[[#This Row],[Func Loc]]&lt;&gt;"",New_Xref[[#This Row],[Func Loc]],"NO MATCH")</f>
        <v>MSY0ENGD .TURB.TCRF</v>
      </c>
      <c r="S621" s="3" t="str">
        <f t="shared" si="68"/>
        <v>MSY010R8799Turbocharger RHF</v>
      </c>
      <c r="T621" s="3" t="s">
        <v>47</v>
      </c>
      <c r="U621" s="3" t="s">
        <v>92</v>
      </c>
      <c r="V621" t="str">
        <f t="shared" si="69"/>
        <v>1052RF</v>
      </c>
    </row>
    <row r="622" spans="1:22">
      <c r="A622" t="s">
        <v>2628</v>
      </c>
      <c r="B622" t="s">
        <v>2649</v>
      </c>
      <c r="C622" t="s">
        <v>2654</v>
      </c>
      <c r="D622" t="s">
        <v>2655</v>
      </c>
      <c r="E622" t="s">
        <v>263</v>
      </c>
      <c r="F622" t="s">
        <v>27</v>
      </c>
      <c r="G622">
        <v>1</v>
      </c>
      <c r="H622" t="s">
        <v>2669</v>
      </c>
      <c r="I622" t="s">
        <v>2651</v>
      </c>
      <c r="J622" t="s">
        <v>2674</v>
      </c>
      <c r="K622" t="s">
        <v>2675</v>
      </c>
      <c r="L622" t="s">
        <v>2662</v>
      </c>
      <c r="M622" s="1" t="str">
        <f t="shared" si="63"/>
        <v>06H637</v>
      </c>
      <c r="N622" s="1" t="str">
        <f t="shared" si="64"/>
        <v>C/O</v>
      </c>
      <c r="O622" s="1" t="str">
        <f t="shared" si="65"/>
        <v>Turbocharger LHR</v>
      </c>
      <c r="P622" s="1" t="str">
        <f t="shared" si="66"/>
        <v>MSY0</v>
      </c>
      <c r="Q622" s="2" t="str">
        <f t="shared" si="67"/>
        <v>MSY0Turbocharger LHR</v>
      </c>
      <c r="R622" s="2" t="str">
        <f>New_Xref[[#This Row],[Serial Prefix]]&amp;IF(New_Xref[[#This Row],[Func Loc]]&lt;&gt;"",New_Xref[[#This Row],[Func Loc]],"NO MATCH")</f>
        <v>MSY0ENGD .TURB.TCLR</v>
      </c>
      <c r="S622" s="3" t="str">
        <f t="shared" si="68"/>
        <v>MSY010R8799Turbocharger LHR</v>
      </c>
      <c r="T622" s="3" t="s">
        <v>47</v>
      </c>
      <c r="U622" s="3" t="s">
        <v>96</v>
      </c>
      <c r="V622" t="str">
        <f t="shared" si="69"/>
        <v>1052LR</v>
      </c>
    </row>
    <row r="623" spans="1:22">
      <c r="A623" t="s">
        <v>2628</v>
      </c>
      <c r="B623" t="s">
        <v>2649</v>
      </c>
      <c r="C623" t="s">
        <v>2654</v>
      </c>
      <c r="D623" t="s">
        <v>2655</v>
      </c>
      <c r="E623" t="s">
        <v>263</v>
      </c>
      <c r="F623" t="s">
        <v>27</v>
      </c>
      <c r="G623">
        <v>1</v>
      </c>
      <c r="H623" t="s">
        <v>2669</v>
      </c>
      <c r="I623" t="s">
        <v>2651</v>
      </c>
      <c r="J623" t="s">
        <v>2676</v>
      </c>
      <c r="K623" t="s">
        <v>2677</v>
      </c>
      <c r="L623" t="s">
        <v>2668</v>
      </c>
      <c r="M623" s="1" t="str">
        <f t="shared" si="63"/>
        <v>06H637</v>
      </c>
      <c r="N623" s="1" t="str">
        <f t="shared" si="64"/>
        <v>C/O</v>
      </c>
      <c r="O623" s="1" t="str">
        <f t="shared" si="65"/>
        <v>Turbocharger RHR</v>
      </c>
      <c r="P623" s="1" t="str">
        <f t="shared" si="66"/>
        <v>MSY0</v>
      </c>
      <c r="Q623" s="2" t="str">
        <f t="shared" si="67"/>
        <v>MSY0Turbocharger RHR</v>
      </c>
      <c r="R623" s="2" t="str">
        <f>New_Xref[[#This Row],[Serial Prefix]]&amp;IF(New_Xref[[#This Row],[Func Loc]]&lt;&gt;"",New_Xref[[#This Row],[Func Loc]],"NO MATCH")</f>
        <v>MSY0ENGD .TURB.TCRR</v>
      </c>
      <c r="S623" s="3" t="str">
        <f t="shared" si="68"/>
        <v>MSY010R8799Turbocharger RHR</v>
      </c>
      <c r="T623" s="3" t="s">
        <v>47</v>
      </c>
      <c r="U623" s="3" t="s">
        <v>99</v>
      </c>
      <c r="V623" t="str">
        <f t="shared" si="69"/>
        <v>1052RR</v>
      </c>
    </row>
    <row r="624" spans="1:22">
      <c r="A624" t="s">
        <v>2628</v>
      </c>
      <c r="B624" t="s">
        <v>2634</v>
      </c>
      <c r="C624" t="s">
        <v>1109</v>
      </c>
      <c r="D624" t="s">
        <v>1110</v>
      </c>
      <c r="E624" t="s">
        <v>2515</v>
      </c>
      <c r="F624" t="s">
        <v>27</v>
      </c>
      <c r="G624">
        <v>12</v>
      </c>
      <c r="H624" t="s">
        <v>2678</v>
      </c>
      <c r="I624" t="s">
        <v>2639</v>
      </c>
      <c r="J624" t="s">
        <v>2679</v>
      </c>
      <c r="K624" t="s">
        <v>2680</v>
      </c>
      <c r="L624" t="s">
        <v>83</v>
      </c>
      <c r="M624" s="1" t="str">
        <f t="shared" si="63"/>
        <v>06D327</v>
      </c>
      <c r="N624" s="1" t="str">
        <f t="shared" si="64"/>
        <v>C/O</v>
      </c>
      <c r="O624" s="1" t="str">
        <f t="shared" si="65"/>
        <v>Fuel Injectors</v>
      </c>
      <c r="P624" s="1" t="str">
        <f t="shared" si="66"/>
        <v>DMC0</v>
      </c>
      <c r="Q624" s="2" t="str">
        <f t="shared" si="67"/>
        <v>DMC0Fuel Injectors</v>
      </c>
      <c r="R624" s="2" t="str">
        <f>New_Xref[[#This Row],[Serial Prefix]]&amp;IF(New_Xref[[#This Row],[Func Loc]]&lt;&gt;"",New_Xref[[#This Row],[Func Loc]],"NO MATCH")</f>
        <v>DMC0NO MATCH</v>
      </c>
      <c r="S624" s="3" t="str">
        <f t="shared" si="68"/>
        <v>DMC020R0864Fuel Injectors</v>
      </c>
      <c r="T624" s="3" t="s">
        <v>63</v>
      </c>
      <c r="U624" s="3" t="s">
        <v>34</v>
      </c>
      <c r="V624" t="str">
        <f t="shared" si="69"/>
        <v>125100</v>
      </c>
    </row>
    <row r="625" spans="1:22">
      <c r="A625" t="s">
        <v>2628</v>
      </c>
      <c r="B625" t="s">
        <v>2649</v>
      </c>
      <c r="C625" t="s">
        <v>1109</v>
      </c>
      <c r="D625" t="s">
        <v>1110</v>
      </c>
      <c r="E625" t="s">
        <v>58</v>
      </c>
      <c r="F625" t="s">
        <v>27</v>
      </c>
      <c r="G625">
        <v>12</v>
      </c>
      <c r="H625" t="s">
        <v>2681</v>
      </c>
      <c r="I625" t="s">
        <v>2651</v>
      </c>
      <c r="J625" t="s">
        <v>2682</v>
      </c>
      <c r="K625" t="s">
        <v>2683</v>
      </c>
      <c r="L625" t="s">
        <v>83</v>
      </c>
      <c r="M625" s="1" t="str">
        <f t="shared" si="63"/>
        <v>06H637</v>
      </c>
      <c r="N625" s="1" t="str">
        <f t="shared" si="64"/>
        <v>C/O</v>
      </c>
      <c r="O625" s="1" t="str">
        <f t="shared" si="65"/>
        <v>Fuel Injectors</v>
      </c>
      <c r="P625" s="1" t="str">
        <f t="shared" si="66"/>
        <v>MSY0</v>
      </c>
      <c r="Q625" s="2" t="str">
        <f t="shared" si="67"/>
        <v>MSY0Fuel Injectors</v>
      </c>
      <c r="R625" s="2" t="str">
        <f>New_Xref[[#This Row],[Serial Prefix]]&amp;IF(New_Xref[[#This Row],[Func Loc]]&lt;&gt;"",New_Xref[[#This Row],[Func Loc]],"NO MATCH")</f>
        <v>MSY0NO MATCH</v>
      </c>
      <c r="S625" s="3" t="str">
        <f t="shared" si="68"/>
        <v>MSY020R0864Fuel Injectors</v>
      </c>
      <c r="T625" s="3" t="s">
        <v>63</v>
      </c>
      <c r="U625" s="3" t="s">
        <v>34</v>
      </c>
      <c r="V625" t="str">
        <f t="shared" si="69"/>
        <v>125100</v>
      </c>
    </row>
    <row r="626" spans="1:22">
      <c r="A626" t="s">
        <v>2628</v>
      </c>
      <c r="B626" t="s">
        <v>2634</v>
      </c>
      <c r="C626" t="s">
        <v>2684</v>
      </c>
      <c r="D626" t="s">
        <v>2685</v>
      </c>
      <c r="E626" t="s">
        <v>2686</v>
      </c>
      <c r="F626" t="s">
        <v>27</v>
      </c>
      <c r="G626">
        <v>1</v>
      </c>
      <c r="H626" t="s">
        <v>2687</v>
      </c>
      <c r="I626" t="s">
        <v>2688</v>
      </c>
      <c r="J626" t="s">
        <v>2689</v>
      </c>
      <c r="K626" t="s">
        <v>2688</v>
      </c>
      <c r="L626" t="s">
        <v>67</v>
      </c>
      <c r="M626" s="1" t="str">
        <f t="shared" si="63"/>
        <v>06D327</v>
      </c>
      <c r="N626" s="1" t="str">
        <f t="shared" si="64"/>
        <v>C/O</v>
      </c>
      <c r="O626" s="1" t="str">
        <f t="shared" si="65"/>
        <v>Engine Radiator</v>
      </c>
      <c r="P626" s="1" t="str">
        <f t="shared" si="66"/>
        <v>DMC0</v>
      </c>
      <c r="Q626" s="2" t="str">
        <f t="shared" si="67"/>
        <v>DMC0Engine Radiator</v>
      </c>
      <c r="R626" s="2" t="str">
        <f>New_Xref[[#This Row],[Serial Prefix]]&amp;IF(New_Xref[[#This Row],[Func Loc]]&lt;&gt;"",New_Xref[[#This Row],[Func Loc]],"NO MATCH")</f>
        <v>DMC0ENGD .ENCS.RADI</v>
      </c>
      <c r="S626" s="3" t="str">
        <f t="shared" si="68"/>
        <v>DMC03098457FEngine Radiator</v>
      </c>
      <c r="T626" s="3" t="s">
        <v>68</v>
      </c>
      <c r="U626" s="3" t="s">
        <v>34</v>
      </c>
      <c r="V626" t="str">
        <f t="shared" si="69"/>
        <v>135300</v>
      </c>
    </row>
    <row r="627" spans="1:22">
      <c r="A627" t="s">
        <v>2628</v>
      </c>
      <c r="B627" t="s">
        <v>2690</v>
      </c>
      <c r="C627" t="s">
        <v>2684</v>
      </c>
      <c r="D627" t="s">
        <v>2685</v>
      </c>
      <c r="E627" t="s">
        <v>2686</v>
      </c>
      <c r="F627" t="s">
        <v>27</v>
      </c>
      <c r="G627">
        <v>1</v>
      </c>
      <c r="H627" t="s">
        <v>2691</v>
      </c>
      <c r="I627" t="s">
        <v>2692</v>
      </c>
      <c r="J627" t="s">
        <v>2693</v>
      </c>
      <c r="K627" t="s">
        <v>2692</v>
      </c>
      <c r="L627" t="s">
        <v>67</v>
      </c>
      <c r="M627" s="1" t="str">
        <f t="shared" si="63"/>
        <v>06R915</v>
      </c>
      <c r="N627" s="1" t="str">
        <f t="shared" si="64"/>
        <v>C/O</v>
      </c>
      <c r="O627" s="1" t="str">
        <f t="shared" si="65"/>
        <v>Engine Radiator</v>
      </c>
      <c r="P627" s="1" t="str">
        <f t="shared" si="66"/>
        <v>MSY0</v>
      </c>
      <c r="Q627" s="2" t="str">
        <f t="shared" si="67"/>
        <v>MSY0Engine Radiator</v>
      </c>
      <c r="R627" s="2" t="str">
        <f>New_Xref[[#This Row],[Serial Prefix]]&amp;IF(New_Xref[[#This Row],[Func Loc]]&lt;&gt;"",New_Xref[[#This Row],[Func Loc]],"NO MATCH")</f>
        <v>MSY0ENGD .ENCS.RADI</v>
      </c>
      <c r="S627" s="3" t="str">
        <f t="shared" si="68"/>
        <v>MSY03098457FEngine Radiator</v>
      </c>
      <c r="T627" s="3" t="s">
        <v>68</v>
      </c>
      <c r="U627" s="3" t="s">
        <v>34</v>
      </c>
      <c r="V627" t="str">
        <f t="shared" si="69"/>
        <v>135300</v>
      </c>
    </row>
    <row r="628" spans="1:22">
      <c r="A628" t="s">
        <v>2628</v>
      </c>
      <c r="B628" t="s">
        <v>2629</v>
      </c>
      <c r="H628" t="s">
        <v>2694</v>
      </c>
      <c r="I628" t="s">
        <v>2631</v>
      </c>
      <c r="J628" t="s">
        <v>2695</v>
      </c>
      <c r="K628" t="s">
        <v>2696</v>
      </c>
      <c r="L628" t="s">
        <v>739</v>
      </c>
      <c r="M628" s="1" t="str">
        <f t="shared" si="63"/>
        <v>06H721</v>
      </c>
      <c r="N628" s="1" t="str">
        <f t="shared" si="64"/>
        <v>C/O</v>
      </c>
      <c r="O628" s="1" t="str">
        <f t="shared" si="65"/>
        <v>Water Pump Main</v>
      </c>
      <c r="P628" s="1" t="str">
        <f t="shared" si="66"/>
        <v>DMC0</v>
      </c>
      <c r="Q628" s="2" t="str">
        <f t="shared" si="67"/>
        <v>DMC0Water Pump Main</v>
      </c>
      <c r="R628" s="2" t="str">
        <f>New_Xref[[#This Row],[Serial Prefix]]&amp;IF(New_Xref[[#This Row],[Func Loc]]&lt;&gt;"",New_Xref[[#This Row],[Func Loc]],"NO MATCH")</f>
        <v>DMC0ENGD .WAPU.WP01</v>
      </c>
      <c r="S628" s="3" t="str">
        <f t="shared" si="68"/>
        <v>DMC0Water Pump Main</v>
      </c>
      <c r="T628" s="3" t="s">
        <v>183</v>
      </c>
      <c r="U628" s="3" t="s">
        <v>34</v>
      </c>
      <c r="V628" t="str">
        <f t="shared" si="69"/>
        <v>136100</v>
      </c>
    </row>
    <row r="629" spans="1:22">
      <c r="A629" t="s">
        <v>2628</v>
      </c>
      <c r="B629" t="s">
        <v>2649</v>
      </c>
      <c r="C629" t="s">
        <v>2697</v>
      </c>
      <c r="D629" t="s">
        <v>2698</v>
      </c>
      <c r="E629" t="s">
        <v>2699</v>
      </c>
      <c r="F629" t="s">
        <v>27</v>
      </c>
      <c r="G629">
        <v>1</v>
      </c>
      <c r="H629" t="s">
        <v>2700</v>
      </c>
      <c r="I629" t="s">
        <v>2651</v>
      </c>
      <c r="J629" t="s">
        <v>2701</v>
      </c>
      <c r="K629" t="s">
        <v>2702</v>
      </c>
      <c r="L629" t="s">
        <v>739</v>
      </c>
      <c r="M629" s="1" t="str">
        <f t="shared" si="63"/>
        <v>06H637</v>
      </c>
      <c r="N629" s="1" t="str">
        <f t="shared" si="64"/>
        <v>C/O</v>
      </c>
      <c r="O629" s="1" t="str">
        <f t="shared" si="65"/>
        <v>Water Pump Main</v>
      </c>
      <c r="P629" s="1" t="str">
        <f t="shared" si="66"/>
        <v>MSY0</v>
      </c>
      <c r="Q629" s="2" t="str">
        <f t="shared" si="67"/>
        <v>MSY0Water Pump Main</v>
      </c>
      <c r="R629" s="2" t="str">
        <f>New_Xref[[#This Row],[Serial Prefix]]&amp;IF(New_Xref[[#This Row],[Func Loc]]&lt;&gt;"",New_Xref[[#This Row],[Func Loc]],"NO MATCH")</f>
        <v>MSY0ENGD .WAPU.WP01</v>
      </c>
      <c r="S629" s="3" t="str">
        <f t="shared" si="68"/>
        <v>MSY010R1669Water Pump Main</v>
      </c>
      <c r="T629" s="3" t="s">
        <v>183</v>
      </c>
      <c r="U629" s="3" t="s">
        <v>34</v>
      </c>
      <c r="V629" t="str">
        <f t="shared" si="69"/>
        <v>136100</v>
      </c>
    </row>
    <row r="630" spans="1:22">
      <c r="A630" t="s">
        <v>2628</v>
      </c>
      <c r="B630" t="s">
        <v>2634</v>
      </c>
      <c r="C630" t="s">
        <v>2525</v>
      </c>
      <c r="D630" t="s">
        <v>2526</v>
      </c>
      <c r="E630" t="s">
        <v>2527</v>
      </c>
      <c r="F630" t="s">
        <v>27</v>
      </c>
      <c r="G630">
        <v>1</v>
      </c>
      <c r="H630" t="s">
        <v>2703</v>
      </c>
      <c r="I630" t="s">
        <v>2704</v>
      </c>
      <c r="J630" t="s">
        <v>2705</v>
      </c>
      <c r="K630" t="s">
        <v>2704</v>
      </c>
      <c r="L630" t="s">
        <v>72</v>
      </c>
      <c r="M630" s="1" t="str">
        <f t="shared" si="63"/>
        <v>06D327</v>
      </c>
      <c r="N630" s="1" t="str">
        <f t="shared" si="64"/>
        <v>C/O</v>
      </c>
      <c r="O630" s="1" t="str">
        <f t="shared" si="65"/>
        <v>Transmission</v>
      </c>
      <c r="P630" s="1" t="str">
        <f t="shared" si="66"/>
        <v>DMC0</v>
      </c>
      <c r="Q630" s="2" t="str">
        <f t="shared" si="67"/>
        <v>DMC0Transmission</v>
      </c>
      <c r="R630" s="2" t="str">
        <f>New_Xref[[#This Row],[Serial Prefix]]&amp;IF(New_Xref[[#This Row],[Func Loc]]&lt;&gt;"",New_Xref[[#This Row],[Func Loc]],"NO MATCH")</f>
        <v>DMC0TRAN .TRAN</v>
      </c>
      <c r="S630" s="3" t="str">
        <f t="shared" si="68"/>
        <v>DMC03T0034XTransmission</v>
      </c>
      <c r="T630" s="3" t="s">
        <v>73</v>
      </c>
      <c r="U630" s="3" t="s">
        <v>34</v>
      </c>
      <c r="V630" t="str">
        <f t="shared" si="69"/>
        <v>303000</v>
      </c>
    </row>
    <row r="631" spans="1:22">
      <c r="A631" t="s">
        <v>2628</v>
      </c>
      <c r="B631" t="s">
        <v>2649</v>
      </c>
      <c r="C631" t="s">
        <v>2525</v>
      </c>
      <c r="D631" t="s">
        <v>2526</v>
      </c>
      <c r="E631" t="s">
        <v>2527</v>
      </c>
      <c r="F631" t="s">
        <v>27</v>
      </c>
      <c r="G631">
        <v>1</v>
      </c>
      <c r="H631" t="s">
        <v>2706</v>
      </c>
      <c r="I631" t="s">
        <v>2707</v>
      </c>
      <c r="J631" t="s">
        <v>2708</v>
      </c>
      <c r="K631" t="s">
        <v>2707</v>
      </c>
      <c r="L631" t="s">
        <v>72</v>
      </c>
      <c r="M631" s="1" t="str">
        <f t="shared" si="63"/>
        <v>06H637</v>
      </c>
      <c r="N631" s="1" t="str">
        <f t="shared" si="64"/>
        <v>C/O</v>
      </c>
      <c r="O631" s="1" t="str">
        <f t="shared" si="65"/>
        <v>Transmission</v>
      </c>
      <c r="P631" s="1" t="str">
        <f t="shared" si="66"/>
        <v>MSY0</v>
      </c>
      <c r="Q631" s="2" t="str">
        <f t="shared" si="67"/>
        <v>MSY0Transmission</v>
      </c>
      <c r="R631" s="2" t="str">
        <f>New_Xref[[#This Row],[Serial Prefix]]&amp;IF(New_Xref[[#This Row],[Func Loc]]&lt;&gt;"",New_Xref[[#This Row],[Func Loc]],"NO MATCH")</f>
        <v>MSY0TRAN .TRAN</v>
      </c>
      <c r="S631" s="3" t="str">
        <f t="shared" si="68"/>
        <v>MSY03T0034XTransmission</v>
      </c>
      <c r="T631" s="3" t="s">
        <v>73</v>
      </c>
      <c r="U631" s="3" t="s">
        <v>34</v>
      </c>
      <c r="V631" t="str">
        <f t="shared" si="69"/>
        <v>303000</v>
      </c>
    </row>
    <row r="632" spans="1:22">
      <c r="A632" t="s">
        <v>2628</v>
      </c>
      <c r="B632" t="s">
        <v>2634</v>
      </c>
      <c r="C632" t="s">
        <v>2531</v>
      </c>
      <c r="D632" t="s">
        <v>2532</v>
      </c>
      <c r="E632" t="s">
        <v>2533</v>
      </c>
      <c r="F632" t="s">
        <v>27</v>
      </c>
      <c r="G632">
        <v>1</v>
      </c>
      <c r="H632" t="s">
        <v>2709</v>
      </c>
      <c r="I632" t="s">
        <v>2710</v>
      </c>
      <c r="J632" t="s">
        <v>2711</v>
      </c>
      <c r="K632" t="s">
        <v>2710</v>
      </c>
      <c r="L632" t="s">
        <v>2275</v>
      </c>
      <c r="M632" s="1" t="str">
        <f t="shared" si="63"/>
        <v>06D327</v>
      </c>
      <c r="N632" s="1" t="str">
        <f t="shared" si="64"/>
        <v>C/O</v>
      </c>
      <c r="O632" s="1" t="str">
        <f t="shared" si="65"/>
        <v>Transmission Pump</v>
      </c>
      <c r="P632" s="1" t="str">
        <f t="shared" si="66"/>
        <v>DMC0</v>
      </c>
      <c r="Q632" s="2" t="str">
        <f t="shared" si="67"/>
        <v>DMC0Transmission Pump</v>
      </c>
      <c r="R632" s="2" t="str">
        <f>New_Xref[[#This Row],[Serial Prefix]]&amp;IF(New_Xref[[#This Row],[Func Loc]]&lt;&gt;"",New_Xref[[#This Row],[Func Loc]],"NO MATCH")</f>
        <v>DMC0TRAN .PUMP.DP01</v>
      </c>
      <c r="S632" s="3" t="str">
        <f t="shared" si="68"/>
        <v>DMC00R7822Transmission Pump</v>
      </c>
      <c r="T632" s="3" t="s">
        <v>584</v>
      </c>
      <c r="U632" s="3" t="s">
        <v>34</v>
      </c>
      <c r="V632" t="str">
        <f t="shared" si="69"/>
        <v>306600</v>
      </c>
    </row>
    <row r="633" spans="1:22">
      <c r="A633" t="s">
        <v>2628</v>
      </c>
      <c r="B633" t="s">
        <v>2690</v>
      </c>
      <c r="C633" t="s">
        <v>2531</v>
      </c>
      <c r="D633" t="s">
        <v>2532</v>
      </c>
      <c r="E633" t="s">
        <v>2533</v>
      </c>
      <c r="F633" t="s">
        <v>27</v>
      </c>
      <c r="G633">
        <v>1</v>
      </c>
      <c r="H633" t="s">
        <v>2712</v>
      </c>
      <c r="I633" t="s">
        <v>2713</v>
      </c>
      <c r="J633" t="s">
        <v>2714</v>
      </c>
      <c r="K633" t="s">
        <v>2713</v>
      </c>
      <c r="L633" t="s">
        <v>2275</v>
      </c>
      <c r="M633" s="1" t="str">
        <f t="shared" si="63"/>
        <v>06R915</v>
      </c>
      <c r="N633" s="1" t="str">
        <f t="shared" si="64"/>
        <v>C/O</v>
      </c>
      <c r="O633" s="1" t="str">
        <f t="shared" si="65"/>
        <v>Transmission Pump</v>
      </c>
      <c r="P633" s="1" t="str">
        <f t="shared" si="66"/>
        <v>MSY0</v>
      </c>
      <c r="Q633" s="2" t="str">
        <f t="shared" si="67"/>
        <v>MSY0Transmission Pump</v>
      </c>
      <c r="R633" s="2" t="str">
        <f>New_Xref[[#This Row],[Serial Prefix]]&amp;IF(New_Xref[[#This Row],[Func Loc]]&lt;&gt;"",New_Xref[[#This Row],[Func Loc]],"NO MATCH")</f>
        <v>MSY0TRAN .PUMP.DP01</v>
      </c>
      <c r="S633" s="3" t="str">
        <f t="shared" si="68"/>
        <v>MSY00R7822Transmission Pump</v>
      </c>
      <c r="T633" s="3" t="s">
        <v>584</v>
      </c>
      <c r="U633" s="3" t="s">
        <v>34</v>
      </c>
      <c r="V633" t="str">
        <f t="shared" si="69"/>
        <v>306600</v>
      </c>
    </row>
    <row r="634" spans="1:22">
      <c r="A634" t="s">
        <v>2628</v>
      </c>
      <c r="B634" t="s">
        <v>2629</v>
      </c>
      <c r="C634" t="s">
        <v>2537</v>
      </c>
      <c r="D634" t="s">
        <v>2538</v>
      </c>
      <c r="E634" t="s">
        <v>453</v>
      </c>
      <c r="F634" t="s">
        <v>27</v>
      </c>
      <c r="G634">
        <v>1</v>
      </c>
      <c r="H634" t="s">
        <v>2715</v>
      </c>
      <c r="I634" t="s">
        <v>2716</v>
      </c>
      <c r="J634" t="s">
        <v>2717</v>
      </c>
      <c r="K634" t="s">
        <v>2716</v>
      </c>
      <c r="L634" t="s">
        <v>304</v>
      </c>
      <c r="M634" s="1" t="str">
        <f t="shared" si="63"/>
        <v>06H721</v>
      </c>
      <c r="N634" s="1" t="str">
        <f t="shared" si="64"/>
        <v>C/O</v>
      </c>
      <c r="O634" s="1" t="str">
        <f t="shared" si="65"/>
        <v>Torque Converter</v>
      </c>
      <c r="P634" s="1" t="str">
        <f t="shared" si="66"/>
        <v>DMC0</v>
      </c>
      <c r="Q634" s="2" t="str">
        <f t="shared" si="67"/>
        <v>DMC0Torque Converter</v>
      </c>
      <c r="R634" s="2" t="str">
        <f>New_Xref[[#This Row],[Serial Prefix]]&amp;IF(New_Xref[[#This Row],[Func Loc]]&lt;&gt;"",New_Xref[[#This Row],[Func Loc]],"NO MATCH")</f>
        <v>DMC0TRAN .TOCO</v>
      </c>
      <c r="S634" s="3" t="str">
        <f t="shared" si="68"/>
        <v>DMC01173357XTorque Converter</v>
      </c>
      <c r="T634" s="3" t="s">
        <v>305</v>
      </c>
      <c r="U634" s="3" t="s">
        <v>34</v>
      </c>
      <c r="V634" t="str">
        <f t="shared" si="69"/>
        <v>310100</v>
      </c>
    </row>
    <row r="635" spans="1:22">
      <c r="A635" t="s">
        <v>2628</v>
      </c>
      <c r="B635" t="s">
        <v>2690</v>
      </c>
      <c r="C635" t="s">
        <v>2718</v>
      </c>
      <c r="D635" t="s">
        <v>2538</v>
      </c>
      <c r="E635" t="s">
        <v>2719</v>
      </c>
      <c r="F635" t="s">
        <v>27</v>
      </c>
      <c r="G635">
        <v>1</v>
      </c>
      <c r="H635" t="s">
        <v>2720</v>
      </c>
      <c r="I635" t="s">
        <v>2721</v>
      </c>
      <c r="J635" t="s">
        <v>2722</v>
      </c>
      <c r="K635" t="s">
        <v>2721</v>
      </c>
      <c r="L635" t="s">
        <v>304</v>
      </c>
      <c r="M635" s="1" t="str">
        <f t="shared" si="63"/>
        <v>06R915</v>
      </c>
      <c r="N635" s="1" t="str">
        <f t="shared" si="64"/>
        <v>C/O</v>
      </c>
      <c r="O635" s="1" t="str">
        <f t="shared" si="65"/>
        <v>Torque Converter</v>
      </c>
      <c r="P635" s="1" t="str">
        <f t="shared" si="66"/>
        <v>MSY0</v>
      </c>
      <c r="Q635" s="2" t="str">
        <f t="shared" si="67"/>
        <v>MSY0Torque Converter</v>
      </c>
      <c r="R635" s="2" t="str">
        <f>New_Xref[[#This Row],[Serial Prefix]]&amp;IF(New_Xref[[#This Row],[Func Loc]]&lt;&gt;"",New_Xref[[#This Row],[Func Loc]],"NO MATCH")</f>
        <v>MSY0TRAN .TOCO</v>
      </c>
      <c r="S635" s="3" t="str">
        <f t="shared" si="68"/>
        <v>MSY01173357XTorque Converter</v>
      </c>
      <c r="T635" s="3" t="s">
        <v>305</v>
      </c>
      <c r="U635" s="3" t="s">
        <v>34</v>
      </c>
      <c r="V635" t="str">
        <f t="shared" si="69"/>
        <v>310100</v>
      </c>
    </row>
    <row r="636" spans="1:22">
      <c r="A636" t="s">
        <v>2628</v>
      </c>
      <c r="B636" t="s">
        <v>2634</v>
      </c>
      <c r="C636" t="s">
        <v>2542</v>
      </c>
      <c r="D636" t="s">
        <v>2543</v>
      </c>
      <c r="E636" t="s">
        <v>2544</v>
      </c>
      <c r="F636" t="s">
        <v>27</v>
      </c>
      <c r="G636">
        <v>1</v>
      </c>
      <c r="H636" t="s">
        <v>2723</v>
      </c>
      <c r="I636" t="s">
        <v>2724</v>
      </c>
      <c r="J636" t="s">
        <v>2725</v>
      </c>
      <c r="K636" t="s">
        <v>2724</v>
      </c>
      <c r="L636" t="s">
        <v>83</v>
      </c>
      <c r="M636" s="1" t="str">
        <f t="shared" si="63"/>
        <v>06D327</v>
      </c>
      <c r="N636" s="1" t="str">
        <f t="shared" si="64"/>
        <v>C/O</v>
      </c>
      <c r="O636" s="1" t="str">
        <f t="shared" si="65"/>
        <v>Main Pump Drive Trans</v>
      </c>
      <c r="P636" s="1" t="str">
        <f t="shared" si="66"/>
        <v>DMC0</v>
      </c>
      <c r="Q636" s="2" t="str">
        <f t="shared" si="67"/>
        <v>DMC0Main Pump Drive Trans</v>
      </c>
      <c r="R636" s="2" t="str">
        <f>New_Xref[[#This Row],[Serial Prefix]]&amp;IF(New_Xref[[#This Row],[Func Loc]]&lt;&gt;"",New_Xref[[#This Row],[Func Loc]],"NO MATCH")</f>
        <v>DMC0NO MATCH</v>
      </c>
      <c r="S636" s="3" t="str">
        <f t="shared" si="68"/>
        <v>DMC02A6546XMain Pump Drive Trans</v>
      </c>
      <c r="T636" s="3" t="s">
        <v>1234</v>
      </c>
      <c r="U636" s="3" t="s">
        <v>34</v>
      </c>
      <c r="V636" t="str">
        <f t="shared" si="69"/>
        <v>310800</v>
      </c>
    </row>
    <row r="637" spans="1:22">
      <c r="A637" t="s">
        <v>2628</v>
      </c>
      <c r="B637" t="s">
        <v>2690</v>
      </c>
      <c r="C637" t="s">
        <v>2542</v>
      </c>
      <c r="D637" t="s">
        <v>2543</v>
      </c>
      <c r="E637" t="s">
        <v>2544</v>
      </c>
      <c r="F637" t="s">
        <v>27</v>
      </c>
      <c r="G637">
        <v>1</v>
      </c>
      <c r="H637" t="s">
        <v>2726</v>
      </c>
      <c r="I637" t="s">
        <v>2727</v>
      </c>
      <c r="J637" t="s">
        <v>2728</v>
      </c>
      <c r="K637" t="s">
        <v>2727</v>
      </c>
      <c r="L637" t="s">
        <v>83</v>
      </c>
      <c r="M637" s="1" t="str">
        <f t="shared" si="63"/>
        <v>06R915</v>
      </c>
      <c r="N637" s="1" t="str">
        <f t="shared" si="64"/>
        <v>C/O</v>
      </c>
      <c r="O637" s="1" t="str">
        <f t="shared" si="65"/>
        <v>Main Pump Drive Trans</v>
      </c>
      <c r="P637" s="1" t="str">
        <f t="shared" si="66"/>
        <v>MSY0</v>
      </c>
      <c r="Q637" s="2" t="str">
        <f t="shared" si="67"/>
        <v>MSY0Main Pump Drive Trans</v>
      </c>
      <c r="R637" s="2" t="str">
        <f>New_Xref[[#This Row],[Serial Prefix]]&amp;IF(New_Xref[[#This Row],[Func Loc]]&lt;&gt;"",New_Xref[[#This Row],[Func Loc]],"NO MATCH")</f>
        <v>MSY0NO MATCH</v>
      </c>
      <c r="S637" s="3" t="str">
        <f t="shared" si="68"/>
        <v>MSY02A6546XMain Pump Drive Trans</v>
      </c>
      <c r="T637" s="3" t="s">
        <v>1234</v>
      </c>
      <c r="U637" s="3" t="s">
        <v>34</v>
      </c>
      <c r="V637" t="str">
        <f t="shared" si="69"/>
        <v>310800</v>
      </c>
    </row>
    <row r="638" spans="1:22">
      <c r="A638" t="s">
        <v>2628</v>
      </c>
      <c r="B638" t="s">
        <v>2634</v>
      </c>
      <c r="C638" t="s">
        <v>2549</v>
      </c>
      <c r="D638" t="s">
        <v>2550</v>
      </c>
      <c r="E638" t="s">
        <v>2551</v>
      </c>
      <c r="F638" t="s">
        <v>27</v>
      </c>
      <c r="G638">
        <v>1</v>
      </c>
      <c r="H638" t="s">
        <v>2729</v>
      </c>
      <c r="I638" t="s">
        <v>2730</v>
      </c>
      <c r="J638" t="s">
        <v>2731</v>
      </c>
      <c r="K638" t="s">
        <v>2732</v>
      </c>
      <c r="L638" t="s">
        <v>2733</v>
      </c>
      <c r="M638" s="1" t="str">
        <f t="shared" si="63"/>
        <v>06D327</v>
      </c>
      <c r="N638" s="1" t="str">
        <f t="shared" si="64"/>
        <v>C/O</v>
      </c>
      <c r="O638" s="1" t="str">
        <f t="shared" si="65"/>
        <v>Driveshaft Main</v>
      </c>
      <c r="P638" s="1" t="str">
        <f t="shared" si="66"/>
        <v>DMC0</v>
      </c>
      <c r="Q638" s="2" t="str">
        <f t="shared" si="67"/>
        <v>DMC0Driveshaft Main</v>
      </c>
      <c r="R638" s="2" t="str">
        <f>New_Xref[[#This Row],[Serial Prefix]]&amp;IF(New_Xref[[#This Row],[Func Loc]]&lt;&gt;"",New_Xref[[#This Row],[Func Loc]],"NO MATCH")</f>
        <v>DMC0FDRV .SHAF.DS01</v>
      </c>
      <c r="S638" s="3" t="str">
        <f t="shared" si="68"/>
        <v>DMC010R5186Driveshaft Main</v>
      </c>
      <c r="T638" s="3" t="s">
        <v>674</v>
      </c>
      <c r="U638" s="3" t="s">
        <v>34</v>
      </c>
      <c r="V638" t="str">
        <f t="shared" si="69"/>
        <v>325300</v>
      </c>
    </row>
    <row r="639" spans="1:22">
      <c r="A639" t="s">
        <v>2628</v>
      </c>
      <c r="B639" t="s">
        <v>2690</v>
      </c>
      <c r="C639" t="s">
        <v>2549</v>
      </c>
      <c r="D639" t="s">
        <v>2550</v>
      </c>
      <c r="E639" t="s">
        <v>2734</v>
      </c>
      <c r="F639" t="s">
        <v>27</v>
      </c>
      <c r="G639">
        <v>1</v>
      </c>
      <c r="H639" t="s">
        <v>2735</v>
      </c>
      <c r="I639" t="s">
        <v>2736</v>
      </c>
      <c r="J639" t="s">
        <v>2737</v>
      </c>
      <c r="K639" t="s">
        <v>2738</v>
      </c>
      <c r="L639" t="s">
        <v>83</v>
      </c>
      <c r="M639" s="1" t="str">
        <f t="shared" si="63"/>
        <v>06R915</v>
      </c>
      <c r="N639" s="1" t="str">
        <f t="shared" si="64"/>
        <v>C/O</v>
      </c>
      <c r="O639" s="1" t="str">
        <f t="shared" si="65"/>
        <v>Driveshaft Main</v>
      </c>
      <c r="P639" s="1" t="str">
        <f t="shared" si="66"/>
        <v>MSY0</v>
      </c>
      <c r="Q639" s="2" t="str">
        <f t="shared" si="67"/>
        <v>MSY0Driveshaft Main</v>
      </c>
      <c r="R639" s="2" t="str">
        <f>New_Xref[[#This Row],[Serial Prefix]]&amp;IF(New_Xref[[#This Row],[Func Loc]]&lt;&gt;"",New_Xref[[#This Row],[Func Loc]],"NO MATCH")</f>
        <v>MSY0NO MATCH</v>
      </c>
      <c r="S639" s="3" t="str">
        <f t="shared" si="68"/>
        <v>MSY010R5186Driveshaft Main</v>
      </c>
      <c r="T639" s="3" t="s">
        <v>674</v>
      </c>
      <c r="U639" s="3" t="s">
        <v>34</v>
      </c>
      <c r="V639" t="str">
        <f t="shared" si="69"/>
        <v>325300</v>
      </c>
    </row>
    <row r="640" spans="1:22">
      <c r="A640" t="s">
        <v>2628</v>
      </c>
      <c r="B640" t="s">
        <v>2634</v>
      </c>
      <c r="C640" t="s">
        <v>2739</v>
      </c>
      <c r="D640" t="s">
        <v>2740</v>
      </c>
      <c r="E640" t="s">
        <v>2741</v>
      </c>
      <c r="F640" t="s">
        <v>27</v>
      </c>
      <c r="G640">
        <v>1</v>
      </c>
      <c r="H640" t="s">
        <v>2742</v>
      </c>
      <c r="I640" t="s">
        <v>2743</v>
      </c>
      <c r="J640" t="s">
        <v>2744</v>
      </c>
      <c r="K640" t="s">
        <v>2743</v>
      </c>
      <c r="L640" t="s">
        <v>463</v>
      </c>
      <c r="M640" s="1" t="str">
        <f t="shared" si="63"/>
        <v>06D327</v>
      </c>
      <c r="N640" s="1" t="str">
        <f t="shared" si="64"/>
        <v>C/O</v>
      </c>
      <c r="O640" s="1" t="str">
        <f t="shared" si="65"/>
        <v>Differential</v>
      </c>
      <c r="P640" s="1" t="str">
        <f t="shared" si="66"/>
        <v>DMC0</v>
      </c>
      <c r="Q640" s="2" t="str">
        <f t="shared" si="67"/>
        <v>DMC0Differential</v>
      </c>
      <c r="R640" s="2" t="str">
        <f>New_Xref[[#This Row],[Serial Prefix]]&amp;IF(New_Xref[[#This Row],[Func Loc]]&lt;&gt;"",New_Xref[[#This Row],[Func Loc]],"NO MATCH")</f>
        <v>DMC0FDRV .AXAR.DIFF</v>
      </c>
      <c r="S640" s="3" t="str">
        <f t="shared" si="68"/>
        <v>DMC03099602XDifferential</v>
      </c>
      <c r="T640" s="3" t="s">
        <v>464</v>
      </c>
      <c r="U640" s="3" t="s">
        <v>34</v>
      </c>
      <c r="V640" t="str">
        <f t="shared" si="69"/>
        <v>325800</v>
      </c>
    </row>
    <row r="641" spans="1:22">
      <c r="A641" t="s">
        <v>2628</v>
      </c>
      <c r="B641" t="s">
        <v>2690</v>
      </c>
      <c r="C641" t="s">
        <v>2739</v>
      </c>
      <c r="D641" t="s">
        <v>2740</v>
      </c>
      <c r="E641" t="s">
        <v>2741</v>
      </c>
      <c r="F641" t="s">
        <v>27</v>
      </c>
      <c r="G641">
        <v>1</v>
      </c>
      <c r="H641" t="s">
        <v>2745</v>
      </c>
      <c r="I641" t="s">
        <v>2746</v>
      </c>
      <c r="J641" t="s">
        <v>2747</v>
      </c>
      <c r="K641" t="s">
        <v>2746</v>
      </c>
      <c r="L641" t="s">
        <v>463</v>
      </c>
      <c r="M641" s="1" t="str">
        <f t="shared" si="63"/>
        <v>06R915</v>
      </c>
      <c r="N641" s="1" t="str">
        <f t="shared" si="64"/>
        <v>C/O</v>
      </c>
      <c r="O641" s="1" t="str">
        <f t="shared" si="65"/>
        <v>Differential</v>
      </c>
      <c r="P641" s="1" t="str">
        <f t="shared" si="66"/>
        <v>MSY0</v>
      </c>
      <c r="Q641" s="2" t="str">
        <f t="shared" si="67"/>
        <v>MSY0Differential</v>
      </c>
      <c r="R641" s="2" t="str">
        <f>New_Xref[[#This Row],[Serial Prefix]]&amp;IF(New_Xref[[#This Row],[Func Loc]]&lt;&gt;"",New_Xref[[#This Row],[Func Loc]],"NO MATCH")</f>
        <v>MSY0FDRV .AXAR.DIFF</v>
      </c>
      <c r="S641" s="3" t="str">
        <f t="shared" si="68"/>
        <v>MSY03099602XDifferential</v>
      </c>
      <c r="T641" s="3" t="s">
        <v>464</v>
      </c>
      <c r="U641" s="3" t="s">
        <v>34</v>
      </c>
      <c r="V641" t="str">
        <f t="shared" si="69"/>
        <v>325800</v>
      </c>
    </row>
    <row r="642" spans="1:22">
      <c r="A642" t="s">
        <v>2628</v>
      </c>
      <c r="B642" t="s">
        <v>2634</v>
      </c>
      <c r="C642" t="s">
        <v>2561</v>
      </c>
      <c r="D642" t="s">
        <v>2562</v>
      </c>
      <c r="E642" t="s">
        <v>2563</v>
      </c>
      <c r="F642" t="s">
        <v>27</v>
      </c>
      <c r="G642">
        <v>1</v>
      </c>
      <c r="H642" t="s">
        <v>2748</v>
      </c>
      <c r="I642" t="s">
        <v>2749</v>
      </c>
      <c r="J642" t="s">
        <v>2750</v>
      </c>
      <c r="K642" t="s">
        <v>2749</v>
      </c>
      <c r="L642" t="s">
        <v>761</v>
      </c>
      <c r="M642" s="1" t="str">
        <f t="shared" si="63"/>
        <v>06D327</v>
      </c>
      <c r="N642" s="1" t="str">
        <f t="shared" si="64"/>
        <v>C/O</v>
      </c>
      <c r="O642" s="1" t="str">
        <f t="shared" si="65"/>
        <v>Hub &amp; Spindle LH</v>
      </c>
      <c r="P642" s="1" t="str">
        <f t="shared" si="66"/>
        <v>DMC0</v>
      </c>
      <c r="Q642" s="2" t="str">
        <f t="shared" si="67"/>
        <v>DMC0Hub &amp; Spindle LH</v>
      </c>
      <c r="R642" s="2" t="str">
        <f>New_Xref[[#This Row],[Serial Prefix]]&amp;IF(New_Xref[[#This Row],[Func Loc]]&lt;&gt;"",New_Xref[[#This Row],[Func Loc]],"NO MATCH")</f>
        <v>DMC0FDRV .AXAF.HASL</v>
      </c>
      <c r="S642" s="3" t="str">
        <f t="shared" si="68"/>
        <v>DMC03099597XLHub &amp; Spindle LH</v>
      </c>
      <c r="T642" s="3" t="s">
        <v>88</v>
      </c>
      <c r="U642" s="3" t="s">
        <v>89</v>
      </c>
      <c r="V642" t="str">
        <f t="shared" si="69"/>
        <v>4006LF</v>
      </c>
    </row>
    <row r="643" spans="1:22">
      <c r="A643" t="s">
        <v>2628</v>
      </c>
      <c r="B643" t="s">
        <v>2634</v>
      </c>
      <c r="C643" t="s">
        <v>2567</v>
      </c>
      <c r="D643" t="s">
        <v>2568</v>
      </c>
      <c r="E643" t="s">
        <v>2569</v>
      </c>
      <c r="F643" t="s">
        <v>27</v>
      </c>
      <c r="G643">
        <v>1</v>
      </c>
      <c r="H643" t="s">
        <v>2751</v>
      </c>
      <c r="I643" t="s">
        <v>2752</v>
      </c>
      <c r="J643" t="s">
        <v>2753</v>
      </c>
      <c r="K643" t="s">
        <v>2752</v>
      </c>
      <c r="L643" t="s">
        <v>757</v>
      </c>
      <c r="M643" s="1" t="str">
        <f t="shared" ref="M643:M706" si="70">LEFT(K643,FIND(" ",K643,1)-1)</f>
        <v>06D327</v>
      </c>
      <c r="N643" s="1" t="str">
        <f t="shared" ref="N643:N706" si="71">MID(K643,LEN(M643)+2,FIND(" ",K643,LEN(M643)+2)-LEN(M643)-2)</f>
        <v>C/O</v>
      </c>
      <c r="O643" s="1" t="str">
        <f t="shared" ref="O643:O706" si="72">MID(K643,FIND(N643,K643,1)+LEN(N643)+1, 150)</f>
        <v>Hub &amp; Spindle RH</v>
      </c>
      <c r="P643" s="1" t="str">
        <f t="shared" ref="P643:P706" si="73">LEFT(B643,4)</f>
        <v>DMC0</v>
      </c>
      <c r="Q643" s="2" t="str">
        <f t="shared" ref="Q643:Q706" si="74">P643&amp;O643</f>
        <v>DMC0Hub &amp; Spindle RH</v>
      </c>
      <c r="R643" s="2" t="str">
        <f>New_Xref[[#This Row],[Serial Prefix]]&amp;IF(New_Xref[[#This Row],[Func Loc]]&lt;&gt;"",New_Xref[[#This Row],[Func Loc]],"NO MATCH")</f>
        <v>DMC0FDRV .AXAF.HASR</v>
      </c>
      <c r="S643" s="3" t="str">
        <f t="shared" ref="S643:S706" si="75">P643&amp;D643&amp;O643</f>
        <v>DMC03099597XRHub &amp; Spindle RH</v>
      </c>
      <c r="T643" s="3" t="s">
        <v>88</v>
      </c>
      <c r="U643" s="3" t="s">
        <v>92</v>
      </c>
      <c r="V643" t="str">
        <f t="shared" ref="V643:V706" si="76">LEFT(T643,FIND(" -",T643,1)-1)&amp;LEFT(U643,FIND(" -",U643,1)-1)</f>
        <v>4006RF</v>
      </c>
    </row>
    <row r="644" spans="1:22">
      <c r="A644" t="s">
        <v>2628</v>
      </c>
      <c r="B644" t="s">
        <v>2754</v>
      </c>
      <c r="C644" t="s">
        <v>2755</v>
      </c>
      <c r="D644" t="s">
        <v>2756</v>
      </c>
      <c r="E644" t="s">
        <v>2757</v>
      </c>
      <c r="F644" t="s">
        <v>27</v>
      </c>
      <c r="G644">
        <v>1</v>
      </c>
      <c r="H644" t="s">
        <v>2748</v>
      </c>
      <c r="I644" t="s">
        <v>2758</v>
      </c>
      <c r="J644" t="s">
        <v>2759</v>
      </c>
      <c r="K644" t="s">
        <v>2758</v>
      </c>
      <c r="L644" t="s">
        <v>761</v>
      </c>
      <c r="M644" s="1" t="str">
        <f t="shared" si="70"/>
        <v>06H657</v>
      </c>
      <c r="N644" s="1" t="str">
        <f t="shared" si="71"/>
        <v>C/O</v>
      </c>
      <c r="O644" s="1" t="str">
        <f t="shared" si="72"/>
        <v>Hub &amp; Spindle LH</v>
      </c>
      <c r="P644" s="1" t="str">
        <f t="shared" si="73"/>
        <v>DMC0</v>
      </c>
      <c r="Q644" s="2" t="str">
        <f t="shared" si="74"/>
        <v>DMC0Hub &amp; Spindle LH</v>
      </c>
      <c r="R644" s="2" t="str">
        <f>New_Xref[[#This Row],[Serial Prefix]]&amp;IF(New_Xref[[#This Row],[Func Loc]]&lt;&gt;"",New_Xref[[#This Row],[Func Loc]],"NO MATCH")</f>
        <v>DMC0FDRV .AXAF.HASL</v>
      </c>
      <c r="S644" s="3" t="str">
        <f t="shared" si="75"/>
        <v>DMC06241853XLHub &amp; Spindle LH</v>
      </c>
      <c r="T644" s="3" t="s">
        <v>88</v>
      </c>
      <c r="U644" s="3" t="s">
        <v>89</v>
      </c>
      <c r="V644" t="str">
        <f t="shared" si="76"/>
        <v>4006LF</v>
      </c>
    </row>
    <row r="645" spans="1:22">
      <c r="A645" t="s">
        <v>2628</v>
      </c>
      <c r="B645" t="s">
        <v>2754</v>
      </c>
      <c r="C645" t="s">
        <v>2760</v>
      </c>
      <c r="D645" t="s">
        <v>2761</v>
      </c>
      <c r="E645" t="s">
        <v>2762</v>
      </c>
      <c r="F645" t="s">
        <v>27</v>
      </c>
      <c r="G645">
        <v>1</v>
      </c>
      <c r="H645" t="s">
        <v>2751</v>
      </c>
      <c r="I645" t="s">
        <v>2763</v>
      </c>
      <c r="J645" t="s">
        <v>2764</v>
      </c>
      <c r="K645" t="s">
        <v>2763</v>
      </c>
      <c r="L645" t="s">
        <v>757</v>
      </c>
      <c r="M645" s="1" t="str">
        <f t="shared" si="70"/>
        <v>06H657</v>
      </c>
      <c r="N645" s="1" t="str">
        <f t="shared" si="71"/>
        <v>C/O</v>
      </c>
      <c r="O645" s="1" t="str">
        <f t="shared" si="72"/>
        <v>Hub &amp; Spindle RH</v>
      </c>
      <c r="P645" s="1" t="str">
        <f t="shared" si="73"/>
        <v>DMC0</v>
      </c>
      <c r="Q645" s="2" t="str">
        <f t="shared" si="74"/>
        <v>DMC0Hub &amp; Spindle RH</v>
      </c>
      <c r="R645" s="2" t="str">
        <f>New_Xref[[#This Row],[Serial Prefix]]&amp;IF(New_Xref[[#This Row],[Func Loc]]&lt;&gt;"",New_Xref[[#This Row],[Func Loc]],"NO MATCH")</f>
        <v>DMC0FDRV .AXAF.HASR</v>
      </c>
      <c r="S645" s="3" t="str">
        <f t="shared" si="75"/>
        <v>DMC06241853XRHub &amp; Spindle RH</v>
      </c>
      <c r="T645" s="3" t="s">
        <v>88</v>
      </c>
      <c r="U645" s="3" t="s">
        <v>92</v>
      </c>
      <c r="V645" t="str">
        <f t="shared" si="76"/>
        <v>4006RF</v>
      </c>
    </row>
    <row r="646" spans="1:22">
      <c r="A646" t="s">
        <v>2628</v>
      </c>
      <c r="B646" t="s">
        <v>2690</v>
      </c>
      <c r="C646" t="s">
        <v>2561</v>
      </c>
      <c r="D646" t="s">
        <v>2562</v>
      </c>
      <c r="E646" t="s">
        <v>2563</v>
      </c>
      <c r="F646" t="s">
        <v>27</v>
      </c>
      <c r="G646">
        <v>1</v>
      </c>
      <c r="H646" t="s">
        <v>2765</v>
      </c>
      <c r="I646" t="s">
        <v>2766</v>
      </c>
      <c r="J646" t="s">
        <v>2767</v>
      </c>
      <c r="K646" t="s">
        <v>2766</v>
      </c>
      <c r="L646" t="s">
        <v>761</v>
      </c>
      <c r="M646" s="1" t="str">
        <f t="shared" si="70"/>
        <v>06R915</v>
      </c>
      <c r="N646" s="1" t="str">
        <f t="shared" si="71"/>
        <v>C/O</v>
      </c>
      <c r="O646" s="1" t="str">
        <f t="shared" si="72"/>
        <v>Hub &amp; Spindle LH</v>
      </c>
      <c r="P646" s="1" t="str">
        <f t="shared" si="73"/>
        <v>MSY0</v>
      </c>
      <c r="Q646" s="2" t="str">
        <f t="shared" si="74"/>
        <v>MSY0Hub &amp; Spindle LH</v>
      </c>
      <c r="R646" s="2" t="str">
        <f>New_Xref[[#This Row],[Serial Prefix]]&amp;IF(New_Xref[[#This Row],[Func Loc]]&lt;&gt;"",New_Xref[[#This Row],[Func Loc]],"NO MATCH")</f>
        <v>MSY0FDRV .AXAF.HASL</v>
      </c>
      <c r="S646" s="3" t="str">
        <f t="shared" si="75"/>
        <v>MSY03099597XLHub &amp; Spindle LH</v>
      </c>
      <c r="T646" s="3" t="s">
        <v>88</v>
      </c>
      <c r="U646" s="3" t="s">
        <v>89</v>
      </c>
      <c r="V646" t="str">
        <f t="shared" si="76"/>
        <v>4006LF</v>
      </c>
    </row>
    <row r="647" spans="1:22">
      <c r="A647" t="s">
        <v>2628</v>
      </c>
      <c r="B647" t="s">
        <v>2690</v>
      </c>
      <c r="C647" t="s">
        <v>2567</v>
      </c>
      <c r="D647" t="s">
        <v>2568</v>
      </c>
      <c r="E647" t="s">
        <v>2569</v>
      </c>
      <c r="F647" t="s">
        <v>27</v>
      </c>
      <c r="G647">
        <v>1</v>
      </c>
      <c r="H647" t="s">
        <v>2768</v>
      </c>
      <c r="I647" t="s">
        <v>2769</v>
      </c>
      <c r="J647" t="s">
        <v>2770</v>
      </c>
      <c r="K647" t="s">
        <v>2769</v>
      </c>
      <c r="L647" t="s">
        <v>757</v>
      </c>
      <c r="M647" s="1" t="str">
        <f t="shared" si="70"/>
        <v>06R915</v>
      </c>
      <c r="N647" s="1" t="str">
        <f t="shared" si="71"/>
        <v>C/O</v>
      </c>
      <c r="O647" s="1" t="str">
        <f t="shared" si="72"/>
        <v>Hub &amp; Spindle RH</v>
      </c>
      <c r="P647" s="1" t="str">
        <f t="shared" si="73"/>
        <v>MSY0</v>
      </c>
      <c r="Q647" s="2" t="str">
        <f t="shared" si="74"/>
        <v>MSY0Hub &amp; Spindle RH</v>
      </c>
      <c r="R647" s="2" t="str">
        <f>New_Xref[[#This Row],[Serial Prefix]]&amp;IF(New_Xref[[#This Row],[Func Loc]]&lt;&gt;"",New_Xref[[#This Row],[Func Loc]],"NO MATCH")</f>
        <v>MSY0FDRV .AXAF.HASR</v>
      </c>
      <c r="S647" s="3" t="str">
        <f t="shared" si="75"/>
        <v>MSY03099597XRHub &amp; Spindle RH</v>
      </c>
      <c r="T647" s="3" t="s">
        <v>88</v>
      </c>
      <c r="U647" s="3" t="s">
        <v>92</v>
      </c>
      <c r="V647" t="str">
        <f t="shared" si="76"/>
        <v>4006RF</v>
      </c>
    </row>
    <row r="648" spans="1:22">
      <c r="A648" t="s">
        <v>2628</v>
      </c>
      <c r="B648" t="s">
        <v>2629</v>
      </c>
      <c r="C648" t="s">
        <v>2771</v>
      </c>
      <c r="D648" t="s">
        <v>2574</v>
      </c>
      <c r="E648" t="s">
        <v>2575</v>
      </c>
      <c r="F648" t="s">
        <v>27</v>
      </c>
      <c r="G648">
        <v>1</v>
      </c>
      <c r="H648" t="s">
        <v>2772</v>
      </c>
      <c r="I648" t="s">
        <v>2773</v>
      </c>
      <c r="J648" t="s">
        <v>2774</v>
      </c>
      <c r="K648" t="s">
        <v>2773</v>
      </c>
      <c r="L648" t="s">
        <v>83</v>
      </c>
      <c r="M648" s="1" t="str">
        <f t="shared" si="70"/>
        <v>06H721</v>
      </c>
      <c r="N648" s="1" t="str">
        <f t="shared" si="71"/>
        <v>C/O</v>
      </c>
      <c r="O648" s="1" t="str">
        <f t="shared" si="72"/>
        <v>Final Drive Group LH</v>
      </c>
      <c r="P648" s="1" t="str">
        <f t="shared" si="73"/>
        <v>DMC0</v>
      </c>
      <c r="Q648" s="2" t="str">
        <f t="shared" si="74"/>
        <v>DMC0Final Drive Group LH</v>
      </c>
      <c r="R648" s="2" t="str">
        <f>New_Xref[[#This Row],[Serial Prefix]]&amp;IF(New_Xref[[#This Row],[Func Loc]]&lt;&gt;"",New_Xref[[#This Row],[Func Loc]],"NO MATCH")</f>
        <v>DMC0NO MATCH</v>
      </c>
      <c r="S648" s="3" t="str">
        <f t="shared" si="75"/>
        <v>DMC03178378XFinal Drive Group LH</v>
      </c>
      <c r="T648" s="3" t="s">
        <v>2105</v>
      </c>
      <c r="U648" s="3" t="s">
        <v>96</v>
      </c>
      <c r="V648" t="str">
        <f t="shared" si="76"/>
        <v>4008LR</v>
      </c>
    </row>
    <row r="649" spans="1:22">
      <c r="A649" t="s">
        <v>2628</v>
      </c>
      <c r="B649" t="s">
        <v>2629</v>
      </c>
      <c r="C649" t="s">
        <v>2771</v>
      </c>
      <c r="D649" t="s">
        <v>2574</v>
      </c>
      <c r="E649" t="s">
        <v>2575</v>
      </c>
      <c r="F649" t="s">
        <v>27</v>
      </c>
      <c r="G649">
        <v>1</v>
      </c>
      <c r="H649" t="s">
        <v>2772</v>
      </c>
      <c r="I649" t="s">
        <v>2775</v>
      </c>
      <c r="J649" t="s">
        <v>2776</v>
      </c>
      <c r="K649" t="s">
        <v>2775</v>
      </c>
      <c r="L649" t="s">
        <v>83</v>
      </c>
      <c r="M649" s="1" t="str">
        <f t="shared" si="70"/>
        <v>06H721</v>
      </c>
      <c r="N649" s="1" t="str">
        <f t="shared" si="71"/>
        <v>C/O</v>
      </c>
      <c r="O649" s="1" t="str">
        <f t="shared" si="72"/>
        <v>Final Drive Group RH</v>
      </c>
      <c r="P649" s="1" t="str">
        <f t="shared" si="73"/>
        <v>DMC0</v>
      </c>
      <c r="Q649" s="2" t="str">
        <f t="shared" si="74"/>
        <v>DMC0Final Drive Group RH</v>
      </c>
      <c r="R649" s="2" t="str">
        <f>New_Xref[[#This Row],[Serial Prefix]]&amp;IF(New_Xref[[#This Row],[Func Loc]]&lt;&gt;"",New_Xref[[#This Row],[Func Loc]],"NO MATCH")</f>
        <v>DMC0NO MATCH</v>
      </c>
      <c r="S649" s="3" t="str">
        <f t="shared" si="75"/>
        <v>DMC03178378XFinal Drive Group RH</v>
      </c>
      <c r="T649" s="3" t="s">
        <v>2105</v>
      </c>
      <c r="U649" s="3" t="s">
        <v>99</v>
      </c>
      <c r="V649" t="str">
        <f t="shared" si="76"/>
        <v>4008RR</v>
      </c>
    </row>
    <row r="650" spans="1:22">
      <c r="A650" t="s">
        <v>2628</v>
      </c>
      <c r="B650" t="s">
        <v>2754</v>
      </c>
      <c r="C650" t="s">
        <v>2777</v>
      </c>
      <c r="D650" t="s">
        <v>2778</v>
      </c>
      <c r="E650" t="s">
        <v>2779</v>
      </c>
      <c r="F650" t="s">
        <v>27</v>
      </c>
      <c r="G650">
        <v>1</v>
      </c>
      <c r="H650" t="s">
        <v>2780</v>
      </c>
      <c r="I650" t="s">
        <v>2781</v>
      </c>
      <c r="J650" t="s">
        <v>2782</v>
      </c>
      <c r="K650" t="s">
        <v>2781</v>
      </c>
      <c r="L650" t="s">
        <v>83</v>
      </c>
      <c r="M650" s="1" t="str">
        <f t="shared" si="70"/>
        <v>06H657</v>
      </c>
      <c r="N650" s="1" t="str">
        <f t="shared" si="71"/>
        <v>C/O</v>
      </c>
      <c r="O650" s="1" t="str">
        <f t="shared" si="72"/>
        <v>Final Drive Group LH</v>
      </c>
      <c r="P650" s="1" t="str">
        <f t="shared" si="73"/>
        <v>DMC0</v>
      </c>
      <c r="Q650" s="2" t="str">
        <f t="shared" si="74"/>
        <v>DMC0Final Drive Group LH</v>
      </c>
      <c r="R650" s="2" t="str">
        <f>New_Xref[[#This Row],[Serial Prefix]]&amp;IF(New_Xref[[#This Row],[Func Loc]]&lt;&gt;"",New_Xref[[#This Row],[Func Loc]],"NO MATCH")</f>
        <v>DMC0NO MATCH</v>
      </c>
      <c r="S650" s="3" t="str">
        <f t="shared" si="75"/>
        <v>DMC06259021XFinal Drive Group LH</v>
      </c>
      <c r="T650" s="3" t="s">
        <v>2105</v>
      </c>
      <c r="U650" s="3" t="s">
        <v>96</v>
      </c>
      <c r="V650" t="str">
        <f t="shared" si="76"/>
        <v>4008LR</v>
      </c>
    </row>
    <row r="651" spans="1:22">
      <c r="A651" t="s">
        <v>2628</v>
      </c>
      <c r="B651" t="s">
        <v>2690</v>
      </c>
      <c r="C651" t="s">
        <v>2573</v>
      </c>
      <c r="D651" t="s">
        <v>2574</v>
      </c>
      <c r="E651" t="s">
        <v>2575</v>
      </c>
      <c r="F651" t="s">
        <v>27</v>
      </c>
      <c r="G651">
        <v>1</v>
      </c>
      <c r="H651" t="s">
        <v>2783</v>
      </c>
      <c r="I651" t="s">
        <v>2784</v>
      </c>
      <c r="J651" t="s">
        <v>2785</v>
      </c>
      <c r="K651" t="s">
        <v>2784</v>
      </c>
      <c r="L651" t="s">
        <v>83</v>
      </c>
      <c r="M651" s="1" t="str">
        <f t="shared" si="70"/>
        <v>06H637</v>
      </c>
      <c r="N651" s="1" t="str">
        <f t="shared" si="71"/>
        <v>C/O</v>
      </c>
      <c r="O651" s="1" t="str">
        <f t="shared" si="72"/>
        <v>Final Drive Group RH</v>
      </c>
      <c r="P651" s="1" t="str">
        <f t="shared" si="73"/>
        <v>MSY0</v>
      </c>
      <c r="Q651" s="2" t="str">
        <f t="shared" si="74"/>
        <v>MSY0Final Drive Group RH</v>
      </c>
      <c r="R651" s="2" t="str">
        <f>New_Xref[[#This Row],[Serial Prefix]]&amp;IF(New_Xref[[#This Row],[Func Loc]]&lt;&gt;"",New_Xref[[#This Row],[Func Loc]],"NO MATCH")</f>
        <v>MSY0NO MATCH</v>
      </c>
      <c r="S651" s="3" t="str">
        <f t="shared" si="75"/>
        <v>MSY03178378XFinal Drive Group RH</v>
      </c>
      <c r="T651" s="3" t="s">
        <v>2105</v>
      </c>
      <c r="U651" s="3" t="s">
        <v>99</v>
      </c>
      <c r="V651" t="str">
        <f t="shared" si="76"/>
        <v>4008RR</v>
      </c>
    </row>
    <row r="652" spans="1:22">
      <c r="A652" t="s">
        <v>2628</v>
      </c>
      <c r="B652" t="s">
        <v>2690</v>
      </c>
      <c r="C652" t="s">
        <v>2573</v>
      </c>
      <c r="D652" t="s">
        <v>2574</v>
      </c>
      <c r="E652" t="s">
        <v>2575</v>
      </c>
      <c r="F652" t="s">
        <v>27</v>
      </c>
      <c r="G652">
        <v>1</v>
      </c>
      <c r="H652" t="s">
        <v>2783</v>
      </c>
      <c r="I652" t="s">
        <v>2786</v>
      </c>
      <c r="J652" t="s">
        <v>2787</v>
      </c>
      <c r="K652" t="s">
        <v>2786</v>
      </c>
      <c r="L652" t="s">
        <v>83</v>
      </c>
      <c r="M652" s="1" t="str">
        <f t="shared" si="70"/>
        <v>06R915</v>
      </c>
      <c r="N652" s="1" t="str">
        <f t="shared" si="71"/>
        <v>C/O</v>
      </c>
      <c r="O652" s="1" t="str">
        <f t="shared" si="72"/>
        <v>Final Drive Group LH</v>
      </c>
      <c r="P652" s="1" t="str">
        <f t="shared" si="73"/>
        <v>MSY0</v>
      </c>
      <c r="Q652" s="2" t="str">
        <f t="shared" si="74"/>
        <v>MSY0Final Drive Group LH</v>
      </c>
      <c r="R652" s="2" t="str">
        <f>New_Xref[[#This Row],[Serial Prefix]]&amp;IF(New_Xref[[#This Row],[Func Loc]]&lt;&gt;"",New_Xref[[#This Row],[Func Loc]],"NO MATCH")</f>
        <v>MSY0NO MATCH</v>
      </c>
      <c r="S652" s="3" t="str">
        <f t="shared" si="75"/>
        <v>MSY03178378XFinal Drive Group LH</v>
      </c>
      <c r="T652" s="3" t="s">
        <v>2105</v>
      </c>
      <c r="U652" s="3" t="s">
        <v>96</v>
      </c>
      <c r="V652" t="str">
        <f t="shared" si="76"/>
        <v>4008LR</v>
      </c>
    </row>
    <row r="653" spans="1:22">
      <c r="A653" t="s">
        <v>2628</v>
      </c>
      <c r="B653" t="s">
        <v>2690</v>
      </c>
      <c r="C653" t="s">
        <v>2561</v>
      </c>
      <c r="D653" t="s">
        <v>2562</v>
      </c>
      <c r="E653" t="s">
        <v>2581</v>
      </c>
      <c r="F653" t="s">
        <v>27</v>
      </c>
      <c r="G653">
        <v>1</v>
      </c>
      <c r="H653" t="s">
        <v>2788</v>
      </c>
      <c r="I653" t="s">
        <v>2789</v>
      </c>
      <c r="J653" t="s">
        <v>2767</v>
      </c>
      <c r="K653" t="s">
        <v>2766</v>
      </c>
      <c r="L653" t="s">
        <v>761</v>
      </c>
      <c r="M653" s="1" t="str">
        <f t="shared" si="70"/>
        <v>06R915</v>
      </c>
      <c r="N653" s="1" t="str">
        <f t="shared" si="71"/>
        <v>C/O</v>
      </c>
      <c r="O653" s="1" t="str">
        <f t="shared" si="72"/>
        <v>Hub &amp; Spindle LH</v>
      </c>
      <c r="P653" s="1" t="str">
        <f t="shared" si="73"/>
        <v>MSY0</v>
      </c>
      <c r="Q653" s="2" t="str">
        <f t="shared" si="74"/>
        <v>MSY0Hub &amp; Spindle LH</v>
      </c>
      <c r="R653" s="2" t="str">
        <f>New_Xref[[#This Row],[Serial Prefix]]&amp;IF(New_Xref[[#This Row],[Func Loc]]&lt;&gt;"",New_Xref[[#This Row],[Func Loc]],"NO MATCH")</f>
        <v>MSY0FDRV .AXAF.HASL</v>
      </c>
      <c r="S653" s="3" t="str">
        <f t="shared" si="75"/>
        <v>MSY03099597XLHub &amp; Spindle LH</v>
      </c>
      <c r="T653" t="s">
        <v>2441</v>
      </c>
      <c r="U653" t="s">
        <v>89</v>
      </c>
      <c r="V653" t="str">
        <f t="shared" si="76"/>
        <v>4016LF</v>
      </c>
    </row>
    <row r="654" spans="1:22">
      <c r="A654" t="s">
        <v>2628</v>
      </c>
      <c r="B654" t="s">
        <v>2690</v>
      </c>
      <c r="C654" t="s">
        <v>2567</v>
      </c>
      <c r="D654" t="s">
        <v>2568</v>
      </c>
      <c r="E654" t="s">
        <v>2584</v>
      </c>
      <c r="F654" t="s">
        <v>27</v>
      </c>
      <c r="G654">
        <v>1</v>
      </c>
      <c r="H654" t="s">
        <v>2790</v>
      </c>
      <c r="I654" t="s">
        <v>2791</v>
      </c>
      <c r="J654" t="s">
        <v>2770</v>
      </c>
      <c r="K654" t="s">
        <v>2769</v>
      </c>
      <c r="L654" t="s">
        <v>757</v>
      </c>
      <c r="M654" s="1" t="str">
        <f t="shared" si="70"/>
        <v>06R915</v>
      </c>
      <c r="N654" s="1" t="str">
        <f t="shared" si="71"/>
        <v>C/O</v>
      </c>
      <c r="O654" s="1" t="str">
        <f t="shared" si="72"/>
        <v>Hub &amp; Spindle RH</v>
      </c>
      <c r="P654" s="1" t="str">
        <f t="shared" si="73"/>
        <v>MSY0</v>
      </c>
      <c r="Q654" s="2" t="str">
        <f t="shared" si="74"/>
        <v>MSY0Hub &amp; Spindle RH</v>
      </c>
      <c r="R654" s="2" t="str">
        <f>New_Xref[[#This Row],[Serial Prefix]]&amp;IF(New_Xref[[#This Row],[Func Loc]]&lt;&gt;"",New_Xref[[#This Row],[Func Loc]],"NO MATCH")</f>
        <v>MSY0FDRV .AXAF.HASR</v>
      </c>
      <c r="S654" s="3" t="str">
        <f t="shared" si="75"/>
        <v>MSY03099597XRHub &amp; Spindle RH</v>
      </c>
      <c r="T654" t="s">
        <v>2441</v>
      </c>
      <c r="U654" t="s">
        <v>92</v>
      </c>
      <c r="V654" t="str">
        <f t="shared" si="76"/>
        <v>4016RF</v>
      </c>
    </row>
    <row r="655" spans="1:22">
      <c r="A655" t="s">
        <v>2628</v>
      </c>
      <c r="B655" t="s">
        <v>2649</v>
      </c>
      <c r="C655" t="s">
        <v>2792</v>
      </c>
      <c r="D655" t="s">
        <v>2793</v>
      </c>
      <c r="E655" t="s">
        <v>2794</v>
      </c>
      <c r="F655" t="s">
        <v>27</v>
      </c>
      <c r="G655">
        <v>1</v>
      </c>
      <c r="H655" t="s">
        <v>2795</v>
      </c>
      <c r="I655" t="s">
        <v>2796</v>
      </c>
      <c r="J655" t="s">
        <v>2797</v>
      </c>
      <c r="K655" t="s">
        <v>2796</v>
      </c>
      <c r="L655" t="s">
        <v>2798</v>
      </c>
      <c r="M655" s="1" t="str">
        <f t="shared" si="70"/>
        <v>06H637</v>
      </c>
      <c r="N655" s="1" t="str">
        <f t="shared" si="71"/>
        <v>C/O</v>
      </c>
      <c r="O655" s="1" t="str">
        <f t="shared" si="72"/>
        <v>Axle Group Front LH</v>
      </c>
      <c r="P655" s="1" t="str">
        <f t="shared" si="73"/>
        <v>MSY0</v>
      </c>
      <c r="Q655" s="2" t="str">
        <f t="shared" si="74"/>
        <v>MSY0Axle Group Front LH</v>
      </c>
      <c r="R655" s="2" t="str">
        <f>New_Xref[[#This Row],[Serial Prefix]]&amp;IF(New_Xref[[#This Row],[Func Loc]]&lt;&gt;"",New_Xref[[#This Row],[Func Loc]],"NO MATCH")</f>
        <v>MSY0FDRV .AXAF.AGLH</v>
      </c>
      <c r="S655" s="3" t="str">
        <f t="shared" si="75"/>
        <v>MSY03099597XFSLAxle Group Front LH</v>
      </c>
      <c r="T655" s="3" t="s">
        <v>2441</v>
      </c>
      <c r="U655" s="3" t="s">
        <v>89</v>
      </c>
      <c r="V655" t="str">
        <f t="shared" si="76"/>
        <v>4016LF</v>
      </c>
    </row>
    <row r="656" spans="1:22">
      <c r="A656" t="s">
        <v>2628</v>
      </c>
      <c r="B656" t="s">
        <v>2649</v>
      </c>
      <c r="C656" t="s">
        <v>2799</v>
      </c>
      <c r="D656" t="s">
        <v>2800</v>
      </c>
      <c r="E656" t="s">
        <v>2801</v>
      </c>
      <c r="F656" t="s">
        <v>27</v>
      </c>
      <c r="G656">
        <v>1</v>
      </c>
      <c r="H656" t="s">
        <v>2802</v>
      </c>
      <c r="I656" t="s">
        <v>2803</v>
      </c>
      <c r="J656" t="s">
        <v>2804</v>
      </c>
      <c r="K656" t="s">
        <v>2803</v>
      </c>
      <c r="L656" t="s">
        <v>2805</v>
      </c>
      <c r="M656" s="1" t="str">
        <f t="shared" si="70"/>
        <v>06H637</v>
      </c>
      <c r="N656" s="1" t="str">
        <f t="shared" si="71"/>
        <v>C/O</v>
      </c>
      <c r="O656" s="1" t="str">
        <f t="shared" si="72"/>
        <v>Axle Group Front RH</v>
      </c>
      <c r="P656" s="1" t="str">
        <f t="shared" si="73"/>
        <v>MSY0</v>
      </c>
      <c r="Q656" s="2" t="str">
        <f t="shared" si="74"/>
        <v>MSY0Axle Group Front RH</v>
      </c>
      <c r="R656" s="2" t="str">
        <f>New_Xref[[#This Row],[Serial Prefix]]&amp;IF(New_Xref[[#This Row],[Func Loc]]&lt;&gt;"",New_Xref[[#This Row],[Func Loc]],"NO MATCH")</f>
        <v>MSY0FDRV .AXAF.AGRH</v>
      </c>
      <c r="S656" s="3" t="str">
        <f t="shared" si="75"/>
        <v>MSY03099597XFSRAxle Group Front RH</v>
      </c>
      <c r="T656" s="3" t="s">
        <v>2441</v>
      </c>
      <c r="U656" s="3" t="s">
        <v>92</v>
      </c>
      <c r="V656" t="str">
        <f t="shared" si="76"/>
        <v>4016RF</v>
      </c>
    </row>
    <row r="657" spans="1:22">
      <c r="A657" t="s">
        <v>2628</v>
      </c>
      <c r="B657" t="s">
        <v>2634</v>
      </c>
      <c r="H657" t="s">
        <v>2806</v>
      </c>
      <c r="I657" t="s">
        <v>2807</v>
      </c>
      <c r="J657" t="s">
        <v>2808</v>
      </c>
      <c r="K657" t="s">
        <v>2809</v>
      </c>
      <c r="L657" t="s">
        <v>767</v>
      </c>
      <c r="M657" s="1" t="str">
        <f t="shared" si="70"/>
        <v>06D327</v>
      </c>
      <c r="N657" s="1" t="str">
        <f t="shared" si="71"/>
        <v>C/O</v>
      </c>
      <c r="O657" s="1" t="str">
        <f t="shared" si="72"/>
        <v>Steering Cylinder LH</v>
      </c>
      <c r="P657" s="1" t="str">
        <f t="shared" si="73"/>
        <v>DMC0</v>
      </c>
      <c r="Q657" s="2" t="str">
        <f t="shared" si="74"/>
        <v>DMC0Steering Cylinder LH</v>
      </c>
      <c r="R657" s="2" t="str">
        <f>New_Xref[[#This Row],[Serial Prefix]]&amp;IF(New_Xref[[#This Row],[Func Loc]]&lt;&gt;"",New_Xref[[#This Row],[Func Loc]],"NO MATCH")</f>
        <v>DMC0STRG .CYLI.SC01</v>
      </c>
      <c r="S657" s="3" t="str">
        <f t="shared" si="75"/>
        <v>DMC0Steering Cylinder LH</v>
      </c>
      <c r="T657" s="3" t="s">
        <v>107</v>
      </c>
      <c r="U657" s="3" t="s">
        <v>108</v>
      </c>
      <c r="V657" t="str">
        <f t="shared" si="76"/>
        <v>4303LT</v>
      </c>
    </row>
    <row r="658" spans="1:22">
      <c r="A658" t="s">
        <v>2628</v>
      </c>
      <c r="B658" t="s">
        <v>2634</v>
      </c>
      <c r="H658" t="s">
        <v>2806</v>
      </c>
      <c r="I658" t="s">
        <v>2810</v>
      </c>
      <c r="J658" t="s">
        <v>2811</v>
      </c>
      <c r="K658" t="s">
        <v>2812</v>
      </c>
      <c r="L658" t="s">
        <v>770</v>
      </c>
      <c r="M658" s="1" t="str">
        <f t="shared" si="70"/>
        <v>06D327</v>
      </c>
      <c r="N658" s="1" t="str">
        <f t="shared" si="71"/>
        <v>C/O</v>
      </c>
      <c r="O658" s="1" t="str">
        <f t="shared" si="72"/>
        <v>Steering Cylinder RH</v>
      </c>
      <c r="P658" s="1" t="str">
        <f t="shared" si="73"/>
        <v>DMC0</v>
      </c>
      <c r="Q658" s="2" t="str">
        <f t="shared" si="74"/>
        <v>DMC0Steering Cylinder RH</v>
      </c>
      <c r="R658" s="2" t="str">
        <f>New_Xref[[#This Row],[Serial Prefix]]&amp;IF(New_Xref[[#This Row],[Func Loc]]&lt;&gt;"",New_Xref[[#This Row],[Func Loc]],"NO MATCH")</f>
        <v>DMC0STRG .CYLI.SC02</v>
      </c>
      <c r="S658" s="3" t="str">
        <f t="shared" si="75"/>
        <v>DMC0Steering Cylinder RH</v>
      </c>
      <c r="T658" s="3" t="s">
        <v>107</v>
      </c>
      <c r="U658" s="3" t="s">
        <v>115</v>
      </c>
      <c r="V658" t="str">
        <f t="shared" si="76"/>
        <v>4303RI</v>
      </c>
    </row>
    <row r="659" spans="1:22">
      <c r="A659" t="s">
        <v>2628</v>
      </c>
      <c r="B659" t="s">
        <v>2649</v>
      </c>
      <c r="H659" t="s">
        <v>2813</v>
      </c>
      <c r="I659" t="s">
        <v>2814</v>
      </c>
      <c r="J659" t="s">
        <v>2815</v>
      </c>
      <c r="K659" t="s">
        <v>2816</v>
      </c>
      <c r="L659" t="s">
        <v>767</v>
      </c>
      <c r="M659" s="1" t="str">
        <f t="shared" si="70"/>
        <v>06H637</v>
      </c>
      <c r="N659" s="1" t="str">
        <f t="shared" si="71"/>
        <v>C/O</v>
      </c>
      <c r="O659" s="1" t="str">
        <f t="shared" si="72"/>
        <v>Steering Cylinder LH</v>
      </c>
      <c r="P659" s="1" t="str">
        <f t="shared" si="73"/>
        <v>MSY0</v>
      </c>
      <c r="Q659" s="2" t="str">
        <f t="shared" si="74"/>
        <v>MSY0Steering Cylinder LH</v>
      </c>
      <c r="R659" s="2" t="str">
        <f>New_Xref[[#This Row],[Serial Prefix]]&amp;IF(New_Xref[[#This Row],[Func Loc]]&lt;&gt;"",New_Xref[[#This Row],[Func Loc]],"NO MATCH")</f>
        <v>MSY0STRG .CYLI.SC01</v>
      </c>
      <c r="S659" s="3" t="str">
        <f t="shared" si="75"/>
        <v>MSY0Steering Cylinder LH</v>
      </c>
      <c r="T659" t="s">
        <v>107</v>
      </c>
      <c r="U659" t="s">
        <v>108</v>
      </c>
      <c r="V659" t="str">
        <f t="shared" si="76"/>
        <v>4303LT</v>
      </c>
    </row>
    <row r="660" spans="1:22">
      <c r="A660" t="s">
        <v>2628</v>
      </c>
      <c r="B660" t="s">
        <v>2649</v>
      </c>
      <c r="H660" t="s">
        <v>2813</v>
      </c>
      <c r="I660" t="s">
        <v>2817</v>
      </c>
      <c r="J660" t="s">
        <v>2818</v>
      </c>
      <c r="K660" t="s">
        <v>2819</v>
      </c>
      <c r="L660" t="s">
        <v>770</v>
      </c>
      <c r="M660" s="1" t="str">
        <f t="shared" si="70"/>
        <v>06H637</v>
      </c>
      <c r="N660" s="1" t="str">
        <f t="shared" si="71"/>
        <v>C/O</v>
      </c>
      <c r="O660" s="1" t="str">
        <f t="shared" si="72"/>
        <v>Steering Cylinder RH</v>
      </c>
      <c r="P660" s="1" t="str">
        <f t="shared" si="73"/>
        <v>MSY0</v>
      </c>
      <c r="Q660" s="2" t="str">
        <f t="shared" si="74"/>
        <v>MSY0Steering Cylinder RH</v>
      </c>
      <c r="R660" s="2" t="str">
        <f>New_Xref[[#This Row],[Serial Prefix]]&amp;IF(New_Xref[[#This Row],[Func Loc]]&lt;&gt;"",New_Xref[[#This Row],[Func Loc]],"NO MATCH")</f>
        <v>MSY0STRG .CYLI.SC02</v>
      </c>
      <c r="S660" s="3" t="str">
        <f t="shared" si="75"/>
        <v>MSY0Steering Cylinder RH</v>
      </c>
      <c r="T660" t="s">
        <v>107</v>
      </c>
      <c r="U660" t="s">
        <v>115</v>
      </c>
      <c r="V660" t="str">
        <f t="shared" si="76"/>
        <v>4303RI</v>
      </c>
    </row>
    <row r="661" spans="1:22">
      <c r="A661" t="s">
        <v>2628</v>
      </c>
      <c r="B661" t="s">
        <v>2634</v>
      </c>
      <c r="C661" t="s">
        <v>2595</v>
      </c>
      <c r="D661" t="s">
        <v>2596</v>
      </c>
      <c r="E661" t="s">
        <v>1788</v>
      </c>
      <c r="F661" t="s">
        <v>27</v>
      </c>
      <c r="G661">
        <v>1</v>
      </c>
      <c r="H661" t="s">
        <v>2820</v>
      </c>
      <c r="I661" t="s">
        <v>2821</v>
      </c>
      <c r="J661" t="s">
        <v>2822</v>
      </c>
      <c r="K661" t="s">
        <v>2821</v>
      </c>
      <c r="L661" t="s">
        <v>2358</v>
      </c>
      <c r="M661" s="1" t="str">
        <f t="shared" si="70"/>
        <v>06D327</v>
      </c>
      <c r="N661" s="1" t="str">
        <f t="shared" si="71"/>
        <v>C/O</v>
      </c>
      <c r="O661" s="1" t="str">
        <f t="shared" si="72"/>
        <v>Primary Steering Pump</v>
      </c>
      <c r="P661" s="1" t="str">
        <f t="shared" si="73"/>
        <v>DMC0</v>
      </c>
      <c r="Q661" s="2" t="str">
        <f t="shared" si="74"/>
        <v>DMC0Primary Steering Pump</v>
      </c>
      <c r="R661" s="2" t="str">
        <f>New_Xref[[#This Row],[Serial Prefix]]&amp;IF(New_Xref[[#This Row],[Func Loc]]&lt;&gt;"",New_Xref[[#This Row],[Func Loc]],"NO MATCH")</f>
        <v>DMC0STRG .PUMP.SP01</v>
      </c>
      <c r="S661" s="3" t="str">
        <f t="shared" si="75"/>
        <v>DMC010R9089Primary Steering Pump</v>
      </c>
      <c r="T661" s="3" t="s">
        <v>342</v>
      </c>
      <c r="U661" s="3" t="s">
        <v>34</v>
      </c>
      <c r="V661" t="str">
        <f t="shared" si="76"/>
        <v>430600</v>
      </c>
    </row>
    <row r="662" spans="1:22">
      <c r="A662" t="s">
        <v>2628</v>
      </c>
      <c r="B662" t="s">
        <v>2690</v>
      </c>
      <c r="C662" t="s">
        <v>2595</v>
      </c>
      <c r="D662" t="s">
        <v>2596</v>
      </c>
      <c r="E662" t="s">
        <v>1784</v>
      </c>
      <c r="F662" t="s">
        <v>27</v>
      </c>
      <c r="G662">
        <v>1</v>
      </c>
      <c r="H662" t="s">
        <v>2823</v>
      </c>
      <c r="I662" t="s">
        <v>2824</v>
      </c>
      <c r="J662" t="s">
        <v>2825</v>
      </c>
      <c r="K662" t="s">
        <v>2824</v>
      </c>
      <c r="L662" t="s">
        <v>2358</v>
      </c>
      <c r="M662" s="1" t="str">
        <f t="shared" si="70"/>
        <v>06R915</v>
      </c>
      <c r="N662" s="1" t="str">
        <f t="shared" si="71"/>
        <v>C/O</v>
      </c>
      <c r="O662" s="1" t="str">
        <f t="shared" si="72"/>
        <v>Primary Steering Pump</v>
      </c>
      <c r="P662" s="1" t="str">
        <f t="shared" si="73"/>
        <v>MSY0</v>
      </c>
      <c r="Q662" s="2" t="str">
        <f t="shared" si="74"/>
        <v>MSY0Primary Steering Pump</v>
      </c>
      <c r="R662" s="2" t="str">
        <f>New_Xref[[#This Row],[Serial Prefix]]&amp;IF(New_Xref[[#This Row],[Func Loc]]&lt;&gt;"",New_Xref[[#This Row],[Func Loc]],"NO MATCH")</f>
        <v>MSY0STRG .PUMP.SP01</v>
      </c>
      <c r="S662" s="3" t="str">
        <f t="shared" si="75"/>
        <v>MSY010R9089Primary Steering Pump</v>
      </c>
      <c r="T662" s="3" t="s">
        <v>342</v>
      </c>
      <c r="U662" s="3" t="s">
        <v>34</v>
      </c>
      <c r="V662" t="str">
        <f t="shared" si="76"/>
        <v>430600</v>
      </c>
    </row>
    <row r="663" spans="1:22">
      <c r="A663" t="s">
        <v>2628</v>
      </c>
      <c r="B663" t="s">
        <v>2634</v>
      </c>
      <c r="C663" t="s">
        <v>2472</v>
      </c>
      <c r="D663" t="s">
        <v>2473</v>
      </c>
      <c r="E663" t="s">
        <v>2474</v>
      </c>
      <c r="F663" t="s">
        <v>27</v>
      </c>
      <c r="G663">
        <v>1</v>
      </c>
      <c r="H663" t="s">
        <v>2826</v>
      </c>
      <c r="I663" t="s">
        <v>2827</v>
      </c>
      <c r="J663" t="s">
        <v>2828</v>
      </c>
      <c r="K663" t="s">
        <v>2827</v>
      </c>
      <c r="L663" t="s">
        <v>83</v>
      </c>
      <c r="M663" s="1" t="str">
        <f t="shared" si="70"/>
        <v>06D327</v>
      </c>
      <c r="N663" s="1" t="str">
        <f t="shared" si="71"/>
        <v>C/O</v>
      </c>
      <c r="O663" s="1" t="str">
        <f t="shared" si="72"/>
        <v>Water System Hydraulic Pump</v>
      </c>
      <c r="P663" s="1" t="str">
        <f t="shared" si="73"/>
        <v>DMC0</v>
      </c>
      <c r="Q663" s="2" t="str">
        <f t="shared" si="74"/>
        <v>DMC0Water System Hydraulic Pump</v>
      </c>
      <c r="R663" s="2" t="str">
        <f>New_Xref[[#This Row],[Serial Prefix]]&amp;IF(New_Xref[[#This Row],[Func Loc]]&lt;&gt;"",New_Xref[[#This Row],[Func Loc]],"NO MATCH")</f>
        <v>DMC0NO MATCH</v>
      </c>
      <c r="S663" s="3" t="str">
        <f t="shared" si="75"/>
        <v>DMC04595771Water System Hydraulic Pump</v>
      </c>
      <c r="T663" s="3" t="s">
        <v>220</v>
      </c>
      <c r="U663" s="3" t="s">
        <v>34</v>
      </c>
      <c r="V663" t="str">
        <f t="shared" si="76"/>
        <v>507000</v>
      </c>
    </row>
    <row r="664" spans="1:22">
      <c r="A664" t="s">
        <v>2628</v>
      </c>
      <c r="B664" t="s">
        <v>2629</v>
      </c>
      <c r="C664" t="s">
        <v>496</v>
      </c>
      <c r="D664" t="s">
        <v>497</v>
      </c>
      <c r="E664" t="s">
        <v>498</v>
      </c>
      <c r="F664" t="s">
        <v>27</v>
      </c>
      <c r="G664">
        <v>1</v>
      </c>
      <c r="H664" t="s">
        <v>2829</v>
      </c>
      <c r="I664" t="s">
        <v>2830</v>
      </c>
      <c r="J664" t="s">
        <v>2831</v>
      </c>
      <c r="K664" t="s">
        <v>2830</v>
      </c>
      <c r="L664" t="s">
        <v>2832</v>
      </c>
      <c r="M664" s="1" t="str">
        <f t="shared" si="70"/>
        <v>06H721</v>
      </c>
      <c r="N664" s="1" t="str">
        <f t="shared" si="71"/>
        <v>C/O</v>
      </c>
      <c r="O664" s="1" t="str">
        <f t="shared" si="72"/>
        <v>Water System Hydraulic Pump</v>
      </c>
      <c r="P664" s="1" t="str">
        <f t="shared" si="73"/>
        <v>DMC0</v>
      </c>
      <c r="Q664" s="2" t="str">
        <f t="shared" si="74"/>
        <v>DMC0Water System Hydraulic Pump</v>
      </c>
      <c r="R664" s="2" t="str">
        <f>New_Xref[[#This Row],[Serial Prefix]]&amp;IF(New_Xref[[#This Row],[Func Loc]]&lt;&gt;"",New_Xref[[#This Row],[Func Loc]],"NO MATCH")</f>
        <v>DMC0STRU .WATA.HP01</v>
      </c>
      <c r="S664" s="3" t="str">
        <f t="shared" si="75"/>
        <v>DMC01778924Water System Hydraulic Pump</v>
      </c>
      <c r="T664" s="3" t="s">
        <v>503</v>
      </c>
      <c r="U664" s="3" t="s">
        <v>34</v>
      </c>
      <c r="V664" t="str">
        <f t="shared" si="76"/>
        <v>507300</v>
      </c>
    </row>
    <row r="665" spans="1:22">
      <c r="A665" t="s">
        <v>2628</v>
      </c>
      <c r="B665" t="s">
        <v>2629</v>
      </c>
      <c r="C665" t="s">
        <v>496</v>
      </c>
      <c r="D665" t="s">
        <v>497</v>
      </c>
      <c r="E665" t="s">
        <v>498</v>
      </c>
      <c r="F665" t="s">
        <v>27</v>
      </c>
      <c r="G665">
        <v>1</v>
      </c>
      <c r="H665" t="s">
        <v>2833</v>
      </c>
      <c r="I665" t="s">
        <v>2834</v>
      </c>
      <c r="J665" t="s">
        <v>2835</v>
      </c>
      <c r="K665" t="s">
        <v>2834</v>
      </c>
      <c r="L665" t="s">
        <v>2836</v>
      </c>
      <c r="M665" s="1" t="str">
        <f t="shared" si="70"/>
        <v>06H721</v>
      </c>
      <c r="N665" s="1" t="str">
        <f t="shared" si="71"/>
        <v>C/O</v>
      </c>
      <c r="O665" s="1" t="str">
        <f t="shared" si="72"/>
        <v>Water System Hyd Charge Pump</v>
      </c>
      <c r="P665" s="1" t="str">
        <f t="shared" si="73"/>
        <v>DMC0</v>
      </c>
      <c r="Q665" s="2" t="str">
        <f t="shared" si="74"/>
        <v>DMC0Water System Hyd Charge Pump</v>
      </c>
      <c r="R665" s="2" t="str">
        <f>New_Xref[[#This Row],[Serial Prefix]]&amp;IF(New_Xref[[#This Row],[Func Loc]]&lt;&gt;"",New_Xref[[#This Row],[Func Loc]],"NO MATCH")</f>
        <v>DMC0STRU .WATA.HP02</v>
      </c>
      <c r="S665" s="3" t="str">
        <f t="shared" si="75"/>
        <v>DMC01778924Water System Hyd Charge Pump</v>
      </c>
      <c r="T665" s="3" t="s">
        <v>503</v>
      </c>
      <c r="U665" s="3" t="s">
        <v>34</v>
      </c>
      <c r="V665" t="str">
        <f t="shared" si="76"/>
        <v>507300</v>
      </c>
    </row>
    <row r="666" spans="1:22">
      <c r="A666" t="s">
        <v>2628</v>
      </c>
      <c r="B666" t="s">
        <v>2634</v>
      </c>
      <c r="C666" t="s">
        <v>2600</v>
      </c>
      <c r="D666" t="s">
        <v>2601</v>
      </c>
      <c r="E666" t="s">
        <v>2602</v>
      </c>
      <c r="F666" t="s">
        <v>27</v>
      </c>
      <c r="G666">
        <v>1</v>
      </c>
      <c r="H666" t="s">
        <v>2837</v>
      </c>
      <c r="I666" t="s">
        <v>2838</v>
      </c>
      <c r="J666" t="s">
        <v>2839</v>
      </c>
      <c r="K666" t="s">
        <v>2838</v>
      </c>
      <c r="L666" t="s">
        <v>2453</v>
      </c>
      <c r="M666" s="1" t="str">
        <f t="shared" si="70"/>
        <v>06D327</v>
      </c>
      <c r="N666" s="1" t="str">
        <f t="shared" si="71"/>
        <v>C/O</v>
      </c>
      <c r="O666" s="1" t="str">
        <f t="shared" si="72"/>
        <v>Hoist &amp; Brake Cooling Pump</v>
      </c>
      <c r="P666" s="1" t="str">
        <f t="shared" si="73"/>
        <v>DMC0</v>
      </c>
      <c r="Q666" s="2" t="str">
        <f t="shared" si="74"/>
        <v>DMC0Hoist &amp; Brake Cooling Pump</v>
      </c>
      <c r="R666" s="2" t="str">
        <f>New_Xref[[#This Row],[Serial Prefix]]&amp;IF(New_Xref[[#This Row],[Func Loc]]&lt;&gt;"",New_Xref[[#This Row],[Func Loc]],"NO MATCH")</f>
        <v>DMC0MYHD .PUMP.HP01</v>
      </c>
      <c r="S666" s="3" t="str">
        <f t="shared" si="75"/>
        <v>DMC010R7971Hoist &amp; Brake Cooling Pump</v>
      </c>
      <c r="T666" s="3" t="s">
        <v>2607</v>
      </c>
      <c r="U666" s="3" t="s">
        <v>34</v>
      </c>
      <c r="V666" t="str">
        <f t="shared" si="76"/>
        <v>508300</v>
      </c>
    </row>
    <row r="667" spans="1:22">
      <c r="A667" t="s">
        <v>2628</v>
      </c>
      <c r="B667" t="s">
        <v>2690</v>
      </c>
      <c r="C667" t="s">
        <v>2600</v>
      </c>
      <c r="D667" t="s">
        <v>2601</v>
      </c>
      <c r="E667" t="s">
        <v>2602</v>
      </c>
      <c r="F667" t="s">
        <v>27</v>
      </c>
      <c r="G667">
        <v>1</v>
      </c>
      <c r="H667" t="s">
        <v>2840</v>
      </c>
      <c r="I667" t="s">
        <v>2841</v>
      </c>
      <c r="J667" t="s">
        <v>2842</v>
      </c>
      <c r="K667" t="s">
        <v>2841</v>
      </c>
      <c r="L667" t="s">
        <v>2453</v>
      </c>
      <c r="M667" s="1" t="str">
        <f t="shared" si="70"/>
        <v>06R915</v>
      </c>
      <c r="N667" s="1" t="str">
        <f t="shared" si="71"/>
        <v>C/O</v>
      </c>
      <c r="O667" s="1" t="str">
        <f t="shared" si="72"/>
        <v>Hoist &amp; Brake Cooling Pump</v>
      </c>
      <c r="P667" s="1" t="str">
        <f t="shared" si="73"/>
        <v>MSY0</v>
      </c>
      <c r="Q667" s="2" t="str">
        <f t="shared" si="74"/>
        <v>MSY0Hoist &amp; Brake Cooling Pump</v>
      </c>
      <c r="R667" s="2" t="str">
        <f>New_Xref[[#This Row],[Serial Prefix]]&amp;IF(New_Xref[[#This Row],[Func Loc]]&lt;&gt;"",New_Xref[[#This Row],[Func Loc]],"NO MATCH")</f>
        <v>MSY0MYHD .PUMP.HP01</v>
      </c>
      <c r="S667" s="3" t="str">
        <f t="shared" si="75"/>
        <v>MSY010R7971Hoist &amp; Brake Cooling Pump</v>
      </c>
      <c r="T667" s="3" t="s">
        <v>2607</v>
      </c>
      <c r="U667" s="3" t="s">
        <v>34</v>
      </c>
      <c r="V667" t="str">
        <f t="shared" si="76"/>
        <v>508300</v>
      </c>
    </row>
    <row r="668" spans="1:22">
      <c r="A668" t="s">
        <v>2628</v>
      </c>
      <c r="B668" t="s">
        <v>2634</v>
      </c>
      <c r="C668" t="s">
        <v>2843</v>
      </c>
      <c r="D668" t="s">
        <v>2844</v>
      </c>
      <c r="E668" t="s">
        <v>2845</v>
      </c>
      <c r="F668" t="s">
        <v>27</v>
      </c>
      <c r="G668">
        <v>1</v>
      </c>
      <c r="H668" t="s">
        <v>2846</v>
      </c>
      <c r="I668" t="s">
        <v>2847</v>
      </c>
      <c r="J668" t="s">
        <v>2848</v>
      </c>
      <c r="K668" t="s">
        <v>2847</v>
      </c>
      <c r="L668" t="s">
        <v>778</v>
      </c>
      <c r="M668" s="1" t="str">
        <f t="shared" si="70"/>
        <v>06D327</v>
      </c>
      <c r="N668" s="1" t="str">
        <f t="shared" si="71"/>
        <v>C/O</v>
      </c>
      <c r="O668" s="1" t="str">
        <f t="shared" si="72"/>
        <v>Suspension LHF</v>
      </c>
      <c r="P668" s="1" t="str">
        <f t="shared" si="73"/>
        <v>DMC0</v>
      </c>
      <c r="Q668" s="2" t="str">
        <f t="shared" si="74"/>
        <v>DMC0Suspension LHF</v>
      </c>
      <c r="R668" s="2" t="str">
        <f>New_Xref[[#This Row],[Serial Prefix]]&amp;IF(New_Xref[[#This Row],[Func Loc]]&lt;&gt;"",New_Xref[[#This Row],[Func Loc]],"NO MATCH")</f>
        <v>DMC0STRU .SUGR.SG01</v>
      </c>
      <c r="S668" s="3" t="str">
        <f t="shared" si="75"/>
        <v>DMC03315006XSuspension LHF</v>
      </c>
      <c r="T668" s="3" t="s">
        <v>511</v>
      </c>
      <c r="U668" s="3" t="s">
        <v>89</v>
      </c>
      <c r="V668" t="str">
        <f t="shared" si="76"/>
        <v>7201LF</v>
      </c>
    </row>
    <row r="669" spans="1:22">
      <c r="A669" t="s">
        <v>2628</v>
      </c>
      <c r="B669" t="s">
        <v>2634</v>
      </c>
      <c r="C669" t="s">
        <v>2843</v>
      </c>
      <c r="D669" t="s">
        <v>2844</v>
      </c>
      <c r="E669" t="s">
        <v>2845</v>
      </c>
      <c r="F669" t="s">
        <v>27</v>
      </c>
      <c r="G669">
        <v>1</v>
      </c>
      <c r="H669" t="s">
        <v>2846</v>
      </c>
      <c r="I669" t="s">
        <v>2849</v>
      </c>
      <c r="J669" t="s">
        <v>2850</v>
      </c>
      <c r="K669" t="s">
        <v>2849</v>
      </c>
      <c r="L669" t="s">
        <v>781</v>
      </c>
      <c r="M669" s="1" t="str">
        <f t="shared" si="70"/>
        <v>06D327</v>
      </c>
      <c r="N669" s="1" t="str">
        <f t="shared" si="71"/>
        <v>C/O</v>
      </c>
      <c r="O669" s="1" t="str">
        <f t="shared" si="72"/>
        <v>Suspension RHF</v>
      </c>
      <c r="P669" s="1" t="str">
        <f t="shared" si="73"/>
        <v>DMC0</v>
      </c>
      <c r="Q669" s="2" t="str">
        <f t="shared" si="74"/>
        <v>DMC0Suspension RHF</v>
      </c>
      <c r="R669" s="2" t="str">
        <f>New_Xref[[#This Row],[Serial Prefix]]&amp;IF(New_Xref[[#This Row],[Func Loc]]&lt;&gt;"",New_Xref[[#This Row],[Func Loc]],"NO MATCH")</f>
        <v>DMC0STRU .SUGR.SG02</v>
      </c>
      <c r="S669" s="3" t="str">
        <f t="shared" si="75"/>
        <v>DMC03315006XSuspension RHF</v>
      </c>
      <c r="T669" s="3" t="s">
        <v>511</v>
      </c>
      <c r="U669" s="3" t="s">
        <v>92</v>
      </c>
      <c r="V669" t="str">
        <f t="shared" si="76"/>
        <v>7201RF</v>
      </c>
    </row>
    <row r="670" spans="1:22">
      <c r="A670" t="s">
        <v>2628</v>
      </c>
      <c r="B670" t="s">
        <v>2690</v>
      </c>
      <c r="C670" t="s">
        <v>2843</v>
      </c>
      <c r="D670" t="s">
        <v>2844</v>
      </c>
      <c r="E670" t="s">
        <v>2845</v>
      </c>
      <c r="F670" t="s">
        <v>27</v>
      </c>
      <c r="G670">
        <v>1</v>
      </c>
      <c r="H670" t="s">
        <v>2851</v>
      </c>
      <c r="I670" t="s">
        <v>2852</v>
      </c>
      <c r="J670" t="s">
        <v>2853</v>
      </c>
      <c r="K670" t="s">
        <v>2852</v>
      </c>
      <c r="L670" t="s">
        <v>781</v>
      </c>
      <c r="M670" s="1" t="str">
        <f t="shared" si="70"/>
        <v>06R915</v>
      </c>
      <c r="N670" s="1" t="str">
        <f t="shared" si="71"/>
        <v>C/O</v>
      </c>
      <c r="O670" s="1" t="str">
        <f t="shared" si="72"/>
        <v>Suspension RHF</v>
      </c>
      <c r="P670" s="1" t="str">
        <f t="shared" si="73"/>
        <v>MSY0</v>
      </c>
      <c r="Q670" s="2" t="str">
        <f t="shared" si="74"/>
        <v>MSY0Suspension RHF</v>
      </c>
      <c r="R670" s="2" t="str">
        <f>New_Xref[[#This Row],[Serial Prefix]]&amp;IF(New_Xref[[#This Row],[Func Loc]]&lt;&gt;"",New_Xref[[#This Row],[Func Loc]],"NO MATCH")</f>
        <v>MSY0STRU .SUGR.SG02</v>
      </c>
      <c r="S670" s="3" t="str">
        <f t="shared" si="75"/>
        <v>MSY03315006XSuspension RHF</v>
      </c>
      <c r="T670" s="3" t="s">
        <v>511</v>
      </c>
      <c r="U670" s="3" t="s">
        <v>92</v>
      </c>
      <c r="V670" t="str">
        <f t="shared" si="76"/>
        <v>7201RF</v>
      </c>
    </row>
    <row r="671" spans="1:22">
      <c r="A671" t="s">
        <v>2628</v>
      </c>
      <c r="B671" t="s">
        <v>2690</v>
      </c>
      <c r="C671" t="s">
        <v>2843</v>
      </c>
      <c r="D671" t="s">
        <v>2844</v>
      </c>
      <c r="E671" t="s">
        <v>2845</v>
      </c>
      <c r="F671" t="s">
        <v>27</v>
      </c>
      <c r="G671">
        <v>1</v>
      </c>
      <c r="H671" t="s">
        <v>2851</v>
      </c>
      <c r="I671" t="s">
        <v>2854</v>
      </c>
      <c r="J671" t="s">
        <v>2855</v>
      </c>
      <c r="K671" t="s">
        <v>2854</v>
      </c>
      <c r="L671" t="s">
        <v>778</v>
      </c>
      <c r="M671" s="1" t="str">
        <f t="shared" si="70"/>
        <v>06R915</v>
      </c>
      <c r="N671" s="1" t="str">
        <f t="shared" si="71"/>
        <v>C/O</v>
      </c>
      <c r="O671" s="1" t="str">
        <f t="shared" si="72"/>
        <v>Suspension LHF</v>
      </c>
      <c r="P671" s="1" t="str">
        <f t="shared" si="73"/>
        <v>MSY0</v>
      </c>
      <c r="Q671" s="2" t="str">
        <f t="shared" si="74"/>
        <v>MSY0Suspension LHF</v>
      </c>
      <c r="R671" s="2" t="str">
        <f>New_Xref[[#This Row],[Serial Prefix]]&amp;IF(New_Xref[[#This Row],[Func Loc]]&lt;&gt;"",New_Xref[[#This Row],[Func Loc]],"NO MATCH")</f>
        <v>MSY0STRU .SUGR.SG01</v>
      </c>
      <c r="S671" s="3" t="str">
        <f t="shared" si="75"/>
        <v>MSY03315006XSuspension LHF</v>
      </c>
      <c r="T671" s="3" t="s">
        <v>511</v>
      </c>
      <c r="U671" s="3" t="s">
        <v>89</v>
      </c>
      <c r="V671" t="str">
        <f t="shared" si="76"/>
        <v>7201LF</v>
      </c>
    </row>
    <row r="672" spans="1:22">
      <c r="A672" t="s">
        <v>2628</v>
      </c>
      <c r="B672" t="s">
        <v>2634</v>
      </c>
      <c r="C672" t="s">
        <v>2618</v>
      </c>
      <c r="D672" t="s">
        <v>2619</v>
      </c>
      <c r="E672" t="s">
        <v>2620</v>
      </c>
      <c r="F672" t="s">
        <v>27</v>
      </c>
      <c r="G672">
        <v>1</v>
      </c>
      <c r="H672" t="s">
        <v>2856</v>
      </c>
      <c r="I672" t="s">
        <v>2857</v>
      </c>
      <c r="J672" t="s">
        <v>2858</v>
      </c>
      <c r="K672" t="s">
        <v>2857</v>
      </c>
      <c r="L672" t="s">
        <v>788</v>
      </c>
      <c r="M672" s="1" t="str">
        <f t="shared" si="70"/>
        <v>06D327</v>
      </c>
      <c r="N672" s="1" t="str">
        <f t="shared" si="71"/>
        <v>C/O</v>
      </c>
      <c r="O672" s="1" t="str">
        <f t="shared" si="72"/>
        <v>Suspension LHR</v>
      </c>
      <c r="P672" s="1" t="str">
        <f t="shared" si="73"/>
        <v>DMC0</v>
      </c>
      <c r="Q672" s="2" t="str">
        <f t="shared" si="74"/>
        <v>DMC0Suspension LHR</v>
      </c>
      <c r="R672" s="2" t="str">
        <f>New_Xref[[#This Row],[Serial Prefix]]&amp;IF(New_Xref[[#This Row],[Func Loc]]&lt;&gt;"",New_Xref[[#This Row],[Func Loc]],"NO MATCH")</f>
        <v>DMC0STRU .SUGR.SG03</v>
      </c>
      <c r="S672" s="3" t="str">
        <f t="shared" si="75"/>
        <v>DMC04568724XSuspension LHR</v>
      </c>
      <c r="T672" s="3" t="s">
        <v>521</v>
      </c>
      <c r="U672" s="3" t="s">
        <v>96</v>
      </c>
      <c r="V672" t="str">
        <f t="shared" si="76"/>
        <v>7213LR</v>
      </c>
    </row>
    <row r="673" spans="1:22">
      <c r="A673" t="s">
        <v>2628</v>
      </c>
      <c r="B673" t="s">
        <v>2634</v>
      </c>
      <c r="C673" t="s">
        <v>2618</v>
      </c>
      <c r="D673" t="s">
        <v>2619</v>
      </c>
      <c r="E673" t="s">
        <v>2620</v>
      </c>
      <c r="F673" t="s">
        <v>27</v>
      </c>
      <c r="G673">
        <v>1</v>
      </c>
      <c r="H673" t="s">
        <v>2856</v>
      </c>
      <c r="I673" t="s">
        <v>2859</v>
      </c>
      <c r="J673" t="s">
        <v>2860</v>
      </c>
      <c r="K673" t="s">
        <v>2859</v>
      </c>
      <c r="L673" t="s">
        <v>791</v>
      </c>
      <c r="M673" s="1" t="str">
        <f t="shared" si="70"/>
        <v>06D327</v>
      </c>
      <c r="N673" s="1" t="str">
        <f t="shared" si="71"/>
        <v>C/O</v>
      </c>
      <c r="O673" s="1" t="str">
        <f t="shared" si="72"/>
        <v>Suspension RHR</v>
      </c>
      <c r="P673" s="1" t="str">
        <f t="shared" si="73"/>
        <v>DMC0</v>
      </c>
      <c r="Q673" s="2" t="str">
        <f t="shared" si="74"/>
        <v>DMC0Suspension RHR</v>
      </c>
      <c r="R673" s="2" t="str">
        <f>New_Xref[[#This Row],[Serial Prefix]]&amp;IF(New_Xref[[#This Row],[Func Loc]]&lt;&gt;"",New_Xref[[#This Row],[Func Loc]],"NO MATCH")</f>
        <v>DMC0STRU .SUGR.SG04</v>
      </c>
      <c r="S673" s="3" t="str">
        <f t="shared" si="75"/>
        <v>DMC04568724XSuspension RHR</v>
      </c>
      <c r="T673" s="3" t="s">
        <v>521</v>
      </c>
      <c r="U673" s="3" t="s">
        <v>99</v>
      </c>
      <c r="V673" t="str">
        <f t="shared" si="76"/>
        <v>7213RR</v>
      </c>
    </row>
    <row r="674" spans="1:22">
      <c r="A674" t="s">
        <v>2628</v>
      </c>
      <c r="B674" t="s">
        <v>2649</v>
      </c>
      <c r="H674" t="s">
        <v>2861</v>
      </c>
      <c r="I674" t="s">
        <v>2862</v>
      </c>
      <c r="J674" t="s">
        <v>2863</v>
      </c>
      <c r="K674" t="s">
        <v>2862</v>
      </c>
      <c r="L674" t="s">
        <v>788</v>
      </c>
      <c r="M674" s="1" t="str">
        <f t="shared" si="70"/>
        <v>06H637</v>
      </c>
      <c r="N674" s="1" t="str">
        <f t="shared" si="71"/>
        <v>C/O</v>
      </c>
      <c r="O674" s="1" t="str">
        <f t="shared" si="72"/>
        <v>Suspension LHR</v>
      </c>
      <c r="P674" s="1" t="str">
        <f t="shared" si="73"/>
        <v>MSY0</v>
      </c>
      <c r="Q674" s="2" t="str">
        <f t="shared" si="74"/>
        <v>MSY0Suspension LHR</v>
      </c>
      <c r="R674" s="2" t="str">
        <f>New_Xref[[#This Row],[Serial Prefix]]&amp;IF(New_Xref[[#This Row],[Func Loc]]&lt;&gt;"",New_Xref[[#This Row],[Func Loc]],"NO MATCH")</f>
        <v>MSY0STRU .SUGR.SG03</v>
      </c>
      <c r="S674" s="3" t="str">
        <f t="shared" si="75"/>
        <v>MSY0Suspension LHR</v>
      </c>
      <c r="T674" s="3" t="s">
        <v>521</v>
      </c>
      <c r="U674" s="3" t="s">
        <v>96</v>
      </c>
      <c r="V674" t="str">
        <f t="shared" si="76"/>
        <v>7213LR</v>
      </c>
    </row>
    <row r="675" spans="1:22">
      <c r="A675" t="s">
        <v>2628</v>
      </c>
      <c r="B675" t="s">
        <v>2649</v>
      </c>
      <c r="H675" t="s">
        <v>2861</v>
      </c>
      <c r="I675" t="s">
        <v>2864</v>
      </c>
      <c r="J675" t="s">
        <v>2865</v>
      </c>
      <c r="K675" t="s">
        <v>2864</v>
      </c>
      <c r="L675" t="s">
        <v>791</v>
      </c>
      <c r="M675" s="1" t="str">
        <f t="shared" si="70"/>
        <v>06H637</v>
      </c>
      <c r="N675" s="1" t="str">
        <f t="shared" si="71"/>
        <v>C/O</v>
      </c>
      <c r="O675" s="1" t="str">
        <f t="shared" si="72"/>
        <v>Suspension RHR</v>
      </c>
      <c r="P675" s="1" t="str">
        <f t="shared" si="73"/>
        <v>MSY0</v>
      </c>
      <c r="Q675" s="2" t="str">
        <f t="shared" si="74"/>
        <v>MSY0Suspension RHR</v>
      </c>
      <c r="R675" s="2" t="str">
        <f>New_Xref[[#This Row],[Serial Prefix]]&amp;IF(New_Xref[[#This Row],[Func Loc]]&lt;&gt;"",New_Xref[[#This Row],[Func Loc]],"NO MATCH")</f>
        <v>MSY0STRU .SUGR.SG04</v>
      </c>
      <c r="S675" s="3" t="str">
        <f t="shared" si="75"/>
        <v>MSY0Suspension RHR</v>
      </c>
      <c r="T675" s="3" t="s">
        <v>521</v>
      </c>
      <c r="U675" s="3" t="s">
        <v>99</v>
      </c>
      <c r="V675" t="str">
        <f t="shared" si="76"/>
        <v>7213RR</v>
      </c>
    </row>
    <row r="676" spans="1:22">
      <c r="A676" t="s">
        <v>2866</v>
      </c>
      <c r="B676" t="s">
        <v>2867</v>
      </c>
      <c r="C676" t="s">
        <v>2868</v>
      </c>
      <c r="D676" t="s">
        <v>2869</v>
      </c>
      <c r="E676" t="s">
        <v>2870</v>
      </c>
      <c r="F676" t="s">
        <v>27</v>
      </c>
      <c r="G676">
        <v>1</v>
      </c>
      <c r="H676" t="s">
        <v>2871</v>
      </c>
      <c r="I676" t="s">
        <v>2872</v>
      </c>
      <c r="J676" t="s">
        <v>2873</v>
      </c>
      <c r="K676" t="s">
        <v>2874</v>
      </c>
      <c r="L676" t="s">
        <v>83</v>
      </c>
      <c r="M676" s="1" t="str">
        <f t="shared" si="70"/>
        <v>06H117</v>
      </c>
      <c r="N676" s="1" t="str">
        <f t="shared" si="71"/>
        <v>C/O</v>
      </c>
      <c r="O676" s="1" t="str">
        <f t="shared" si="72"/>
        <v>Engine INLINE</v>
      </c>
      <c r="P676" s="1" t="str">
        <f t="shared" si="73"/>
        <v>2BW0</v>
      </c>
      <c r="Q676" s="2" t="str">
        <f t="shared" si="74"/>
        <v>2BW0Engine INLINE</v>
      </c>
      <c r="R676" s="2" t="str">
        <f>New_Xref[[#This Row],[Serial Prefix]]&amp;IF(New_Xref[[#This Row],[Func Loc]]&lt;&gt;"",New_Xref[[#This Row],[Func Loc]],"NO MATCH")</f>
        <v>2BW0NO MATCH</v>
      </c>
      <c r="S676" s="3" t="str">
        <f t="shared" si="75"/>
        <v>2BW01755289XEngine INLINE</v>
      </c>
      <c r="T676" s="3" t="s">
        <v>33</v>
      </c>
      <c r="U676" s="3" t="s">
        <v>34</v>
      </c>
      <c r="V676" t="str">
        <f t="shared" si="76"/>
        <v>100000</v>
      </c>
    </row>
    <row r="677" spans="1:22">
      <c r="A677" t="s">
        <v>2866</v>
      </c>
      <c r="B677" t="s">
        <v>2875</v>
      </c>
      <c r="C677" t="s">
        <v>2868</v>
      </c>
      <c r="D677" t="s">
        <v>2869</v>
      </c>
      <c r="E677" t="s">
        <v>2870</v>
      </c>
      <c r="F677" t="s">
        <v>27</v>
      </c>
      <c r="G677">
        <v>1</v>
      </c>
      <c r="H677" t="s">
        <v>2871</v>
      </c>
      <c r="I677" t="s">
        <v>2876</v>
      </c>
      <c r="J677" t="s">
        <v>2877</v>
      </c>
      <c r="K677" t="s">
        <v>2878</v>
      </c>
      <c r="L677" t="s">
        <v>32</v>
      </c>
      <c r="M677" s="1" t="str">
        <f t="shared" si="70"/>
        <v>06R39</v>
      </c>
      <c r="N677" s="1" t="str">
        <f t="shared" si="71"/>
        <v>C/O</v>
      </c>
      <c r="O677" s="1" t="str">
        <f t="shared" si="72"/>
        <v>Engine</v>
      </c>
      <c r="P677" s="1" t="str">
        <f t="shared" si="73"/>
        <v>2BW7</v>
      </c>
      <c r="Q677" s="2" t="str">
        <f t="shared" si="74"/>
        <v>2BW7Engine</v>
      </c>
      <c r="R677" s="2" t="str">
        <f>New_Xref[[#This Row],[Serial Prefix]]&amp;IF(New_Xref[[#This Row],[Func Loc]]&lt;&gt;"",New_Xref[[#This Row],[Func Loc]],"NO MATCH")</f>
        <v>2BW7ENGD</v>
      </c>
      <c r="S677" s="3" t="str">
        <f t="shared" si="75"/>
        <v>2BW71755289XEngine</v>
      </c>
      <c r="T677" s="3" t="s">
        <v>33</v>
      </c>
      <c r="U677" s="3" t="s">
        <v>34</v>
      </c>
      <c r="V677" t="str">
        <f t="shared" si="76"/>
        <v>100000</v>
      </c>
    </row>
    <row r="678" spans="1:22">
      <c r="A678" t="s">
        <v>2866</v>
      </c>
      <c r="B678" t="s">
        <v>2867</v>
      </c>
      <c r="C678" t="s">
        <v>2879</v>
      </c>
      <c r="D678" t="s">
        <v>2880</v>
      </c>
      <c r="E678" t="s">
        <v>42</v>
      </c>
      <c r="F678" t="s">
        <v>27</v>
      </c>
      <c r="G678">
        <v>1</v>
      </c>
      <c r="H678" t="s">
        <v>2881</v>
      </c>
      <c r="I678" t="s">
        <v>2872</v>
      </c>
      <c r="J678" t="s">
        <v>2882</v>
      </c>
      <c r="K678" t="s">
        <v>2883</v>
      </c>
      <c r="L678" t="s">
        <v>83</v>
      </c>
      <c r="M678" s="1" t="str">
        <f t="shared" si="70"/>
        <v>06H117</v>
      </c>
      <c r="N678" s="1" t="str">
        <f t="shared" si="71"/>
        <v>C/O</v>
      </c>
      <c r="O678" s="1" t="str">
        <f t="shared" si="72"/>
        <v>Turbocharger LHF</v>
      </c>
      <c r="P678" s="1" t="str">
        <f t="shared" si="73"/>
        <v>2BW0</v>
      </c>
      <c r="Q678" s="2" t="str">
        <f t="shared" si="74"/>
        <v>2BW0Turbocharger LHF</v>
      </c>
      <c r="R678" s="2" t="str">
        <f>New_Xref[[#This Row],[Serial Prefix]]&amp;IF(New_Xref[[#This Row],[Func Loc]]&lt;&gt;"",New_Xref[[#This Row],[Func Loc]],"NO MATCH")</f>
        <v>2BW0NO MATCH</v>
      </c>
      <c r="S678" s="3" t="str">
        <f t="shared" si="75"/>
        <v>2BW020R6651Turbocharger LHF</v>
      </c>
      <c r="T678" s="3" t="s">
        <v>47</v>
      </c>
      <c r="U678" s="3" t="s">
        <v>89</v>
      </c>
      <c r="V678" t="str">
        <f t="shared" si="76"/>
        <v>1052LF</v>
      </c>
    </row>
    <row r="679" spans="1:22">
      <c r="A679" t="s">
        <v>2866</v>
      </c>
      <c r="B679" t="s">
        <v>2867</v>
      </c>
      <c r="C679" t="s">
        <v>2879</v>
      </c>
      <c r="D679" t="s">
        <v>2880</v>
      </c>
      <c r="E679" t="s">
        <v>42</v>
      </c>
      <c r="F679" t="s">
        <v>27</v>
      </c>
      <c r="G679">
        <v>1</v>
      </c>
      <c r="H679" t="s">
        <v>2881</v>
      </c>
      <c r="I679" t="s">
        <v>2872</v>
      </c>
      <c r="J679" t="s">
        <v>2884</v>
      </c>
      <c r="K679" t="s">
        <v>2885</v>
      </c>
      <c r="L679" t="s">
        <v>83</v>
      </c>
      <c r="M679" s="1" t="str">
        <f t="shared" si="70"/>
        <v>06H117</v>
      </c>
      <c r="N679" s="1" t="str">
        <f t="shared" si="71"/>
        <v>C/O</v>
      </c>
      <c r="O679" s="1" t="str">
        <f t="shared" si="72"/>
        <v>Turbocharger LHR</v>
      </c>
      <c r="P679" s="1" t="str">
        <f t="shared" si="73"/>
        <v>2BW0</v>
      </c>
      <c r="Q679" s="2" t="str">
        <f t="shared" si="74"/>
        <v>2BW0Turbocharger LHR</v>
      </c>
      <c r="R679" s="2" t="str">
        <f>New_Xref[[#This Row],[Serial Prefix]]&amp;IF(New_Xref[[#This Row],[Func Loc]]&lt;&gt;"",New_Xref[[#This Row],[Func Loc]],"NO MATCH")</f>
        <v>2BW0NO MATCH</v>
      </c>
      <c r="S679" s="3" t="str">
        <f t="shared" si="75"/>
        <v>2BW020R6651Turbocharger LHR</v>
      </c>
      <c r="T679" s="3" t="s">
        <v>47</v>
      </c>
      <c r="U679" s="3" t="s">
        <v>96</v>
      </c>
      <c r="V679" t="str">
        <f t="shared" si="76"/>
        <v>1052LR</v>
      </c>
    </row>
    <row r="680" spans="1:22">
      <c r="A680" t="s">
        <v>2866</v>
      </c>
      <c r="B680" t="s">
        <v>2867</v>
      </c>
      <c r="C680" t="s">
        <v>2879</v>
      </c>
      <c r="D680" t="s">
        <v>2880</v>
      </c>
      <c r="E680" t="s">
        <v>42</v>
      </c>
      <c r="F680" t="s">
        <v>27</v>
      </c>
      <c r="G680">
        <v>1</v>
      </c>
      <c r="H680" t="s">
        <v>2881</v>
      </c>
      <c r="I680" t="s">
        <v>2872</v>
      </c>
      <c r="J680" t="s">
        <v>2886</v>
      </c>
      <c r="K680" t="s">
        <v>2887</v>
      </c>
      <c r="L680" t="s">
        <v>83</v>
      </c>
      <c r="M680" s="1" t="str">
        <f t="shared" si="70"/>
        <v>06H117</v>
      </c>
      <c r="N680" s="1" t="str">
        <f t="shared" si="71"/>
        <v>C/O</v>
      </c>
      <c r="O680" s="1" t="str">
        <f t="shared" si="72"/>
        <v>Turbocharger RHF</v>
      </c>
      <c r="P680" s="1" t="str">
        <f t="shared" si="73"/>
        <v>2BW0</v>
      </c>
      <c r="Q680" s="2" t="str">
        <f t="shared" si="74"/>
        <v>2BW0Turbocharger RHF</v>
      </c>
      <c r="R680" s="2" t="str">
        <f>New_Xref[[#This Row],[Serial Prefix]]&amp;IF(New_Xref[[#This Row],[Func Loc]]&lt;&gt;"",New_Xref[[#This Row],[Func Loc]],"NO MATCH")</f>
        <v>2BW0NO MATCH</v>
      </c>
      <c r="S680" s="3" t="str">
        <f t="shared" si="75"/>
        <v>2BW020R6651Turbocharger RHF</v>
      </c>
      <c r="T680" s="3" t="s">
        <v>47</v>
      </c>
      <c r="U680" s="3" t="s">
        <v>92</v>
      </c>
      <c r="V680" t="str">
        <f t="shared" si="76"/>
        <v>1052RF</v>
      </c>
    </row>
    <row r="681" spans="1:22">
      <c r="A681" t="s">
        <v>2866</v>
      </c>
      <c r="B681" t="s">
        <v>2867</v>
      </c>
      <c r="C681" t="s">
        <v>2879</v>
      </c>
      <c r="D681" t="s">
        <v>2880</v>
      </c>
      <c r="E681" t="s">
        <v>42</v>
      </c>
      <c r="F681" t="s">
        <v>27</v>
      </c>
      <c r="G681">
        <v>1</v>
      </c>
      <c r="H681" t="s">
        <v>2881</v>
      </c>
      <c r="I681" t="s">
        <v>2872</v>
      </c>
      <c r="J681" t="s">
        <v>2888</v>
      </c>
      <c r="K681" t="s">
        <v>2889</v>
      </c>
      <c r="L681" t="s">
        <v>83</v>
      </c>
      <c r="M681" s="1" t="str">
        <f t="shared" si="70"/>
        <v>06H117</v>
      </c>
      <c r="N681" s="1" t="str">
        <f t="shared" si="71"/>
        <v>C/O</v>
      </c>
      <c r="O681" s="1" t="str">
        <f t="shared" si="72"/>
        <v>Turbocharger RHR</v>
      </c>
      <c r="P681" s="1" t="str">
        <f t="shared" si="73"/>
        <v>2BW0</v>
      </c>
      <c r="Q681" s="2" t="str">
        <f t="shared" si="74"/>
        <v>2BW0Turbocharger RHR</v>
      </c>
      <c r="R681" s="2" t="str">
        <f>New_Xref[[#This Row],[Serial Prefix]]&amp;IF(New_Xref[[#This Row],[Func Loc]]&lt;&gt;"",New_Xref[[#This Row],[Func Loc]],"NO MATCH")</f>
        <v>2BW0NO MATCH</v>
      </c>
      <c r="S681" s="3" t="str">
        <f t="shared" si="75"/>
        <v>2BW020R6651Turbocharger RHR</v>
      </c>
      <c r="T681" s="3" t="s">
        <v>47</v>
      </c>
      <c r="U681" s="3" t="s">
        <v>99</v>
      </c>
      <c r="V681" t="str">
        <f t="shared" si="76"/>
        <v>1052RR</v>
      </c>
    </row>
    <row r="682" spans="1:22">
      <c r="A682" t="s">
        <v>2866</v>
      </c>
      <c r="B682" t="s">
        <v>2890</v>
      </c>
      <c r="C682" t="s">
        <v>2879</v>
      </c>
      <c r="D682" t="s">
        <v>2880</v>
      </c>
      <c r="E682" t="s">
        <v>42</v>
      </c>
      <c r="F682" t="s">
        <v>27</v>
      </c>
      <c r="G682">
        <v>1</v>
      </c>
      <c r="H682" t="s">
        <v>2881</v>
      </c>
      <c r="I682" t="s">
        <v>2872</v>
      </c>
      <c r="J682" t="s">
        <v>2882</v>
      </c>
      <c r="K682" t="s">
        <v>2891</v>
      </c>
      <c r="L682" t="s">
        <v>2659</v>
      </c>
      <c r="M682" s="1" t="str">
        <f t="shared" si="70"/>
        <v>06H117</v>
      </c>
      <c r="N682" s="1" t="str">
        <f t="shared" si="71"/>
        <v>C/O</v>
      </c>
      <c r="O682" s="1" t="str">
        <f t="shared" si="72"/>
        <v>Engine Turbocharger LHF</v>
      </c>
      <c r="P682" s="1" t="str">
        <f t="shared" si="73"/>
        <v>2BW7</v>
      </c>
      <c r="Q682" s="2" t="str">
        <f t="shared" si="74"/>
        <v>2BW7Engine Turbocharger LHF</v>
      </c>
      <c r="R682" s="2" t="str">
        <f>New_Xref[[#This Row],[Serial Prefix]]&amp;IF(New_Xref[[#This Row],[Func Loc]]&lt;&gt;"",New_Xref[[#This Row],[Func Loc]],"NO MATCH")</f>
        <v>2BW7ENGD .TURB.TCLF</v>
      </c>
      <c r="S682" s="3" t="str">
        <f t="shared" si="75"/>
        <v>2BW720R6651Engine Turbocharger LHF</v>
      </c>
      <c r="T682" s="3" t="s">
        <v>47</v>
      </c>
      <c r="U682" s="3" t="s">
        <v>89</v>
      </c>
      <c r="V682" t="str">
        <f t="shared" si="76"/>
        <v>1052LF</v>
      </c>
    </row>
    <row r="683" spans="1:22">
      <c r="A683" t="s">
        <v>2866</v>
      </c>
      <c r="B683" t="s">
        <v>2890</v>
      </c>
      <c r="C683" t="s">
        <v>2879</v>
      </c>
      <c r="D683" t="s">
        <v>2880</v>
      </c>
      <c r="E683" t="s">
        <v>42</v>
      </c>
      <c r="F683" t="s">
        <v>27</v>
      </c>
      <c r="G683">
        <v>1</v>
      </c>
      <c r="H683" t="s">
        <v>2881</v>
      </c>
      <c r="I683" t="s">
        <v>2872</v>
      </c>
      <c r="J683" t="s">
        <v>2886</v>
      </c>
      <c r="K683" t="s">
        <v>2892</v>
      </c>
      <c r="L683" t="s">
        <v>2665</v>
      </c>
      <c r="M683" s="1" t="str">
        <f t="shared" si="70"/>
        <v>06H117</v>
      </c>
      <c r="N683" s="1" t="str">
        <f t="shared" si="71"/>
        <v>C/O</v>
      </c>
      <c r="O683" s="1" t="str">
        <f t="shared" si="72"/>
        <v>Engine Turbocharger RHF</v>
      </c>
      <c r="P683" s="1" t="str">
        <f t="shared" si="73"/>
        <v>2BW7</v>
      </c>
      <c r="Q683" s="2" t="str">
        <f t="shared" si="74"/>
        <v>2BW7Engine Turbocharger RHF</v>
      </c>
      <c r="R683" s="2" t="str">
        <f>New_Xref[[#This Row],[Serial Prefix]]&amp;IF(New_Xref[[#This Row],[Func Loc]]&lt;&gt;"",New_Xref[[#This Row],[Func Loc]],"NO MATCH")</f>
        <v>2BW7ENGD .TURB.TCRF</v>
      </c>
      <c r="S683" s="3" t="str">
        <f t="shared" si="75"/>
        <v>2BW720R6651Engine Turbocharger RHF</v>
      </c>
      <c r="T683" s="3" t="s">
        <v>47</v>
      </c>
      <c r="U683" s="3" t="s">
        <v>92</v>
      </c>
      <c r="V683" t="str">
        <f t="shared" si="76"/>
        <v>1052RF</v>
      </c>
    </row>
    <row r="684" spans="1:22">
      <c r="A684" t="s">
        <v>2866</v>
      </c>
      <c r="B684" t="s">
        <v>2890</v>
      </c>
      <c r="C684" t="s">
        <v>2879</v>
      </c>
      <c r="D684" t="s">
        <v>2880</v>
      </c>
      <c r="E684" t="s">
        <v>42</v>
      </c>
      <c r="F684" t="s">
        <v>27</v>
      </c>
      <c r="G684">
        <v>1</v>
      </c>
      <c r="H684" t="s">
        <v>2881</v>
      </c>
      <c r="I684" t="s">
        <v>2872</v>
      </c>
      <c r="J684" t="s">
        <v>2884</v>
      </c>
      <c r="K684" t="s">
        <v>2893</v>
      </c>
      <c r="L684" t="s">
        <v>2662</v>
      </c>
      <c r="M684" s="1" t="str">
        <f t="shared" si="70"/>
        <v>06H117</v>
      </c>
      <c r="N684" s="1" t="str">
        <f t="shared" si="71"/>
        <v>C/O</v>
      </c>
      <c r="O684" s="1" t="str">
        <f t="shared" si="72"/>
        <v>Engine Turbocharger LHR</v>
      </c>
      <c r="P684" s="1" t="str">
        <f t="shared" si="73"/>
        <v>2BW7</v>
      </c>
      <c r="Q684" s="2" t="str">
        <f t="shared" si="74"/>
        <v>2BW7Engine Turbocharger LHR</v>
      </c>
      <c r="R684" s="2" t="str">
        <f>New_Xref[[#This Row],[Serial Prefix]]&amp;IF(New_Xref[[#This Row],[Func Loc]]&lt;&gt;"",New_Xref[[#This Row],[Func Loc]],"NO MATCH")</f>
        <v>2BW7ENGD .TURB.TCLR</v>
      </c>
      <c r="S684" s="3" t="str">
        <f t="shared" si="75"/>
        <v>2BW720R6651Engine Turbocharger LHR</v>
      </c>
      <c r="T684" s="3" t="s">
        <v>47</v>
      </c>
      <c r="U684" s="3" t="s">
        <v>96</v>
      </c>
      <c r="V684" t="str">
        <f t="shared" si="76"/>
        <v>1052LR</v>
      </c>
    </row>
    <row r="685" spans="1:22">
      <c r="A685" t="s">
        <v>2866</v>
      </c>
      <c r="B685" t="s">
        <v>2890</v>
      </c>
      <c r="C685" t="s">
        <v>2879</v>
      </c>
      <c r="D685" t="s">
        <v>2880</v>
      </c>
      <c r="E685" t="s">
        <v>42</v>
      </c>
      <c r="F685" t="s">
        <v>27</v>
      </c>
      <c r="G685">
        <v>1</v>
      </c>
      <c r="H685" t="s">
        <v>2881</v>
      </c>
      <c r="I685" t="s">
        <v>2872</v>
      </c>
      <c r="J685" t="s">
        <v>2888</v>
      </c>
      <c r="K685" t="s">
        <v>2894</v>
      </c>
      <c r="L685" t="s">
        <v>2668</v>
      </c>
      <c r="M685" s="1" t="str">
        <f t="shared" si="70"/>
        <v>06H117</v>
      </c>
      <c r="N685" s="1" t="str">
        <f t="shared" si="71"/>
        <v>C/O</v>
      </c>
      <c r="O685" s="1" t="str">
        <f t="shared" si="72"/>
        <v>Engine Turbocharger RHR</v>
      </c>
      <c r="P685" s="1" t="str">
        <f t="shared" si="73"/>
        <v>2BW7</v>
      </c>
      <c r="Q685" s="2" t="str">
        <f t="shared" si="74"/>
        <v>2BW7Engine Turbocharger RHR</v>
      </c>
      <c r="R685" s="2" t="str">
        <f>New_Xref[[#This Row],[Serial Prefix]]&amp;IF(New_Xref[[#This Row],[Func Loc]]&lt;&gt;"",New_Xref[[#This Row],[Func Loc]],"NO MATCH")</f>
        <v>2BW7ENGD .TURB.TCRR</v>
      </c>
      <c r="S685" s="3" t="str">
        <f t="shared" si="75"/>
        <v>2BW720R6651Engine Turbocharger RHR</v>
      </c>
      <c r="T685" s="3" t="s">
        <v>47</v>
      </c>
      <c r="U685" s="3" t="s">
        <v>99</v>
      </c>
      <c r="V685" t="str">
        <f t="shared" si="76"/>
        <v>1052RR</v>
      </c>
    </row>
    <row r="686" spans="1:22">
      <c r="A686" t="s">
        <v>2866</v>
      </c>
      <c r="B686" t="s">
        <v>2867</v>
      </c>
      <c r="C686" t="s">
        <v>2152</v>
      </c>
      <c r="D686" t="s">
        <v>2153</v>
      </c>
      <c r="E686" t="s">
        <v>58</v>
      </c>
      <c r="F686" t="s">
        <v>27</v>
      </c>
      <c r="G686">
        <v>16</v>
      </c>
      <c r="H686" t="s">
        <v>2895</v>
      </c>
      <c r="I686" t="s">
        <v>2872</v>
      </c>
      <c r="J686" t="s">
        <v>2896</v>
      </c>
      <c r="K686" t="s">
        <v>2897</v>
      </c>
      <c r="L686" t="s">
        <v>83</v>
      </c>
      <c r="M686" s="1" t="str">
        <f t="shared" si="70"/>
        <v>06H117</v>
      </c>
      <c r="N686" s="1" t="str">
        <f t="shared" si="71"/>
        <v>C/O</v>
      </c>
      <c r="O686" s="1" t="str">
        <f t="shared" si="72"/>
        <v>Fuel Injectors</v>
      </c>
      <c r="P686" s="1" t="str">
        <f t="shared" si="73"/>
        <v>2BW0</v>
      </c>
      <c r="Q686" s="2" t="str">
        <f t="shared" si="74"/>
        <v>2BW0Fuel Injectors</v>
      </c>
      <c r="R686" s="2" t="str">
        <f>New_Xref[[#This Row],[Serial Prefix]]&amp;IF(New_Xref[[#This Row],[Func Loc]]&lt;&gt;"",New_Xref[[#This Row],[Func Loc]],"NO MATCH")</f>
        <v>2BW0NO MATCH</v>
      </c>
      <c r="S686" s="3" t="str">
        <f t="shared" si="75"/>
        <v>2BW020R0849Fuel Injectors</v>
      </c>
      <c r="T686" s="3" t="s">
        <v>63</v>
      </c>
      <c r="U686" s="3" t="s">
        <v>34</v>
      </c>
      <c r="V686" t="str">
        <f t="shared" si="76"/>
        <v>125100</v>
      </c>
    </row>
    <row r="687" spans="1:22">
      <c r="A687" t="s">
        <v>2866</v>
      </c>
      <c r="B687" t="s">
        <v>2890</v>
      </c>
      <c r="C687" t="s">
        <v>2152</v>
      </c>
      <c r="D687" t="s">
        <v>2153</v>
      </c>
      <c r="E687" t="s">
        <v>58</v>
      </c>
      <c r="F687" t="s">
        <v>27</v>
      </c>
      <c r="G687">
        <v>16</v>
      </c>
      <c r="H687" t="s">
        <v>2895</v>
      </c>
      <c r="I687" t="s">
        <v>2872</v>
      </c>
      <c r="J687" t="s">
        <v>2896</v>
      </c>
      <c r="K687" t="s">
        <v>2898</v>
      </c>
      <c r="L687" t="s">
        <v>62</v>
      </c>
      <c r="M687" s="1" t="str">
        <f t="shared" si="70"/>
        <v>06H117</v>
      </c>
      <c r="N687" s="1" t="str">
        <f t="shared" si="71"/>
        <v>C/O</v>
      </c>
      <c r="O687" s="1" t="str">
        <f t="shared" si="72"/>
        <v>Engine Fuel Injectors</v>
      </c>
      <c r="P687" s="1" t="str">
        <f t="shared" si="73"/>
        <v>2BW7</v>
      </c>
      <c r="Q687" s="2" t="str">
        <f t="shared" si="74"/>
        <v>2BW7Engine Fuel Injectors</v>
      </c>
      <c r="R687" s="2" t="str">
        <f>New_Xref[[#This Row],[Serial Prefix]]&amp;IF(New_Xref[[#This Row],[Func Loc]]&lt;&gt;"",New_Xref[[#This Row],[Func Loc]],"NO MATCH")</f>
        <v>2BW7ENGD .FUEL.INJE</v>
      </c>
      <c r="S687" s="3" t="str">
        <f t="shared" si="75"/>
        <v>2BW720R0849Engine Fuel Injectors</v>
      </c>
      <c r="T687" s="3" t="s">
        <v>63</v>
      </c>
      <c r="U687" s="3" t="s">
        <v>34</v>
      </c>
      <c r="V687" t="str">
        <f t="shared" si="76"/>
        <v>125100</v>
      </c>
    </row>
    <row r="688" spans="1:22">
      <c r="A688" t="s">
        <v>2866</v>
      </c>
      <c r="B688" t="s">
        <v>2867</v>
      </c>
      <c r="C688" t="s">
        <v>2899</v>
      </c>
      <c r="D688" t="s">
        <v>2900</v>
      </c>
      <c r="E688" t="s">
        <v>2901</v>
      </c>
      <c r="F688" t="s">
        <v>27</v>
      </c>
      <c r="G688">
        <v>1</v>
      </c>
      <c r="H688" t="s">
        <v>2902</v>
      </c>
      <c r="I688" t="s">
        <v>2903</v>
      </c>
      <c r="J688" t="s">
        <v>2904</v>
      </c>
      <c r="K688" t="s">
        <v>2903</v>
      </c>
      <c r="L688" t="s">
        <v>67</v>
      </c>
      <c r="M688" s="1" t="str">
        <f t="shared" si="70"/>
        <v>06H117</v>
      </c>
      <c r="N688" s="1" t="str">
        <f t="shared" si="71"/>
        <v>C/O</v>
      </c>
      <c r="O688" s="1" t="str">
        <f t="shared" si="72"/>
        <v>Engine Radiator</v>
      </c>
      <c r="P688" s="1" t="str">
        <f t="shared" si="73"/>
        <v>2BW0</v>
      </c>
      <c r="Q688" s="2" t="str">
        <f t="shared" si="74"/>
        <v>2BW0Engine Radiator</v>
      </c>
      <c r="R688" s="2" t="str">
        <f>New_Xref[[#This Row],[Serial Prefix]]&amp;IF(New_Xref[[#This Row],[Func Loc]]&lt;&gt;"",New_Xref[[#This Row],[Func Loc]],"NO MATCH")</f>
        <v>2BW0ENGD .ENCS.RADI</v>
      </c>
      <c r="S688" s="3" t="str">
        <f t="shared" si="75"/>
        <v>2BW01451226FEngine Radiator</v>
      </c>
      <c r="T688" s="3" t="s">
        <v>68</v>
      </c>
      <c r="U688" s="3" t="s">
        <v>34</v>
      </c>
      <c r="V688" t="str">
        <f t="shared" si="76"/>
        <v>135300</v>
      </c>
    </row>
    <row r="689" spans="1:22">
      <c r="A689" t="s">
        <v>2866</v>
      </c>
      <c r="B689" t="s">
        <v>2875</v>
      </c>
      <c r="C689" t="s">
        <v>2899</v>
      </c>
      <c r="D689" t="s">
        <v>2900</v>
      </c>
      <c r="E689" t="s">
        <v>2901</v>
      </c>
      <c r="F689" t="s">
        <v>27</v>
      </c>
      <c r="G689">
        <v>1</v>
      </c>
      <c r="H689" t="s">
        <v>2902</v>
      </c>
      <c r="I689" t="s">
        <v>2905</v>
      </c>
      <c r="J689" t="s">
        <v>2906</v>
      </c>
      <c r="K689" t="s">
        <v>2905</v>
      </c>
      <c r="L689" t="s">
        <v>67</v>
      </c>
      <c r="M689" s="1" t="str">
        <f t="shared" si="70"/>
        <v>06R39</v>
      </c>
      <c r="N689" s="1" t="str">
        <f t="shared" si="71"/>
        <v>C/O</v>
      </c>
      <c r="O689" s="1" t="str">
        <f t="shared" si="72"/>
        <v>Engine Radiator</v>
      </c>
      <c r="P689" s="1" t="str">
        <f t="shared" si="73"/>
        <v>2BW7</v>
      </c>
      <c r="Q689" s="2" t="str">
        <f t="shared" si="74"/>
        <v>2BW7Engine Radiator</v>
      </c>
      <c r="R689" s="2" t="str">
        <f>New_Xref[[#This Row],[Serial Prefix]]&amp;IF(New_Xref[[#This Row],[Func Loc]]&lt;&gt;"",New_Xref[[#This Row],[Func Loc]],"NO MATCH")</f>
        <v>2BW7ENGD .ENCS.RADI</v>
      </c>
      <c r="S689" s="3" t="str">
        <f t="shared" si="75"/>
        <v>2BW71451226FEngine Radiator</v>
      </c>
      <c r="T689" s="3" t="s">
        <v>68</v>
      </c>
      <c r="U689" s="3" t="s">
        <v>34</v>
      </c>
      <c r="V689" t="str">
        <f t="shared" si="76"/>
        <v>135300</v>
      </c>
    </row>
    <row r="690" spans="1:22">
      <c r="A690" t="s">
        <v>2866</v>
      </c>
      <c r="B690" t="s">
        <v>2867</v>
      </c>
      <c r="C690" t="s">
        <v>2907</v>
      </c>
      <c r="D690" t="s">
        <v>2908</v>
      </c>
      <c r="E690" t="s">
        <v>2909</v>
      </c>
      <c r="F690" t="s">
        <v>27</v>
      </c>
      <c r="G690">
        <v>1</v>
      </c>
      <c r="H690" t="s">
        <v>2910</v>
      </c>
      <c r="I690" t="s">
        <v>2911</v>
      </c>
      <c r="J690" t="s">
        <v>2912</v>
      </c>
      <c r="K690" t="s">
        <v>2911</v>
      </c>
      <c r="L690" t="s">
        <v>72</v>
      </c>
      <c r="M690" s="1" t="str">
        <f t="shared" si="70"/>
        <v>06H117</v>
      </c>
      <c r="N690" s="1" t="str">
        <f t="shared" si="71"/>
        <v>C/O</v>
      </c>
      <c r="O690" s="1" t="str">
        <f t="shared" si="72"/>
        <v>Transmission</v>
      </c>
      <c r="P690" s="1" t="str">
        <f t="shared" si="73"/>
        <v>2BW0</v>
      </c>
      <c r="Q690" s="2" t="str">
        <f t="shared" si="74"/>
        <v>2BW0Transmission</v>
      </c>
      <c r="R690" s="2" t="str">
        <f>New_Xref[[#This Row],[Serial Prefix]]&amp;IF(New_Xref[[#This Row],[Func Loc]]&lt;&gt;"",New_Xref[[#This Row],[Func Loc]],"NO MATCH")</f>
        <v>2BW0TRAN .TRAN</v>
      </c>
      <c r="S690" s="3" t="str">
        <f t="shared" si="75"/>
        <v>2BW06Y5645XTransmission</v>
      </c>
      <c r="T690" s="3" t="s">
        <v>73</v>
      </c>
      <c r="U690" s="3" t="s">
        <v>34</v>
      </c>
      <c r="V690" t="str">
        <f t="shared" si="76"/>
        <v>303000</v>
      </c>
    </row>
    <row r="691" spans="1:22">
      <c r="A691" t="s">
        <v>2866</v>
      </c>
      <c r="B691" t="s">
        <v>2875</v>
      </c>
      <c r="C691" t="s">
        <v>2907</v>
      </c>
      <c r="D691" t="s">
        <v>2908</v>
      </c>
      <c r="E691" t="s">
        <v>2913</v>
      </c>
      <c r="F691" t="s">
        <v>27</v>
      </c>
      <c r="G691">
        <v>1</v>
      </c>
      <c r="H691" t="s">
        <v>2910</v>
      </c>
      <c r="I691" t="s">
        <v>2914</v>
      </c>
      <c r="J691" t="s">
        <v>2915</v>
      </c>
      <c r="K691" t="s">
        <v>2914</v>
      </c>
      <c r="L691" t="s">
        <v>72</v>
      </c>
      <c r="M691" s="1" t="str">
        <f t="shared" si="70"/>
        <v>06R39</v>
      </c>
      <c r="N691" s="1" t="str">
        <f t="shared" si="71"/>
        <v>C/O</v>
      </c>
      <c r="O691" s="1" t="str">
        <f t="shared" si="72"/>
        <v>Transmission</v>
      </c>
      <c r="P691" s="1" t="str">
        <f t="shared" si="73"/>
        <v>2BW7</v>
      </c>
      <c r="Q691" s="2" t="str">
        <f t="shared" si="74"/>
        <v>2BW7Transmission</v>
      </c>
      <c r="R691" s="2" t="str">
        <f>New_Xref[[#This Row],[Serial Prefix]]&amp;IF(New_Xref[[#This Row],[Func Loc]]&lt;&gt;"",New_Xref[[#This Row],[Func Loc]],"NO MATCH")</f>
        <v>2BW7TRAN .TRAN</v>
      </c>
      <c r="S691" s="3" t="str">
        <f t="shared" si="75"/>
        <v>2BW76Y5645XTransmission</v>
      </c>
      <c r="T691" s="3" t="s">
        <v>73</v>
      </c>
      <c r="U691" s="3" t="s">
        <v>34</v>
      </c>
      <c r="V691" t="str">
        <f t="shared" si="76"/>
        <v>303000</v>
      </c>
    </row>
    <row r="692" spans="1:22">
      <c r="A692" t="s">
        <v>2866</v>
      </c>
      <c r="B692" t="s">
        <v>2867</v>
      </c>
      <c r="C692" t="s">
        <v>2916</v>
      </c>
      <c r="D692" t="s">
        <v>2917</v>
      </c>
      <c r="E692" t="s">
        <v>2918</v>
      </c>
      <c r="F692" t="s">
        <v>27</v>
      </c>
      <c r="G692">
        <v>1</v>
      </c>
      <c r="H692" t="s">
        <v>2919</v>
      </c>
      <c r="I692" t="s">
        <v>2920</v>
      </c>
      <c r="J692" t="s">
        <v>2921</v>
      </c>
      <c r="K692" t="s">
        <v>2920</v>
      </c>
      <c r="L692" t="s">
        <v>304</v>
      </c>
      <c r="M692" s="1" t="str">
        <f t="shared" si="70"/>
        <v>06H117</v>
      </c>
      <c r="N692" s="1" t="str">
        <f t="shared" si="71"/>
        <v>C/O</v>
      </c>
      <c r="O692" s="1" t="str">
        <f t="shared" si="72"/>
        <v>Torque Converter</v>
      </c>
      <c r="P692" s="1" t="str">
        <f t="shared" si="73"/>
        <v>2BW0</v>
      </c>
      <c r="Q692" s="2" t="str">
        <f t="shared" si="74"/>
        <v>2BW0Torque Converter</v>
      </c>
      <c r="R692" s="2" t="str">
        <f>New_Xref[[#This Row],[Serial Prefix]]&amp;IF(New_Xref[[#This Row],[Func Loc]]&lt;&gt;"",New_Xref[[#This Row],[Func Loc]],"NO MATCH")</f>
        <v>2BW0TRAN .TOCO</v>
      </c>
      <c r="S692" s="3" t="str">
        <f t="shared" si="75"/>
        <v>2BW01165810XTorque Converter</v>
      </c>
      <c r="T692" s="3" t="s">
        <v>305</v>
      </c>
      <c r="U692" s="3" t="s">
        <v>34</v>
      </c>
      <c r="V692" t="str">
        <f t="shared" si="76"/>
        <v>310100</v>
      </c>
    </row>
    <row r="693" spans="1:22">
      <c r="A693" t="s">
        <v>2866</v>
      </c>
      <c r="B693" t="s">
        <v>2875</v>
      </c>
      <c r="C693" t="s">
        <v>2916</v>
      </c>
      <c r="D693" t="s">
        <v>2917</v>
      </c>
      <c r="E693" t="s">
        <v>2918</v>
      </c>
      <c r="F693" t="s">
        <v>27</v>
      </c>
      <c r="G693">
        <v>1</v>
      </c>
      <c r="H693" t="s">
        <v>2919</v>
      </c>
      <c r="I693" t="s">
        <v>2922</v>
      </c>
      <c r="J693" t="s">
        <v>2923</v>
      </c>
      <c r="K693" t="s">
        <v>2922</v>
      </c>
      <c r="L693" t="s">
        <v>304</v>
      </c>
      <c r="M693" s="1" t="str">
        <f t="shared" si="70"/>
        <v>06R39</v>
      </c>
      <c r="N693" s="1" t="str">
        <f t="shared" si="71"/>
        <v>C/O</v>
      </c>
      <c r="O693" s="1" t="str">
        <f t="shared" si="72"/>
        <v>Torque Converter</v>
      </c>
      <c r="P693" s="1" t="str">
        <f t="shared" si="73"/>
        <v>2BW7</v>
      </c>
      <c r="Q693" s="2" t="str">
        <f t="shared" si="74"/>
        <v>2BW7Torque Converter</v>
      </c>
      <c r="R693" s="2" t="str">
        <f>New_Xref[[#This Row],[Serial Prefix]]&amp;IF(New_Xref[[#This Row],[Func Loc]]&lt;&gt;"",New_Xref[[#This Row],[Func Loc]],"NO MATCH")</f>
        <v>2BW7TRAN .TOCO</v>
      </c>
      <c r="S693" s="3" t="str">
        <f t="shared" si="75"/>
        <v>2BW71165810XTorque Converter</v>
      </c>
      <c r="T693" s="3" t="s">
        <v>305</v>
      </c>
      <c r="U693" s="3" t="s">
        <v>34</v>
      </c>
      <c r="V693" t="str">
        <f t="shared" si="76"/>
        <v>310100</v>
      </c>
    </row>
    <row r="694" spans="1:22">
      <c r="A694" t="s">
        <v>2866</v>
      </c>
      <c r="B694" t="s">
        <v>2867</v>
      </c>
      <c r="C694" t="s">
        <v>2542</v>
      </c>
      <c r="D694" t="s">
        <v>2543</v>
      </c>
      <c r="E694" t="s">
        <v>2544</v>
      </c>
      <c r="F694" t="s">
        <v>27</v>
      </c>
      <c r="G694">
        <v>1</v>
      </c>
      <c r="H694" t="s">
        <v>2924</v>
      </c>
      <c r="I694" t="s">
        <v>2925</v>
      </c>
      <c r="J694" t="s">
        <v>2926</v>
      </c>
      <c r="K694" t="s">
        <v>2925</v>
      </c>
      <c r="L694" t="s">
        <v>2170</v>
      </c>
      <c r="M694" s="1" t="str">
        <f t="shared" si="70"/>
        <v>06H117</v>
      </c>
      <c r="N694" s="1" t="str">
        <f t="shared" si="71"/>
        <v>C/O</v>
      </c>
      <c r="O694" s="1" t="str">
        <f t="shared" si="72"/>
        <v>Main Pump Drive Trans</v>
      </c>
      <c r="P694" s="1" t="str">
        <f t="shared" si="73"/>
        <v>2BW0</v>
      </c>
      <c r="Q694" s="2" t="str">
        <f t="shared" si="74"/>
        <v>2BW0Main Pump Drive Trans</v>
      </c>
      <c r="R694" s="2" t="str">
        <f>New_Xref[[#This Row],[Serial Prefix]]&amp;IF(New_Xref[[#This Row],[Func Loc]]&lt;&gt;"",New_Xref[[#This Row],[Func Loc]],"NO MATCH")</f>
        <v>2BW0TRAN .MPDT</v>
      </c>
      <c r="S694" s="3" t="str">
        <f t="shared" si="75"/>
        <v>2BW02A6546XMain Pump Drive Trans</v>
      </c>
      <c r="T694" s="3" t="s">
        <v>1234</v>
      </c>
      <c r="U694" s="3" t="s">
        <v>34</v>
      </c>
      <c r="V694" t="str">
        <f t="shared" si="76"/>
        <v>310800</v>
      </c>
    </row>
    <row r="695" spans="1:22">
      <c r="A695" t="s">
        <v>2866</v>
      </c>
      <c r="B695" t="s">
        <v>2875</v>
      </c>
      <c r="C695" t="s">
        <v>2542</v>
      </c>
      <c r="D695" t="s">
        <v>2543</v>
      </c>
      <c r="E695" t="s">
        <v>2544</v>
      </c>
      <c r="F695" t="s">
        <v>27</v>
      </c>
      <c r="G695">
        <v>1</v>
      </c>
      <c r="H695" t="s">
        <v>2924</v>
      </c>
      <c r="I695" t="s">
        <v>2927</v>
      </c>
      <c r="J695" t="s">
        <v>2928</v>
      </c>
      <c r="K695" t="s">
        <v>2929</v>
      </c>
      <c r="L695" t="s">
        <v>2170</v>
      </c>
      <c r="M695" s="1" t="str">
        <f t="shared" si="70"/>
        <v>06R39</v>
      </c>
      <c r="N695" s="1" t="str">
        <f t="shared" si="71"/>
        <v>C/O</v>
      </c>
      <c r="O695" s="1" t="str">
        <f t="shared" si="72"/>
        <v>Main P/Drive Transmission</v>
      </c>
      <c r="P695" s="1" t="str">
        <f t="shared" si="73"/>
        <v>2BW7</v>
      </c>
      <c r="Q695" s="2" t="str">
        <f t="shared" si="74"/>
        <v>2BW7Main P/Drive Transmission</v>
      </c>
      <c r="R695" s="2" t="str">
        <f>New_Xref[[#This Row],[Serial Prefix]]&amp;IF(New_Xref[[#This Row],[Func Loc]]&lt;&gt;"",New_Xref[[#This Row],[Func Loc]],"NO MATCH")</f>
        <v>2BW7TRAN .MPDT</v>
      </c>
      <c r="S695" s="3" t="str">
        <f t="shared" si="75"/>
        <v>2BW72A6546XMain P/Drive Transmission</v>
      </c>
      <c r="T695" s="3" t="s">
        <v>1234</v>
      </c>
      <c r="U695" s="3" t="s">
        <v>34</v>
      </c>
      <c r="V695" t="str">
        <f t="shared" si="76"/>
        <v>310800</v>
      </c>
    </row>
    <row r="696" spans="1:22">
      <c r="A696" t="s">
        <v>2866</v>
      </c>
      <c r="B696" t="s">
        <v>2867</v>
      </c>
      <c r="C696" t="s">
        <v>2930</v>
      </c>
      <c r="D696" t="s">
        <v>2931</v>
      </c>
      <c r="E696" t="s">
        <v>2551</v>
      </c>
      <c r="F696" t="s">
        <v>27</v>
      </c>
      <c r="G696">
        <v>1</v>
      </c>
      <c r="H696" t="s">
        <v>2932</v>
      </c>
      <c r="I696" t="s">
        <v>2933</v>
      </c>
      <c r="J696" t="s">
        <v>2934</v>
      </c>
      <c r="K696" t="s">
        <v>2935</v>
      </c>
      <c r="L696" t="s">
        <v>83</v>
      </c>
      <c r="M696" s="1" t="str">
        <f t="shared" si="70"/>
        <v>06H117</v>
      </c>
      <c r="N696" s="1" t="str">
        <f t="shared" si="71"/>
        <v>C/O</v>
      </c>
      <c r="O696" s="1" t="str">
        <f t="shared" si="72"/>
        <v>Driveshaft Main</v>
      </c>
      <c r="P696" s="1" t="str">
        <f t="shared" si="73"/>
        <v>2BW0</v>
      </c>
      <c r="Q696" s="2" t="str">
        <f t="shared" si="74"/>
        <v>2BW0Driveshaft Main</v>
      </c>
      <c r="R696" s="2" t="str">
        <f>New_Xref[[#This Row],[Serial Prefix]]&amp;IF(New_Xref[[#This Row],[Func Loc]]&lt;&gt;"",New_Xref[[#This Row],[Func Loc]],"NO MATCH")</f>
        <v>2BW0NO MATCH</v>
      </c>
      <c r="S696" s="3" t="str">
        <f t="shared" si="75"/>
        <v>2BW010R5185Driveshaft Main</v>
      </c>
      <c r="T696" s="3" t="s">
        <v>674</v>
      </c>
      <c r="U696" s="3" t="s">
        <v>34</v>
      </c>
      <c r="V696" t="str">
        <f t="shared" si="76"/>
        <v>325300</v>
      </c>
    </row>
    <row r="697" spans="1:22">
      <c r="A697" t="s">
        <v>2866</v>
      </c>
      <c r="B697" t="s">
        <v>2875</v>
      </c>
      <c r="C697" t="s">
        <v>2930</v>
      </c>
      <c r="D697" t="s">
        <v>2931</v>
      </c>
      <c r="E697" t="s">
        <v>2734</v>
      </c>
      <c r="F697" t="s">
        <v>27</v>
      </c>
      <c r="G697">
        <v>1</v>
      </c>
      <c r="H697" t="s">
        <v>2932</v>
      </c>
      <c r="I697" t="s">
        <v>2936</v>
      </c>
      <c r="J697" t="s">
        <v>2937</v>
      </c>
      <c r="K697" t="s">
        <v>2938</v>
      </c>
      <c r="L697" t="s">
        <v>83</v>
      </c>
      <c r="M697" s="1" t="str">
        <f t="shared" si="70"/>
        <v>06R39</v>
      </c>
      <c r="N697" s="1" t="str">
        <f t="shared" si="71"/>
        <v>C/O</v>
      </c>
      <c r="O697" s="1" t="str">
        <f t="shared" si="72"/>
        <v>Driveshaft Main</v>
      </c>
      <c r="P697" s="1" t="str">
        <f t="shared" si="73"/>
        <v>2BW7</v>
      </c>
      <c r="Q697" s="2" t="str">
        <f t="shared" si="74"/>
        <v>2BW7Driveshaft Main</v>
      </c>
      <c r="R697" s="2" t="str">
        <f>New_Xref[[#This Row],[Serial Prefix]]&amp;IF(New_Xref[[#This Row],[Func Loc]]&lt;&gt;"",New_Xref[[#This Row],[Func Loc]],"NO MATCH")</f>
        <v>2BW7NO MATCH</v>
      </c>
      <c r="S697" s="3" t="str">
        <f t="shared" si="75"/>
        <v>2BW710R5185Driveshaft Main</v>
      </c>
      <c r="T697" s="3" t="s">
        <v>674</v>
      </c>
      <c r="U697" s="3" t="s">
        <v>34</v>
      </c>
      <c r="V697" t="str">
        <f t="shared" si="76"/>
        <v>325300</v>
      </c>
    </row>
    <row r="698" spans="1:22">
      <c r="A698" t="s">
        <v>2866</v>
      </c>
      <c r="B698" t="s">
        <v>2867</v>
      </c>
      <c r="C698" t="s">
        <v>2939</v>
      </c>
      <c r="D698" t="s">
        <v>2940</v>
      </c>
      <c r="E698" t="s">
        <v>2941</v>
      </c>
      <c r="F698" t="s">
        <v>27</v>
      </c>
      <c r="G698">
        <v>1</v>
      </c>
      <c r="H698" t="s">
        <v>2942</v>
      </c>
      <c r="I698" t="s">
        <v>2943</v>
      </c>
      <c r="J698" t="s">
        <v>2944</v>
      </c>
      <c r="K698" t="s">
        <v>2943</v>
      </c>
      <c r="L698" t="s">
        <v>463</v>
      </c>
      <c r="M698" s="1" t="str">
        <f t="shared" si="70"/>
        <v>06H117</v>
      </c>
      <c r="N698" s="1" t="str">
        <f t="shared" si="71"/>
        <v>C/O</v>
      </c>
      <c r="O698" s="1" t="str">
        <f t="shared" si="72"/>
        <v>Differential</v>
      </c>
      <c r="P698" s="1" t="str">
        <f t="shared" si="73"/>
        <v>2BW0</v>
      </c>
      <c r="Q698" s="2" t="str">
        <f t="shared" si="74"/>
        <v>2BW0Differential</v>
      </c>
      <c r="R698" s="2" t="str">
        <f>New_Xref[[#This Row],[Serial Prefix]]&amp;IF(New_Xref[[#This Row],[Func Loc]]&lt;&gt;"",New_Xref[[#This Row],[Func Loc]],"NO MATCH")</f>
        <v>2BW0FDRV .AXAR.DIFF</v>
      </c>
      <c r="S698" s="3" t="str">
        <f t="shared" si="75"/>
        <v>2BW01256046XPDifferential</v>
      </c>
      <c r="T698" s="3" t="s">
        <v>464</v>
      </c>
      <c r="U698" s="3" t="s">
        <v>34</v>
      </c>
      <c r="V698" t="str">
        <f t="shared" si="76"/>
        <v>325800</v>
      </c>
    </row>
    <row r="699" spans="1:22">
      <c r="A699" t="s">
        <v>2866</v>
      </c>
      <c r="B699" t="s">
        <v>2875</v>
      </c>
      <c r="C699" t="s">
        <v>2939</v>
      </c>
      <c r="D699" t="s">
        <v>2940</v>
      </c>
      <c r="E699" t="s">
        <v>2945</v>
      </c>
      <c r="F699" t="s">
        <v>27</v>
      </c>
      <c r="G699">
        <v>1</v>
      </c>
      <c r="H699" t="s">
        <v>2942</v>
      </c>
      <c r="I699" t="s">
        <v>2946</v>
      </c>
      <c r="J699" t="s">
        <v>2947</v>
      </c>
      <c r="K699" t="s">
        <v>2946</v>
      </c>
      <c r="L699" t="s">
        <v>463</v>
      </c>
      <c r="M699" s="1" t="str">
        <f t="shared" si="70"/>
        <v>06R39</v>
      </c>
      <c r="N699" s="1" t="str">
        <f t="shared" si="71"/>
        <v>C/O</v>
      </c>
      <c r="O699" s="1" t="str">
        <f t="shared" si="72"/>
        <v>Differential</v>
      </c>
      <c r="P699" s="1" t="str">
        <f t="shared" si="73"/>
        <v>2BW7</v>
      </c>
      <c r="Q699" s="2" t="str">
        <f t="shared" si="74"/>
        <v>2BW7Differential</v>
      </c>
      <c r="R699" s="2" t="str">
        <f>New_Xref[[#This Row],[Serial Prefix]]&amp;IF(New_Xref[[#This Row],[Func Loc]]&lt;&gt;"",New_Xref[[#This Row],[Func Loc]],"NO MATCH")</f>
        <v>2BW7FDRV .AXAR.DIFF</v>
      </c>
      <c r="S699" s="3" t="str">
        <f t="shared" si="75"/>
        <v>2BW71256046XPDifferential</v>
      </c>
      <c r="T699" s="3" t="s">
        <v>464</v>
      </c>
      <c r="U699" s="3" t="s">
        <v>34</v>
      </c>
      <c r="V699" t="str">
        <f t="shared" si="76"/>
        <v>325800</v>
      </c>
    </row>
    <row r="700" spans="1:22">
      <c r="A700" t="s">
        <v>2866</v>
      </c>
      <c r="B700" t="s">
        <v>2867</v>
      </c>
      <c r="C700" t="s">
        <v>2948</v>
      </c>
      <c r="D700" t="s">
        <v>2949</v>
      </c>
      <c r="E700" t="s">
        <v>2950</v>
      </c>
      <c r="F700" t="s">
        <v>27</v>
      </c>
      <c r="G700">
        <v>1</v>
      </c>
      <c r="H700" t="s">
        <v>2951</v>
      </c>
      <c r="I700" t="s">
        <v>2952</v>
      </c>
      <c r="J700" t="s">
        <v>2953</v>
      </c>
      <c r="K700" t="s">
        <v>2952</v>
      </c>
      <c r="L700" t="s">
        <v>761</v>
      </c>
      <c r="M700" s="1" t="str">
        <f t="shared" si="70"/>
        <v>06H117</v>
      </c>
      <c r="N700" s="1" t="str">
        <f t="shared" si="71"/>
        <v>C/O</v>
      </c>
      <c r="O700" s="1" t="str">
        <f t="shared" si="72"/>
        <v>Hub &amp; Spindle LH</v>
      </c>
      <c r="P700" s="1" t="str">
        <f t="shared" si="73"/>
        <v>2BW0</v>
      </c>
      <c r="Q700" s="2" t="str">
        <f t="shared" si="74"/>
        <v>2BW0Hub &amp; Spindle LH</v>
      </c>
      <c r="R700" s="2" t="str">
        <f>New_Xref[[#This Row],[Serial Prefix]]&amp;IF(New_Xref[[#This Row],[Func Loc]]&lt;&gt;"",New_Xref[[#This Row],[Func Loc]],"NO MATCH")</f>
        <v>2BW0FDRV .AXAF.HASL</v>
      </c>
      <c r="S700" s="3" t="str">
        <f t="shared" si="75"/>
        <v>2BW03288492XLHub &amp; Spindle LH</v>
      </c>
      <c r="T700" s="3" t="s">
        <v>88</v>
      </c>
      <c r="U700" s="3" t="s">
        <v>89</v>
      </c>
      <c r="V700" t="str">
        <f t="shared" si="76"/>
        <v>4006LF</v>
      </c>
    </row>
    <row r="701" spans="1:22">
      <c r="A701" t="s">
        <v>2866</v>
      </c>
      <c r="B701" t="s">
        <v>2867</v>
      </c>
      <c r="C701" t="s">
        <v>2948</v>
      </c>
      <c r="D701" t="s">
        <v>2949</v>
      </c>
      <c r="E701" t="s">
        <v>2950</v>
      </c>
      <c r="F701" t="s">
        <v>27</v>
      </c>
      <c r="G701">
        <v>1</v>
      </c>
      <c r="H701" t="s">
        <v>2951</v>
      </c>
      <c r="I701" t="s">
        <v>2954</v>
      </c>
      <c r="J701" t="s">
        <v>2955</v>
      </c>
      <c r="K701" t="s">
        <v>2954</v>
      </c>
      <c r="L701" t="s">
        <v>757</v>
      </c>
      <c r="M701" s="1" t="str">
        <f t="shared" si="70"/>
        <v>06H117</v>
      </c>
      <c r="N701" s="1" t="str">
        <f t="shared" si="71"/>
        <v>C/O</v>
      </c>
      <c r="O701" s="1" t="str">
        <f t="shared" si="72"/>
        <v>Hub &amp; Spindle RH</v>
      </c>
      <c r="P701" s="1" t="str">
        <f t="shared" si="73"/>
        <v>2BW0</v>
      </c>
      <c r="Q701" s="2" t="str">
        <f t="shared" si="74"/>
        <v>2BW0Hub &amp; Spindle RH</v>
      </c>
      <c r="R701" s="2" t="str">
        <f>New_Xref[[#This Row],[Serial Prefix]]&amp;IF(New_Xref[[#This Row],[Func Loc]]&lt;&gt;"",New_Xref[[#This Row],[Func Loc]],"NO MATCH")</f>
        <v>2BW0FDRV .AXAF.HASR</v>
      </c>
      <c r="S701" s="3" t="str">
        <f t="shared" si="75"/>
        <v>2BW03288492XLHub &amp; Spindle RH</v>
      </c>
      <c r="T701" s="3" t="s">
        <v>88</v>
      </c>
      <c r="U701" s="3" t="s">
        <v>92</v>
      </c>
      <c r="V701" t="str">
        <f t="shared" si="76"/>
        <v>4006RF</v>
      </c>
    </row>
    <row r="702" spans="1:22">
      <c r="A702" t="s">
        <v>2866</v>
      </c>
      <c r="B702" t="s">
        <v>2875</v>
      </c>
      <c r="C702" t="s">
        <v>2948</v>
      </c>
      <c r="D702" t="s">
        <v>2949</v>
      </c>
      <c r="E702" t="s">
        <v>2950</v>
      </c>
      <c r="F702" t="s">
        <v>27</v>
      </c>
      <c r="G702">
        <v>1</v>
      </c>
      <c r="H702" t="s">
        <v>2951</v>
      </c>
      <c r="I702" t="s">
        <v>2956</v>
      </c>
      <c r="J702" t="s">
        <v>2957</v>
      </c>
      <c r="K702" t="s">
        <v>2956</v>
      </c>
      <c r="L702" t="s">
        <v>757</v>
      </c>
      <c r="M702" s="1" t="str">
        <f t="shared" si="70"/>
        <v>06R39</v>
      </c>
      <c r="N702" s="1" t="str">
        <f t="shared" si="71"/>
        <v>C/O</v>
      </c>
      <c r="O702" s="1" t="str">
        <f t="shared" si="72"/>
        <v>Hub &amp; Spindle RH</v>
      </c>
      <c r="P702" s="1" t="str">
        <f t="shared" si="73"/>
        <v>2BW7</v>
      </c>
      <c r="Q702" s="2" t="str">
        <f t="shared" si="74"/>
        <v>2BW7Hub &amp; Spindle RH</v>
      </c>
      <c r="R702" s="2" t="str">
        <f>New_Xref[[#This Row],[Serial Prefix]]&amp;IF(New_Xref[[#This Row],[Func Loc]]&lt;&gt;"",New_Xref[[#This Row],[Func Loc]],"NO MATCH")</f>
        <v>2BW7FDRV .AXAF.HASR</v>
      </c>
      <c r="S702" s="3" t="str">
        <f t="shared" si="75"/>
        <v>2BW73288492XLHub &amp; Spindle RH</v>
      </c>
      <c r="T702" s="3" t="s">
        <v>88</v>
      </c>
      <c r="U702" s="3" t="s">
        <v>92</v>
      </c>
      <c r="V702" t="str">
        <f t="shared" si="76"/>
        <v>4006RF</v>
      </c>
    </row>
    <row r="703" spans="1:22">
      <c r="A703" t="s">
        <v>2866</v>
      </c>
      <c r="B703" t="s">
        <v>2875</v>
      </c>
      <c r="C703" t="s">
        <v>2948</v>
      </c>
      <c r="D703" t="s">
        <v>2949</v>
      </c>
      <c r="E703" t="s">
        <v>2950</v>
      </c>
      <c r="F703" t="s">
        <v>27</v>
      </c>
      <c r="G703">
        <v>1</v>
      </c>
      <c r="H703" t="s">
        <v>2951</v>
      </c>
      <c r="I703" t="s">
        <v>2958</v>
      </c>
      <c r="J703" t="s">
        <v>2959</v>
      </c>
      <c r="K703" t="s">
        <v>2958</v>
      </c>
      <c r="L703" t="s">
        <v>761</v>
      </c>
      <c r="M703" s="1" t="str">
        <f t="shared" si="70"/>
        <v>06R39</v>
      </c>
      <c r="N703" s="1" t="str">
        <f t="shared" si="71"/>
        <v>C/O</v>
      </c>
      <c r="O703" s="1" t="str">
        <f t="shared" si="72"/>
        <v>Hub &amp; Spindle LH</v>
      </c>
      <c r="P703" s="1" t="str">
        <f t="shared" si="73"/>
        <v>2BW7</v>
      </c>
      <c r="Q703" s="2" t="str">
        <f t="shared" si="74"/>
        <v>2BW7Hub &amp; Spindle LH</v>
      </c>
      <c r="R703" s="2" t="str">
        <f>New_Xref[[#This Row],[Serial Prefix]]&amp;IF(New_Xref[[#This Row],[Func Loc]]&lt;&gt;"",New_Xref[[#This Row],[Func Loc]],"NO MATCH")</f>
        <v>2BW7FDRV .AXAF.HASL</v>
      </c>
      <c r="S703" s="3" t="str">
        <f t="shared" si="75"/>
        <v>2BW73288492XLHub &amp; Spindle LH</v>
      </c>
      <c r="T703" s="3" t="s">
        <v>88</v>
      </c>
      <c r="U703" s="3" t="s">
        <v>89</v>
      </c>
      <c r="V703" t="str">
        <f t="shared" si="76"/>
        <v>4006LF</v>
      </c>
    </row>
    <row r="704" spans="1:22">
      <c r="A704" t="s">
        <v>2866</v>
      </c>
      <c r="B704" t="s">
        <v>2867</v>
      </c>
      <c r="C704" t="s">
        <v>2960</v>
      </c>
      <c r="D704" t="s">
        <v>2961</v>
      </c>
      <c r="E704" t="s">
        <v>2962</v>
      </c>
      <c r="F704" t="s">
        <v>27</v>
      </c>
      <c r="G704">
        <v>1</v>
      </c>
      <c r="H704" t="s">
        <v>2963</v>
      </c>
      <c r="I704" t="s">
        <v>2964</v>
      </c>
      <c r="J704" t="s">
        <v>2965</v>
      </c>
      <c r="K704" t="s">
        <v>2964</v>
      </c>
      <c r="L704" t="s">
        <v>1605</v>
      </c>
      <c r="M704" s="1" t="str">
        <f t="shared" si="70"/>
        <v>06H117</v>
      </c>
      <c r="N704" s="1" t="str">
        <f t="shared" si="71"/>
        <v>C/O</v>
      </c>
      <c r="O704" s="1" t="str">
        <f t="shared" si="72"/>
        <v>Final Drive Group LH</v>
      </c>
      <c r="P704" s="1" t="str">
        <f t="shared" si="73"/>
        <v>2BW0</v>
      </c>
      <c r="Q704" s="2" t="str">
        <f t="shared" si="74"/>
        <v>2BW0Final Drive Group LH</v>
      </c>
      <c r="R704" s="2" t="str">
        <f>New_Xref[[#This Row],[Serial Prefix]]&amp;IF(New_Xref[[#This Row],[Func Loc]]&lt;&gt;"",New_Xref[[#This Row],[Func Loc]],"NO MATCH")</f>
        <v>2BW0FDRV .AXAR.FDLH</v>
      </c>
      <c r="S704" s="3" t="str">
        <f t="shared" si="75"/>
        <v>2BW03216787XFinal Drive Group LH</v>
      </c>
      <c r="T704" s="3" t="s">
        <v>2105</v>
      </c>
      <c r="U704" s="3" t="s">
        <v>96</v>
      </c>
      <c r="V704" t="str">
        <f t="shared" si="76"/>
        <v>4008LR</v>
      </c>
    </row>
    <row r="705" spans="1:22">
      <c r="A705" t="s">
        <v>2866</v>
      </c>
      <c r="B705" t="s">
        <v>2867</v>
      </c>
      <c r="C705" t="s">
        <v>2960</v>
      </c>
      <c r="D705" t="s">
        <v>2961</v>
      </c>
      <c r="E705" t="s">
        <v>2962</v>
      </c>
      <c r="F705" t="s">
        <v>27</v>
      </c>
      <c r="G705">
        <v>1</v>
      </c>
      <c r="H705" t="s">
        <v>2963</v>
      </c>
      <c r="I705" t="s">
        <v>2966</v>
      </c>
      <c r="J705" t="s">
        <v>2967</v>
      </c>
      <c r="K705" t="s">
        <v>2966</v>
      </c>
      <c r="L705" t="s">
        <v>1608</v>
      </c>
      <c r="M705" s="1" t="str">
        <f t="shared" si="70"/>
        <v>06H117</v>
      </c>
      <c r="N705" s="1" t="str">
        <f t="shared" si="71"/>
        <v>C/O</v>
      </c>
      <c r="O705" s="1" t="str">
        <f t="shared" si="72"/>
        <v>Final Drive Group RH</v>
      </c>
      <c r="P705" s="1" t="str">
        <f t="shared" si="73"/>
        <v>2BW0</v>
      </c>
      <c r="Q705" s="2" t="str">
        <f t="shared" si="74"/>
        <v>2BW0Final Drive Group RH</v>
      </c>
      <c r="R705" s="2" t="str">
        <f>New_Xref[[#This Row],[Serial Prefix]]&amp;IF(New_Xref[[#This Row],[Func Loc]]&lt;&gt;"",New_Xref[[#This Row],[Func Loc]],"NO MATCH")</f>
        <v>2BW0FDRV .AXAR.FDRH</v>
      </c>
      <c r="S705" s="3" t="str">
        <f t="shared" si="75"/>
        <v>2BW03216787XFinal Drive Group RH</v>
      </c>
      <c r="T705" s="3" t="s">
        <v>2105</v>
      </c>
      <c r="U705" s="3" t="s">
        <v>99</v>
      </c>
      <c r="V705" t="str">
        <f t="shared" si="76"/>
        <v>4008RR</v>
      </c>
    </row>
    <row r="706" spans="1:22">
      <c r="A706" t="s">
        <v>2866</v>
      </c>
      <c r="B706" t="s">
        <v>2875</v>
      </c>
      <c r="C706" t="s">
        <v>2960</v>
      </c>
      <c r="D706" t="s">
        <v>2961</v>
      </c>
      <c r="E706" t="s">
        <v>2962</v>
      </c>
      <c r="F706" t="s">
        <v>27</v>
      </c>
      <c r="G706">
        <v>1</v>
      </c>
      <c r="H706" t="s">
        <v>2963</v>
      </c>
      <c r="I706" t="s">
        <v>2968</v>
      </c>
      <c r="J706" t="s">
        <v>2969</v>
      </c>
      <c r="K706" t="s">
        <v>2970</v>
      </c>
      <c r="L706" t="s">
        <v>1605</v>
      </c>
      <c r="M706" s="1" t="str">
        <f t="shared" si="70"/>
        <v>06R39</v>
      </c>
      <c r="N706" s="1" t="str">
        <f t="shared" si="71"/>
        <v>C/O</v>
      </c>
      <c r="O706" s="1" t="str">
        <f t="shared" si="72"/>
        <v>Final Drive LH</v>
      </c>
      <c r="P706" s="1" t="str">
        <f t="shared" si="73"/>
        <v>2BW7</v>
      </c>
      <c r="Q706" s="2" t="str">
        <f t="shared" si="74"/>
        <v>2BW7Final Drive LH</v>
      </c>
      <c r="R706" s="2" t="str">
        <f>New_Xref[[#This Row],[Serial Prefix]]&amp;IF(New_Xref[[#This Row],[Func Loc]]&lt;&gt;"",New_Xref[[#This Row],[Func Loc]],"NO MATCH")</f>
        <v>2BW7FDRV .AXAR.FDLH</v>
      </c>
      <c r="S706" s="3" t="str">
        <f t="shared" si="75"/>
        <v>2BW73216787XFinal Drive LH</v>
      </c>
      <c r="T706" s="3" t="s">
        <v>2105</v>
      </c>
      <c r="U706" s="3" t="s">
        <v>96</v>
      </c>
      <c r="V706" t="str">
        <f t="shared" si="76"/>
        <v>4008LR</v>
      </c>
    </row>
    <row r="707" spans="1:22">
      <c r="A707" t="s">
        <v>2866</v>
      </c>
      <c r="B707" t="s">
        <v>2875</v>
      </c>
      <c r="C707" t="s">
        <v>2960</v>
      </c>
      <c r="D707" t="s">
        <v>2961</v>
      </c>
      <c r="E707" t="s">
        <v>2962</v>
      </c>
      <c r="F707" t="s">
        <v>27</v>
      </c>
      <c r="G707">
        <v>1</v>
      </c>
      <c r="H707" t="s">
        <v>2963</v>
      </c>
      <c r="I707" t="s">
        <v>2971</v>
      </c>
      <c r="J707" t="s">
        <v>2972</v>
      </c>
      <c r="K707" t="s">
        <v>2973</v>
      </c>
      <c r="L707" t="s">
        <v>1608</v>
      </c>
      <c r="M707" s="1" t="str">
        <f t="shared" ref="M707:M770" si="77">LEFT(K707,FIND(" ",K707,1)-1)</f>
        <v>06R39</v>
      </c>
      <c r="N707" s="1" t="str">
        <f t="shared" ref="N707:N770" si="78">MID(K707,LEN(M707)+2,FIND(" ",K707,LEN(M707)+2)-LEN(M707)-2)</f>
        <v>C/O</v>
      </c>
      <c r="O707" s="1" t="str">
        <f t="shared" ref="O707:O770" si="79">MID(K707,FIND(N707,K707,1)+LEN(N707)+1, 150)</f>
        <v>Final Drive RH</v>
      </c>
      <c r="P707" s="1" t="str">
        <f t="shared" ref="P707:P770" si="80">LEFT(B707,4)</f>
        <v>2BW7</v>
      </c>
      <c r="Q707" s="2" t="str">
        <f t="shared" ref="Q707:Q770" si="81">P707&amp;O707</f>
        <v>2BW7Final Drive RH</v>
      </c>
      <c r="R707" s="2" t="str">
        <f>New_Xref[[#This Row],[Serial Prefix]]&amp;IF(New_Xref[[#This Row],[Func Loc]]&lt;&gt;"",New_Xref[[#This Row],[Func Loc]],"NO MATCH")</f>
        <v>2BW7FDRV .AXAR.FDRH</v>
      </c>
      <c r="S707" s="3" t="str">
        <f t="shared" ref="S707:S770" si="82">P707&amp;D707&amp;O707</f>
        <v>2BW73216787XFinal Drive RH</v>
      </c>
      <c r="T707" s="3" t="s">
        <v>2105</v>
      </c>
      <c r="U707" s="3" t="s">
        <v>99</v>
      </c>
      <c r="V707" t="str">
        <f t="shared" ref="V707:V770" si="83">LEFT(T707,FIND(" -",T707,1)-1)&amp;LEFT(U707,FIND(" -",U707,1)-1)</f>
        <v>4008RR</v>
      </c>
    </row>
    <row r="708" spans="1:22">
      <c r="A708" t="s">
        <v>2866</v>
      </c>
      <c r="B708" t="s">
        <v>2867</v>
      </c>
      <c r="C708" t="s">
        <v>2974</v>
      </c>
      <c r="D708" t="s">
        <v>2975</v>
      </c>
      <c r="E708" t="s">
        <v>2976</v>
      </c>
      <c r="F708" t="s">
        <v>27</v>
      </c>
      <c r="G708">
        <v>1</v>
      </c>
      <c r="H708" t="s">
        <v>2977</v>
      </c>
      <c r="I708" t="s">
        <v>2978</v>
      </c>
      <c r="J708" t="s">
        <v>2979</v>
      </c>
      <c r="K708" t="s">
        <v>2978</v>
      </c>
      <c r="L708" t="s">
        <v>767</v>
      </c>
      <c r="M708" s="1" t="str">
        <f t="shared" si="77"/>
        <v>06H117</v>
      </c>
      <c r="N708" s="1" t="str">
        <f t="shared" si="78"/>
        <v>C/O</v>
      </c>
      <c r="O708" s="1" t="str">
        <f t="shared" si="79"/>
        <v>Steering Cylinder LH</v>
      </c>
      <c r="P708" s="1" t="str">
        <f t="shared" si="80"/>
        <v>2BW0</v>
      </c>
      <c r="Q708" s="2" t="str">
        <f t="shared" si="81"/>
        <v>2BW0Steering Cylinder LH</v>
      </c>
      <c r="R708" s="2" t="str">
        <f>New_Xref[[#This Row],[Serial Prefix]]&amp;IF(New_Xref[[#This Row],[Func Loc]]&lt;&gt;"",New_Xref[[#This Row],[Func Loc]],"NO MATCH")</f>
        <v>2BW0STRG .CYLI.SC01</v>
      </c>
      <c r="S708" s="3" t="str">
        <f t="shared" si="82"/>
        <v>2BW04T6797XSteering Cylinder LH</v>
      </c>
      <c r="T708" s="3" t="s">
        <v>107</v>
      </c>
      <c r="U708" s="3" t="s">
        <v>108</v>
      </c>
      <c r="V708" t="str">
        <f t="shared" si="83"/>
        <v>4303LT</v>
      </c>
    </row>
    <row r="709" spans="1:22">
      <c r="A709" t="s">
        <v>2866</v>
      </c>
      <c r="B709" t="s">
        <v>2867</v>
      </c>
      <c r="C709" t="s">
        <v>2974</v>
      </c>
      <c r="D709" t="s">
        <v>2975</v>
      </c>
      <c r="E709" t="s">
        <v>2976</v>
      </c>
      <c r="F709" t="s">
        <v>27</v>
      </c>
      <c r="G709">
        <v>1</v>
      </c>
      <c r="H709" t="s">
        <v>2977</v>
      </c>
      <c r="I709" t="s">
        <v>2980</v>
      </c>
      <c r="J709" t="s">
        <v>2981</v>
      </c>
      <c r="K709" t="s">
        <v>2980</v>
      </c>
      <c r="L709" t="s">
        <v>770</v>
      </c>
      <c r="M709" s="1" t="str">
        <f t="shared" si="77"/>
        <v>06H117</v>
      </c>
      <c r="N709" s="1" t="str">
        <f t="shared" si="78"/>
        <v>C/O</v>
      </c>
      <c r="O709" s="1" t="str">
        <f t="shared" si="79"/>
        <v>Steering Cylinder RH</v>
      </c>
      <c r="P709" s="1" t="str">
        <f t="shared" si="80"/>
        <v>2BW0</v>
      </c>
      <c r="Q709" s="2" t="str">
        <f t="shared" si="81"/>
        <v>2BW0Steering Cylinder RH</v>
      </c>
      <c r="R709" s="2" t="str">
        <f>New_Xref[[#This Row],[Serial Prefix]]&amp;IF(New_Xref[[#This Row],[Func Loc]]&lt;&gt;"",New_Xref[[#This Row],[Func Loc]],"NO MATCH")</f>
        <v>2BW0STRG .CYLI.SC02</v>
      </c>
      <c r="S709" s="3" t="str">
        <f t="shared" si="82"/>
        <v>2BW04T6797XSteering Cylinder RH</v>
      </c>
      <c r="T709" s="3" t="s">
        <v>107</v>
      </c>
      <c r="U709" s="3" t="s">
        <v>115</v>
      </c>
      <c r="V709" t="str">
        <f t="shared" si="83"/>
        <v>4303RI</v>
      </c>
    </row>
    <row r="710" spans="1:22">
      <c r="A710" t="s">
        <v>2866</v>
      </c>
      <c r="B710" t="s">
        <v>2890</v>
      </c>
      <c r="C710" t="s">
        <v>2974</v>
      </c>
      <c r="D710" t="s">
        <v>2975</v>
      </c>
      <c r="E710" t="s">
        <v>2982</v>
      </c>
      <c r="F710" t="s">
        <v>27</v>
      </c>
      <c r="G710">
        <v>1</v>
      </c>
      <c r="H710" t="s">
        <v>2977</v>
      </c>
      <c r="I710" t="s">
        <v>2978</v>
      </c>
      <c r="J710" t="s">
        <v>2979</v>
      </c>
      <c r="K710" t="s">
        <v>2978</v>
      </c>
      <c r="L710" t="s">
        <v>767</v>
      </c>
      <c r="M710" s="1" t="str">
        <f t="shared" si="77"/>
        <v>06H117</v>
      </c>
      <c r="N710" s="1" t="str">
        <f t="shared" si="78"/>
        <v>C/O</v>
      </c>
      <c r="O710" s="1" t="str">
        <f t="shared" si="79"/>
        <v>Steering Cylinder LH</v>
      </c>
      <c r="P710" s="1" t="str">
        <f t="shared" si="80"/>
        <v>2BW7</v>
      </c>
      <c r="Q710" s="2" t="str">
        <f t="shared" si="81"/>
        <v>2BW7Steering Cylinder LH</v>
      </c>
      <c r="R710" s="2" t="str">
        <f>New_Xref[[#This Row],[Serial Prefix]]&amp;IF(New_Xref[[#This Row],[Func Loc]]&lt;&gt;"",New_Xref[[#This Row],[Func Loc]],"NO MATCH")</f>
        <v>2BW7STRG .CYLI.SC01</v>
      </c>
      <c r="S710" s="3" t="str">
        <f t="shared" si="82"/>
        <v>2BW74T6797XSteering Cylinder LH</v>
      </c>
      <c r="T710" s="3" t="s">
        <v>107</v>
      </c>
      <c r="U710" s="3" t="s">
        <v>108</v>
      </c>
      <c r="V710" t="str">
        <f t="shared" si="83"/>
        <v>4303LT</v>
      </c>
    </row>
    <row r="711" spans="1:22">
      <c r="A711" t="s">
        <v>2866</v>
      </c>
      <c r="B711" t="s">
        <v>2890</v>
      </c>
      <c r="C711" t="s">
        <v>2974</v>
      </c>
      <c r="D711" t="s">
        <v>2975</v>
      </c>
      <c r="E711" t="s">
        <v>2982</v>
      </c>
      <c r="F711" t="s">
        <v>27</v>
      </c>
      <c r="G711">
        <v>1</v>
      </c>
      <c r="H711" t="s">
        <v>2977</v>
      </c>
      <c r="I711" t="s">
        <v>2980</v>
      </c>
      <c r="J711" t="s">
        <v>2981</v>
      </c>
      <c r="K711" t="s">
        <v>2980</v>
      </c>
      <c r="L711" t="s">
        <v>770</v>
      </c>
      <c r="M711" s="1" t="str">
        <f t="shared" si="77"/>
        <v>06H117</v>
      </c>
      <c r="N711" s="1" t="str">
        <f t="shared" si="78"/>
        <v>C/O</v>
      </c>
      <c r="O711" s="1" t="str">
        <f t="shared" si="79"/>
        <v>Steering Cylinder RH</v>
      </c>
      <c r="P711" s="1" t="str">
        <f t="shared" si="80"/>
        <v>2BW7</v>
      </c>
      <c r="Q711" s="2" t="str">
        <f t="shared" si="81"/>
        <v>2BW7Steering Cylinder RH</v>
      </c>
      <c r="R711" s="2" t="str">
        <f>New_Xref[[#This Row],[Serial Prefix]]&amp;IF(New_Xref[[#This Row],[Func Loc]]&lt;&gt;"",New_Xref[[#This Row],[Func Loc]],"NO MATCH")</f>
        <v>2BW7STRG .CYLI.SC02</v>
      </c>
      <c r="S711" s="3" t="str">
        <f t="shared" si="82"/>
        <v>2BW74T6797XSteering Cylinder RH</v>
      </c>
      <c r="T711" s="3" t="s">
        <v>107</v>
      </c>
      <c r="U711" s="3" t="s">
        <v>115</v>
      </c>
      <c r="V711" t="str">
        <f t="shared" si="83"/>
        <v>4303RI</v>
      </c>
    </row>
    <row r="712" spans="1:22">
      <c r="A712" t="s">
        <v>2866</v>
      </c>
      <c r="B712" t="s">
        <v>2867</v>
      </c>
      <c r="C712" t="s">
        <v>2983</v>
      </c>
      <c r="D712" t="s">
        <v>2984</v>
      </c>
      <c r="E712" t="s">
        <v>2985</v>
      </c>
      <c r="F712" t="s">
        <v>27</v>
      </c>
      <c r="G712">
        <v>1</v>
      </c>
      <c r="H712" t="s">
        <v>2986</v>
      </c>
      <c r="I712" t="s">
        <v>2987</v>
      </c>
      <c r="J712" t="s">
        <v>2988</v>
      </c>
      <c r="K712" t="s">
        <v>2987</v>
      </c>
      <c r="L712" t="s">
        <v>2453</v>
      </c>
      <c r="M712" s="1" t="str">
        <f t="shared" si="77"/>
        <v>06H117</v>
      </c>
      <c r="N712" s="1" t="str">
        <f t="shared" si="78"/>
        <v>C/O</v>
      </c>
      <c r="O712" s="1" t="str">
        <f t="shared" si="79"/>
        <v>Hoist &amp; Brake Cooling Pump</v>
      </c>
      <c r="P712" s="1" t="str">
        <f t="shared" si="80"/>
        <v>2BW0</v>
      </c>
      <c r="Q712" s="2" t="str">
        <f t="shared" si="81"/>
        <v>2BW0Hoist &amp; Brake Cooling Pump</v>
      </c>
      <c r="R712" s="2" t="str">
        <f>New_Xref[[#This Row],[Serial Prefix]]&amp;IF(New_Xref[[#This Row],[Func Loc]]&lt;&gt;"",New_Xref[[#This Row],[Func Loc]],"NO MATCH")</f>
        <v>2BW0MYHD .PUMP.HP01</v>
      </c>
      <c r="S712" s="3" t="str">
        <f t="shared" si="82"/>
        <v>2BW010R7967Hoist &amp; Brake Cooling Pump</v>
      </c>
      <c r="T712" s="3" t="s">
        <v>2607</v>
      </c>
      <c r="U712" s="3" t="s">
        <v>34</v>
      </c>
      <c r="V712" t="str">
        <f t="shared" si="83"/>
        <v>508300</v>
      </c>
    </row>
    <row r="713" spans="1:22">
      <c r="A713" t="s">
        <v>2866</v>
      </c>
      <c r="B713" t="s">
        <v>2867</v>
      </c>
      <c r="C713" t="s">
        <v>2989</v>
      </c>
      <c r="D713" t="s">
        <v>2990</v>
      </c>
      <c r="E713" t="s">
        <v>2991</v>
      </c>
      <c r="F713" t="s">
        <v>27</v>
      </c>
      <c r="G713">
        <v>1</v>
      </c>
      <c r="H713" t="s">
        <v>2992</v>
      </c>
      <c r="I713" t="s">
        <v>2993</v>
      </c>
      <c r="J713" t="s">
        <v>2994</v>
      </c>
      <c r="K713" t="s">
        <v>2993</v>
      </c>
      <c r="L713" t="s">
        <v>2995</v>
      </c>
      <c r="M713" s="1" t="str">
        <f t="shared" si="77"/>
        <v>06H117</v>
      </c>
      <c r="N713" s="1" t="str">
        <f t="shared" si="78"/>
        <v>C/O</v>
      </c>
      <c r="O713" s="1" t="str">
        <f t="shared" si="79"/>
        <v>Hoist Cylinder LH</v>
      </c>
      <c r="P713" s="1" t="str">
        <f t="shared" si="80"/>
        <v>2BW0</v>
      </c>
      <c r="Q713" s="2" t="str">
        <f t="shared" si="81"/>
        <v>2BW0Hoist Cylinder LH</v>
      </c>
      <c r="R713" s="2" t="str">
        <f>New_Xref[[#This Row],[Serial Prefix]]&amp;IF(New_Xref[[#This Row],[Func Loc]]&lt;&gt;"",New_Xref[[#This Row],[Func Loc]],"NO MATCH")</f>
        <v>2BW0MYHD .CYLI.HOIL</v>
      </c>
      <c r="S713" s="3" t="str">
        <f t="shared" si="82"/>
        <v>2BW09T2807XHoist Cylinder LH</v>
      </c>
      <c r="T713" s="3" t="s">
        <v>130</v>
      </c>
      <c r="U713" s="3" t="s">
        <v>108</v>
      </c>
      <c r="V713" t="str">
        <f t="shared" si="83"/>
        <v>5102LT</v>
      </c>
    </row>
    <row r="714" spans="1:22">
      <c r="A714" t="s">
        <v>2866</v>
      </c>
      <c r="B714" t="s">
        <v>2867</v>
      </c>
      <c r="C714" t="s">
        <v>2989</v>
      </c>
      <c r="D714" t="s">
        <v>2990</v>
      </c>
      <c r="E714" t="s">
        <v>2991</v>
      </c>
      <c r="F714" t="s">
        <v>27</v>
      </c>
      <c r="G714">
        <v>1</v>
      </c>
      <c r="H714" t="s">
        <v>2992</v>
      </c>
      <c r="I714" t="s">
        <v>2996</v>
      </c>
      <c r="J714" t="s">
        <v>2997</v>
      </c>
      <c r="K714" t="s">
        <v>2996</v>
      </c>
      <c r="L714" t="s">
        <v>2998</v>
      </c>
      <c r="M714" s="1" t="str">
        <f t="shared" si="77"/>
        <v>06H117</v>
      </c>
      <c r="N714" s="1" t="str">
        <f t="shared" si="78"/>
        <v>C/O</v>
      </c>
      <c r="O714" s="1" t="str">
        <f t="shared" si="79"/>
        <v>Hoist Cylinder RH</v>
      </c>
      <c r="P714" s="1" t="str">
        <f t="shared" si="80"/>
        <v>2BW0</v>
      </c>
      <c r="Q714" s="2" t="str">
        <f t="shared" si="81"/>
        <v>2BW0Hoist Cylinder RH</v>
      </c>
      <c r="R714" s="2" t="str">
        <f>New_Xref[[#This Row],[Serial Prefix]]&amp;IF(New_Xref[[#This Row],[Func Loc]]&lt;&gt;"",New_Xref[[#This Row],[Func Loc]],"NO MATCH")</f>
        <v>2BW0MYHD .CYLI.HOIR</v>
      </c>
      <c r="S714" s="3" t="str">
        <f t="shared" si="82"/>
        <v>2BW09T2807XHoist Cylinder RH</v>
      </c>
      <c r="T714" s="3" t="s">
        <v>130</v>
      </c>
      <c r="U714" s="3" t="s">
        <v>115</v>
      </c>
      <c r="V714" t="str">
        <f t="shared" si="83"/>
        <v>5102RI</v>
      </c>
    </row>
    <row r="715" spans="1:22">
      <c r="A715" t="s">
        <v>2866</v>
      </c>
      <c r="B715" t="s">
        <v>2875</v>
      </c>
      <c r="C715" t="s">
        <v>2989</v>
      </c>
      <c r="D715" t="s">
        <v>2990</v>
      </c>
      <c r="E715" t="s">
        <v>2999</v>
      </c>
      <c r="F715" t="s">
        <v>27</v>
      </c>
      <c r="G715">
        <v>1</v>
      </c>
      <c r="H715" t="s">
        <v>2992</v>
      </c>
      <c r="I715" t="s">
        <v>3000</v>
      </c>
      <c r="J715" t="s">
        <v>3001</v>
      </c>
      <c r="K715" t="s">
        <v>3000</v>
      </c>
      <c r="L715" t="s">
        <v>2995</v>
      </c>
      <c r="M715" s="1" t="str">
        <f t="shared" si="77"/>
        <v>06R39</v>
      </c>
      <c r="N715" s="1" t="str">
        <f t="shared" si="78"/>
        <v>C/O</v>
      </c>
      <c r="O715" s="1" t="str">
        <f t="shared" si="79"/>
        <v>Hoist Cylinder LH</v>
      </c>
      <c r="P715" s="1" t="str">
        <f t="shared" si="80"/>
        <v>2BW7</v>
      </c>
      <c r="Q715" s="2" t="str">
        <f t="shared" si="81"/>
        <v>2BW7Hoist Cylinder LH</v>
      </c>
      <c r="R715" s="2" t="str">
        <f>New_Xref[[#This Row],[Serial Prefix]]&amp;IF(New_Xref[[#This Row],[Func Loc]]&lt;&gt;"",New_Xref[[#This Row],[Func Loc]],"NO MATCH")</f>
        <v>2BW7MYHD .CYLI.HOIL</v>
      </c>
      <c r="S715" s="3" t="str">
        <f t="shared" si="82"/>
        <v>2BW79T2807XHoist Cylinder LH</v>
      </c>
      <c r="T715" s="3" t="s">
        <v>130</v>
      </c>
      <c r="U715" s="3" t="s">
        <v>108</v>
      </c>
      <c r="V715" t="str">
        <f t="shared" si="83"/>
        <v>5102LT</v>
      </c>
    </row>
    <row r="716" spans="1:22">
      <c r="A716" t="s">
        <v>2866</v>
      </c>
      <c r="B716" t="s">
        <v>2875</v>
      </c>
      <c r="C716" t="s">
        <v>2989</v>
      </c>
      <c r="D716" t="s">
        <v>2990</v>
      </c>
      <c r="E716" t="s">
        <v>2999</v>
      </c>
      <c r="F716" t="s">
        <v>27</v>
      </c>
      <c r="G716">
        <v>1</v>
      </c>
      <c r="H716" t="s">
        <v>2992</v>
      </c>
      <c r="I716" t="s">
        <v>3002</v>
      </c>
      <c r="J716" t="s">
        <v>3003</v>
      </c>
      <c r="K716" t="s">
        <v>3002</v>
      </c>
      <c r="L716" t="s">
        <v>2998</v>
      </c>
      <c r="M716" s="1" t="str">
        <f t="shared" si="77"/>
        <v>06R39</v>
      </c>
      <c r="N716" s="1" t="str">
        <f t="shared" si="78"/>
        <v>C/O</v>
      </c>
      <c r="O716" s="1" t="str">
        <f t="shared" si="79"/>
        <v>Hoist Cylinder RH</v>
      </c>
      <c r="P716" s="1" t="str">
        <f t="shared" si="80"/>
        <v>2BW7</v>
      </c>
      <c r="Q716" s="2" t="str">
        <f t="shared" si="81"/>
        <v>2BW7Hoist Cylinder RH</v>
      </c>
      <c r="R716" s="2" t="str">
        <f>New_Xref[[#This Row],[Serial Prefix]]&amp;IF(New_Xref[[#This Row],[Func Loc]]&lt;&gt;"",New_Xref[[#This Row],[Func Loc]],"NO MATCH")</f>
        <v>2BW7MYHD .CYLI.HOIR</v>
      </c>
      <c r="S716" s="3" t="str">
        <f t="shared" si="82"/>
        <v>2BW79T2807XHoist Cylinder RH</v>
      </c>
      <c r="T716" s="3" t="s">
        <v>130</v>
      </c>
      <c r="U716" s="3" t="s">
        <v>115</v>
      </c>
      <c r="V716" t="str">
        <f t="shared" si="83"/>
        <v>5102RI</v>
      </c>
    </row>
    <row r="717" spans="1:22">
      <c r="A717" t="s">
        <v>2866</v>
      </c>
      <c r="B717" t="s">
        <v>2867</v>
      </c>
      <c r="C717" t="s">
        <v>3004</v>
      </c>
      <c r="D717" t="s">
        <v>3005</v>
      </c>
      <c r="E717" t="s">
        <v>3006</v>
      </c>
      <c r="F717" t="s">
        <v>27</v>
      </c>
      <c r="G717">
        <v>1</v>
      </c>
      <c r="H717" t="s">
        <v>3007</v>
      </c>
      <c r="I717" t="s">
        <v>3008</v>
      </c>
      <c r="J717" t="s">
        <v>3009</v>
      </c>
      <c r="K717" t="s">
        <v>3008</v>
      </c>
      <c r="L717" t="s">
        <v>778</v>
      </c>
      <c r="M717" s="1" t="str">
        <f t="shared" si="77"/>
        <v>06H117</v>
      </c>
      <c r="N717" s="1" t="str">
        <f t="shared" si="78"/>
        <v>C/O</v>
      </c>
      <c r="O717" s="1" t="str">
        <f t="shared" si="79"/>
        <v>Suspension LHF</v>
      </c>
      <c r="P717" s="1" t="str">
        <f t="shared" si="80"/>
        <v>2BW0</v>
      </c>
      <c r="Q717" s="2" t="str">
        <f t="shared" si="81"/>
        <v>2BW0Suspension LHF</v>
      </c>
      <c r="R717" s="2" t="str">
        <f>New_Xref[[#This Row],[Serial Prefix]]&amp;IF(New_Xref[[#This Row],[Func Loc]]&lt;&gt;"",New_Xref[[#This Row],[Func Loc]],"NO MATCH")</f>
        <v>2BW0STRU .SUGR.SG01</v>
      </c>
      <c r="S717" s="3" t="str">
        <f t="shared" si="82"/>
        <v>2BW03524023XSuspension LHF</v>
      </c>
      <c r="T717" s="3" t="s">
        <v>511</v>
      </c>
      <c r="U717" s="3" t="s">
        <v>89</v>
      </c>
      <c r="V717" t="str">
        <f t="shared" si="83"/>
        <v>7201LF</v>
      </c>
    </row>
    <row r="718" spans="1:22">
      <c r="A718" t="s">
        <v>2866</v>
      </c>
      <c r="B718" t="s">
        <v>2867</v>
      </c>
      <c r="C718" t="s">
        <v>3004</v>
      </c>
      <c r="D718" t="s">
        <v>3005</v>
      </c>
      <c r="E718" t="s">
        <v>3006</v>
      </c>
      <c r="F718" t="s">
        <v>27</v>
      </c>
      <c r="G718">
        <v>1</v>
      </c>
      <c r="H718" t="s">
        <v>3007</v>
      </c>
      <c r="I718" t="s">
        <v>3010</v>
      </c>
      <c r="J718" t="s">
        <v>3011</v>
      </c>
      <c r="K718" t="s">
        <v>3010</v>
      </c>
      <c r="L718" t="s">
        <v>781</v>
      </c>
      <c r="M718" s="1" t="str">
        <f t="shared" si="77"/>
        <v>06H117</v>
      </c>
      <c r="N718" s="1" t="str">
        <f t="shared" si="78"/>
        <v>C/O</v>
      </c>
      <c r="O718" s="1" t="str">
        <f t="shared" si="79"/>
        <v>Suspension RHF</v>
      </c>
      <c r="P718" s="1" t="str">
        <f t="shared" si="80"/>
        <v>2BW0</v>
      </c>
      <c r="Q718" s="2" t="str">
        <f t="shared" si="81"/>
        <v>2BW0Suspension RHF</v>
      </c>
      <c r="R718" s="2" t="str">
        <f>New_Xref[[#This Row],[Serial Prefix]]&amp;IF(New_Xref[[#This Row],[Func Loc]]&lt;&gt;"",New_Xref[[#This Row],[Func Loc]],"NO MATCH")</f>
        <v>2BW0STRU .SUGR.SG02</v>
      </c>
      <c r="S718" s="3" t="str">
        <f t="shared" si="82"/>
        <v>2BW03524023XSuspension RHF</v>
      </c>
      <c r="T718" s="3" t="s">
        <v>511</v>
      </c>
      <c r="U718" s="3" t="s">
        <v>92</v>
      </c>
      <c r="V718" t="str">
        <f t="shared" si="83"/>
        <v>7201RF</v>
      </c>
    </row>
    <row r="719" spans="1:22">
      <c r="A719" t="s">
        <v>2866</v>
      </c>
      <c r="B719" t="s">
        <v>2875</v>
      </c>
      <c r="C719" t="s">
        <v>3004</v>
      </c>
      <c r="D719" t="s">
        <v>3005</v>
      </c>
      <c r="E719" t="s">
        <v>2133</v>
      </c>
      <c r="F719" t="s">
        <v>27</v>
      </c>
      <c r="G719">
        <v>1</v>
      </c>
      <c r="H719" t="s">
        <v>3007</v>
      </c>
      <c r="I719" t="s">
        <v>3012</v>
      </c>
      <c r="J719" t="s">
        <v>3013</v>
      </c>
      <c r="K719" t="s">
        <v>3012</v>
      </c>
      <c r="L719" t="s">
        <v>778</v>
      </c>
      <c r="M719" s="1" t="str">
        <f t="shared" si="77"/>
        <v>06R39</v>
      </c>
      <c r="N719" s="1" t="str">
        <f t="shared" si="78"/>
        <v>C/O</v>
      </c>
      <c r="O719" s="1" t="str">
        <f t="shared" si="79"/>
        <v>Suspension LHF</v>
      </c>
      <c r="P719" s="1" t="str">
        <f t="shared" si="80"/>
        <v>2BW7</v>
      </c>
      <c r="Q719" s="2" t="str">
        <f t="shared" si="81"/>
        <v>2BW7Suspension LHF</v>
      </c>
      <c r="R719" s="2" t="str">
        <f>New_Xref[[#This Row],[Serial Prefix]]&amp;IF(New_Xref[[#This Row],[Func Loc]]&lt;&gt;"",New_Xref[[#This Row],[Func Loc]],"NO MATCH")</f>
        <v>2BW7STRU .SUGR.SG01</v>
      </c>
      <c r="S719" s="3" t="str">
        <f t="shared" si="82"/>
        <v>2BW73524023XSuspension LHF</v>
      </c>
      <c r="T719" s="3" t="s">
        <v>511</v>
      </c>
      <c r="U719" s="3" t="s">
        <v>89</v>
      </c>
      <c r="V719" t="str">
        <f t="shared" si="83"/>
        <v>7201LF</v>
      </c>
    </row>
    <row r="720" spans="1:22">
      <c r="A720" t="s">
        <v>2866</v>
      </c>
      <c r="B720" t="s">
        <v>2875</v>
      </c>
      <c r="C720" t="s">
        <v>3004</v>
      </c>
      <c r="D720" t="s">
        <v>3005</v>
      </c>
      <c r="E720" t="s">
        <v>2133</v>
      </c>
      <c r="F720" t="s">
        <v>27</v>
      </c>
      <c r="G720">
        <v>1</v>
      </c>
      <c r="H720" t="s">
        <v>3007</v>
      </c>
      <c r="I720" t="s">
        <v>3014</v>
      </c>
      <c r="J720" t="s">
        <v>3015</v>
      </c>
      <c r="K720" t="s">
        <v>3014</v>
      </c>
      <c r="L720" t="s">
        <v>781</v>
      </c>
      <c r="M720" s="1" t="str">
        <f t="shared" si="77"/>
        <v>06R39</v>
      </c>
      <c r="N720" s="1" t="str">
        <f t="shared" si="78"/>
        <v>C/O</v>
      </c>
      <c r="O720" s="1" t="str">
        <f t="shared" si="79"/>
        <v>Suspension RHF</v>
      </c>
      <c r="P720" s="1" t="str">
        <f t="shared" si="80"/>
        <v>2BW7</v>
      </c>
      <c r="Q720" s="2" t="str">
        <f t="shared" si="81"/>
        <v>2BW7Suspension RHF</v>
      </c>
      <c r="R720" s="2" t="str">
        <f>New_Xref[[#This Row],[Serial Prefix]]&amp;IF(New_Xref[[#This Row],[Func Loc]]&lt;&gt;"",New_Xref[[#This Row],[Func Loc]],"NO MATCH")</f>
        <v>2BW7STRU .SUGR.SG02</v>
      </c>
      <c r="S720" s="3" t="str">
        <f t="shared" si="82"/>
        <v>2BW73524023XSuspension RHF</v>
      </c>
      <c r="T720" s="3" t="s">
        <v>511</v>
      </c>
      <c r="U720" s="3" t="s">
        <v>92</v>
      </c>
      <c r="V720" t="str">
        <f t="shared" si="83"/>
        <v>7201RF</v>
      </c>
    </row>
    <row r="721" spans="1:22">
      <c r="A721" t="s">
        <v>2866</v>
      </c>
      <c r="B721" t="s">
        <v>2867</v>
      </c>
      <c r="C721" t="s">
        <v>3016</v>
      </c>
      <c r="D721" t="s">
        <v>3017</v>
      </c>
      <c r="E721" t="s">
        <v>3018</v>
      </c>
      <c r="F721" t="s">
        <v>27</v>
      </c>
      <c r="G721">
        <v>1</v>
      </c>
      <c r="H721" t="s">
        <v>3019</v>
      </c>
      <c r="I721" t="s">
        <v>3020</v>
      </c>
      <c r="J721" t="s">
        <v>3021</v>
      </c>
      <c r="K721" t="s">
        <v>3020</v>
      </c>
      <c r="L721" t="s">
        <v>788</v>
      </c>
      <c r="M721" s="1" t="str">
        <f t="shared" si="77"/>
        <v>06H117</v>
      </c>
      <c r="N721" s="1" t="str">
        <f t="shared" si="78"/>
        <v>C/O</v>
      </c>
      <c r="O721" s="1" t="str">
        <f t="shared" si="79"/>
        <v>Suspension LHR O/C</v>
      </c>
      <c r="P721" s="1" t="str">
        <f t="shared" si="80"/>
        <v>2BW0</v>
      </c>
      <c r="Q721" s="2" t="str">
        <f t="shared" si="81"/>
        <v>2BW0Suspension LHR O/C</v>
      </c>
      <c r="R721" s="2" t="str">
        <f>New_Xref[[#This Row],[Serial Prefix]]&amp;IF(New_Xref[[#This Row],[Func Loc]]&lt;&gt;"",New_Xref[[#This Row],[Func Loc]],"NO MATCH")</f>
        <v>2BW0STRU .SUGR.SG03</v>
      </c>
      <c r="S721" s="3" t="str">
        <f t="shared" si="82"/>
        <v>2BW01061801XSuspension LHR O/C</v>
      </c>
      <c r="T721" s="3" t="s">
        <v>521</v>
      </c>
      <c r="U721" s="3" t="s">
        <v>96</v>
      </c>
      <c r="V721" t="str">
        <f t="shared" si="83"/>
        <v>7213LR</v>
      </c>
    </row>
    <row r="722" spans="1:22">
      <c r="A722" t="s">
        <v>2866</v>
      </c>
      <c r="B722" t="s">
        <v>2867</v>
      </c>
      <c r="C722" t="s">
        <v>3016</v>
      </c>
      <c r="D722" t="s">
        <v>3017</v>
      </c>
      <c r="E722" t="s">
        <v>3018</v>
      </c>
      <c r="F722" t="s">
        <v>27</v>
      </c>
      <c r="G722">
        <v>1</v>
      </c>
      <c r="H722" t="s">
        <v>3019</v>
      </c>
      <c r="I722" t="s">
        <v>3022</v>
      </c>
      <c r="J722" t="s">
        <v>3023</v>
      </c>
      <c r="K722" t="s">
        <v>3022</v>
      </c>
      <c r="L722" t="s">
        <v>791</v>
      </c>
      <c r="M722" s="1" t="str">
        <f t="shared" si="77"/>
        <v>06H117</v>
      </c>
      <c r="N722" s="1" t="str">
        <f t="shared" si="78"/>
        <v>C/O</v>
      </c>
      <c r="O722" s="1" t="str">
        <f t="shared" si="79"/>
        <v>Suspension RHR O/C</v>
      </c>
      <c r="P722" s="1" t="str">
        <f t="shared" si="80"/>
        <v>2BW0</v>
      </c>
      <c r="Q722" s="2" t="str">
        <f t="shared" si="81"/>
        <v>2BW0Suspension RHR O/C</v>
      </c>
      <c r="R722" s="2" t="str">
        <f>New_Xref[[#This Row],[Serial Prefix]]&amp;IF(New_Xref[[#This Row],[Func Loc]]&lt;&gt;"",New_Xref[[#This Row],[Func Loc]],"NO MATCH")</f>
        <v>2BW0STRU .SUGR.SG04</v>
      </c>
      <c r="S722" s="3" t="str">
        <f t="shared" si="82"/>
        <v>2BW01061801XSuspension RHR O/C</v>
      </c>
      <c r="T722" s="3" t="s">
        <v>521</v>
      </c>
      <c r="U722" s="3" t="s">
        <v>99</v>
      </c>
      <c r="V722" t="str">
        <f t="shared" si="83"/>
        <v>7213RR</v>
      </c>
    </row>
    <row r="723" spans="1:22">
      <c r="A723" t="s">
        <v>2866</v>
      </c>
      <c r="B723" t="s">
        <v>2875</v>
      </c>
      <c r="C723" t="s">
        <v>3016</v>
      </c>
      <c r="D723" t="s">
        <v>3017</v>
      </c>
      <c r="E723" t="s">
        <v>3024</v>
      </c>
      <c r="F723" t="s">
        <v>27</v>
      </c>
      <c r="G723">
        <v>1</v>
      </c>
      <c r="H723" t="s">
        <v>3019</v>
      </c>
      <c r="I723" t="s">
        <v>3025</v>
      </c>
      <c r="J723" t="s">
        <v>3026</v>
      </c>
      <c r="K723" t="s">
        <v>3027</v>
      </c>
      <c r="L723" t="s">
        <v>788</v>
      </c>
      <c r="M723" s="1" t="str">
        <f t="shared" si="77"/>
        <v>06R39</v>
      </c>
      <c r="N723" s="1" t="str">
        <f t="shared" si="78"/>
        <v>C/O</v>
      </c>
      <c r="O723" s="1" t="str">
        <f t="shared" si="79"/>
        <v>Suspension LHR</v>
      </c>
      <c r="P723" s="1" t="str">
        <f t="shared" si="80"/>
        <v>2BW7</v>
      </c>
      <c r="Q723" s="2" t="str">
        <f t="shared" si="81"/>
        <v>2BW7Suspension LHR</v>
      </c>
      <c r="R723" s="2" t="str">
        <f>New_Xref[[#This Row],[Serial Prefix]]&amp;IF(New_Xref[[#This Row],[Func Loc]]&lt;&gt;"",New_Xref[[#This Row],[Func Loc]],"NO MATCH")</f>
        <v>2BW7STRU .SUGR.SG03</v>
      </c>
      <c r="S723" s="3" t="str">
        <f t="shared" si="82"/>
        <v>2BW71061801XSuspension LHR</v>
      </c>
      <c r="T723" s="3" t="s">
        <v>521</v>
      </c>
      <c r="U723" s="3" t="s">
        <v>96</v>
      </c>
      <c r="V723" t="str">
        <f t="shared" si="83"/>
        <v>7213LR</v>
      </c>
    </row>
    <row r="724" spans="1:22">
      <c r="A724" t="s">
        <v>2866</v>
      </c>
      <c r="B724" t="s">
        <v>2875</v>
      </c>
      <c r="C724" t="s">
        <v>3016</v>
      </c>
      <c r="D724" t="s">
        <v>3017</v>
      </c>
      <c r="E724" t="s">
        <v>3024</v>
      </c>
      <c r="F724" t="s">
        <v>27</v>
      </c>
      <c r="G724">
        <v>1</v>
      </c>
      <c r="H724" t="s">
        <v>3019</v>
      </c>
      <c r="I724" t="s">
        <v>3028</v>
      </c>
      <c r="J724" t="s">
        <v>3029</v>
      </c>
      <c r="K724" t="s">
        <v>3030</v>
      </c>
      <c r="L724" t="s">
        <v>791</v>
      </c>
      <c r="M724" s="1" t="str">
        <f t="shared" si="77"/>
        <v>06R39</v>
      </c>
      <c r="N724" s="1" t="str">
        <f t="shared" si="78"/>
        <v>C/O</v>
      </c>
      <c r="O724" s="1" t="str">
        <f t="shared" si="79"/>
        <v>Suspension RHR</v>
      </c>
      <c r="P724" s="1" t="str">
        <f t="shared" si="80"/>
        <v>2BW7</v>
      </c>
      <c r="Q724" s="2" t="str">
        <f t="shared" si="81"/>
        <v>2BW7Suspension RHR</v>
      </c>
      <c r="R724" s="2" t="str">
        <f>New_Xref[[#This Row],[Serial Prefix]]&amp;IF(New_Xref[[#This Row],[Func Loc]]&lt;&gt;"",New_Xref[[#This Row],[Func Loc]],"NO MATCH")</f>
        <v>2BW7STRU .SUGR.SG04</v>
      </c>
      <c r="S724" s="3" t="str">
        <f t="shared" si="82"/>
        <v>2BW71061801XSuspension RHR</v>
      </c>
      <c r="T724" s="3" t="s">
        <v>521</v>
      </c>
      <c r="U724" s="3" t="s">
        <v>99</v>
      </c>
      <c r="V724" t="str">
        <f t="shared" si="83"/>
        <v>7213RR</v>
      </c>
    </row>
    <row r="725" spans="1:22">
      <c r="A725" t="s">
        <v>3031</v>
      </c>
      <c r="B725" t="s">
        <v>3032</v>
      </c>
      <c r="C725" t="s">
        <v>3033</v>
      </c>
      <c r="D725" t="s">
        <v>3034</v>
      </c>
      <c r="E725" t="s">
        <v>3035</v>
      </c>
      <c r="F725" t="s">
        <v>27</v>
      </c>
      <c r="G725">
        <v>1</v>
      </c>
      <c r="H725" t="s">
        <v>3036</v>
      </c>
      <c r="I725" t="s">
        <v>3037</v>
      </c>
      <c r="J725" t="s">
        <v>3038</v>
      </c>
      <c r="K725" t="s">
        <v>3039</v>
      </c>
      <c r="L725" t="s">
        <v>32</v>
      </c>
      <c r="M725" s="1" t="str">
        <f t="shared" si="77"/>
        <v>06B234</v>
      </c>
      <c r="N725" s="1" t="str">
        <f t="shared" si="78"/>
        <v>C/O</v>
      </c>
      <c r="O725" s="1" t="str">
        <f t="shared" si="79"/>
        <v>Engine</v>
      </c>
      <c r="P725" s="1" t="str">
        <f t="shared" si="80"/>
        <v>AX70</v>
      </c>
      <c r="Q725" s="2" t="str">
        <f t="shared" si="81"/>
        <v>AX70Engine</v>
      </c>
      <c r="R725" s="2" t="str">
        <f>New_Xref[[#This Row],[Serial Prefix]]&amp;IF(New_Xref[[#This Row],[Func Loc]]&lt;&gt;"",New_Xref[[#This Row],[Func Loc]],"NO MATCH")</f>
        <v>AX70ENGD</v>
      </c>
      <c r="S725" s="3" t="str">
        <f t="shared" si="82"/>
        <v>AX706155618XEngine</v>
      </c>
      <c r="T725" s="3" t="s">
        <v>33</v>
      </c>
      <c r="U725" s="3" t="s">
        <v>34</v>
      </c>
      <c r="V725" t="str">
        <f t="shared" si="83"/>
        <v>100000</v>
      </c>
    </row>
    <row r="726" spans="1:22">
      <c r="A726" t="s">
        <v>3031</v>
      </c>
      <c r="B726" t="s">
        <v>3040</v>
      </c>
      <c r="C726" t="s">
        <v>3033</v>
      </c>
      <c r="D726" t="s">
        <v>3034</v>
      </c>
      <c r="E726" t="s">
        <v>3035</v>
      </c>
      <c r="F726" t="s">
        <v>27</v>
      </c>
      <c r="G726">
        <v>1</v>
      </c>
      <c r="H726" t="s">
        <v>3036</v>
      </c>
      <c r="I726" t="s">
        <v>3041</v>
      </c>
      <c r="J726" t="s">
        <v>3042</v>
      </c>
      <c r="K726" t="s">
        <v>3043</v>
      </c>
      <c r="L726" t="s">
        <v>32</v>
      </c>
      <c r="M726" s="1" t="str">
        <f t="shared" si="77"/>
        <v>06B232</v>
      </c>
      <c r="N726" s="1" t="str">
        <f t="shared" si="78"/>
        <v>C/O</v>
      </c>
      <c r="O726" s="1" t="str">
        <f t="shared" si="79"/>
        <v>Engine</v>
      </c>
      <c r="P726" s="1" t="str">
        <f t="shared" si="80"/>
        <v>AX79</v>
      </c>
      <c r="Q726" s="2" t="str">
        <f t="shared" si="81"/>
        <v>AX79Engine</v>
      </c>
      <c r="R726" s="2" t="str">
        <f>New_Xref[[#This Row],[Serial Prefix]]&amp;IF(New_Xref[[#This Row],[Func Loc]]&lt;&gt;"",New_Xref[[#This Row],[Func Loc]],"NO MATCH")</f>
        <v>AX79ENGD</v>
      </c>
      <c r="S726" s="3" t="str">
        <f t="shared" si="82"/>
        <v>AX796155618XEngine</v>
      </c>
      <c r="T726" s="3" t="s">
        <v>33</v>
      </c>
      <c r="U726" s="3" t="s">
        <v>34</v>
      </c>
      <c r="V726" t="str">
        <f t="shared" si="83"/>
        <v>100000</v>
      </c>
    </row>
    <row r="727" spans="1:22">
      <c r="A727" t="s">
        <v>3031</v>
      </c>
      <c r="B727" t="s">
        <v>3044</v>
      </c>
      <c r="C727" t="s">
        <v>3045</v>
      </c>
      <c r="D727" t="s">
        <v>3046</v>
      </c>
      <c r="E727" t="s">
        <v>263</v>
      </c>
      <c r="F727" t="s">
        <v>27</v>
      </c>
      <c r="G727">
        <v>1</v>
      </c>
      <c r="H727" t="s">
        <v>3047</v>
      </c>
      <c r="I727" t="s">
        <v>3048</v>
      </c>
      <c r="J727" t="s">
        <v>3049</v>
      </c>
      <c r="K727" t="s">
        <v>3050</v>
      </c>
      <c r="L727" t="s">
        <v>2659</v>
      </c>
      <c r="M727" s="1" t="str">
        <f t="shared" si="77"/>
        <v>06B233</v>
      </c>
      <c r="N727" s="1" t="str">
        <f t="shared" si="78"/>
        <v>C/O</v>
      </c>
      <c r="O727" s="1" t="str">
        <f t="shared" si="79"/>
        <v>Turbocharger LHF</v>
      </c>
      <c r="P727" s="1" t="str">
        <f t="shared" si="80"/>
        <v>AX70</v>
      </c>
      <c r="Q727" s="2" t="str">
        <f t="shared" si="81"/>
        <v>AX70Turbocharger LHF</v>
      </c>
      <c r="R727" s="2" t="str">
        <f>New_Xref[[#This Row],[Serial Prefix]]&amp;IF(New_Xref[[#This Row],[Func Loc]]&lt;&gt;"",New_Xref[[#This Row],[Func Loc]],"NO MATCH")</f>
        <v>AX70ENGD .TURB.TCLF</v>
      </c>
      <c r="S727" s="3" t="str">
        <f t="shared" si="82"/>
        <v>AX7020R5068Turbocharger LHF</v>
      </c>
      <c r="T727" s="3" t="s">
        <v>47</v>
      </c>
      <c r="U727" s="3" t="s">
        <v>89</v>
      </c>
      <c r="V727" t="str">
        <f t="shared" si="83"/>
        <v>1052LF</v>
      </c>
    </row>
    <row r="728" spans="1:22">
      <c r="A728" t="s">
        <v>3031</v>
      </c>
      <c r="B728" t="s">
        <v>3044</v>
      </c>
      <c r="C728" t="s">
        <v>3045</v>
      </c>
      <c r="D728" t="s">
        <v>3046</v>
      </c>
      <c r="E728" t="s">
        <v>263</v>
      </c>
      <c r="F728" t="s">
        <v>27</v>
      </c>
      <c r="G728">
        <v>1</v>
      </c>
      <c r="H728" t="s">
        <v>3047</v>
      </c>
      <c r="I728" t="s">
        <v>3048</v>
      </c>
      <c r="J728" t="s">
        <v>3051</v>
      </c>
      <c r="K728" t="s">
        <v>3052</v>
      </c>
      <c r="L728" t="s">
        <v>2665</v>
      </c>
      <c r="M728" s="1" t="str">
        <f t="shared" si="77"/>
        <v>06B233</v>
      </c>
      <c r="N728" s="1" t="str">
        <f t="shared" si="78"/>
        <v>C/O</v>
      </c>
      <c r="O728" s="1" t="str">
        <f t="shared" si="79"/>
        <v>Turbocharger RHF</v>
      </c>
      <c r="P728" s="1" t="str">
        <f t="shared" si="80"/>
        <v>AX70</v>
      </c>
      <c r="Q728" s="2" t="str">
        <f t="shared" si="81"/>
        <v>AX70Turbocharger RHF</v>
      </c>
      <c r="R728" s="2" t="str">
        <f>New_Xref[[#This Row],[Serial Prefix]]&amp;IF(New_Xref[[#This Row],[Func Loc]]&lt;&gt;"",New_Xref[[#This Row],[Func Loc]],"NO MATCH")</f>
        <v>AX70ENGD .TURB.TCRF</v>
      </c>
      <c r="S728" s="3" t="str">
        <f t="shared" si="82"/>
        <v>AX7020R5068Turbocharger RHF</v>
      </c>
      <c r="T728" s="3" t="s">
        <v>47</v>
      </c>
      <c r="U728" s="3" t="s">
        <v>92</v>
      </c>
      <c r="V728" t="str">
        <f t="shared" si="83"/>
        <v>1052RF</v>
      </c>
    </row>
    <row r="729" spans="1:22">
      <c r="A729" t="s">
        <v>3031</v>
      </c>
      <c r="B729" t="s">
        <v>3044</v>
      </c>
      <c r="C729" t="s">
        <v>3045</v>
      </c>
      <c r="D729" t="s">
        <v>3046</v>
      </c>
      <c r="E729" t="s">
        <v>263</v>
      </c>
      <c r="F729" t="s">
        <v>27</v>
      </c>
      <c r="G729">
        <v>1</v>
      </c>
      <c r="H729" t="s">
        <v>3047</v>
      </c>
      <c r="I729" t="s">
        <v>3048</v>
      </c>
      <c r="J729" t="s">
        <v>3053</v>
      </c>
      <c r="K729" t="s">
        <v>3054</v>
      </c>
      <c r="L729" t="s">
        <v>2662</v>
      </c>
      <c r="M729" s="1" t="str">
        <f t="shared" si="77"/>
        <v>06B233</v>
      </c>
      <c r="N729" s="1" t="str">
        <f t="shared" si="78"/>
        <v>C/O</v>
      </c>
      <c r="O729" s="1" t="str">
        <f t="shared" si="79"/>
        <v>Turbocharger LHR</v>
      </c>
      <c r="P729" s="1" t="str">
        <f t="shared" si="80"/>
        <v>AX70</v>
      </c>
      <c r="Q729" s="2" t="str">
        <f t="shared" si="81"/>
        <v>AX70Turbocharger LHR</v>
      </c>
      <c r="R729" s="2" t="str">
        <f>New_Xref[[#This Row],[Serial Prefix]]&amp;IF(New_Xref[[#This Row],[Func Loc]]&lt;&gt;"",New_Xref[[#This Row],[Func Loc]],"NO MATCH")</f>
        <v>AX70ENGD .TURB.TCLR</v>
      </c>
      <c r="S729" s="3" t="str">
        <f t="shared" si="82"/>
        <v>AX7020R5068Turbocharger LHR</v>
      </c>
      <c r="T729" s="3" t="s">
        <v>47</v>
      </c>
      <c r="U729" s="3" t="s">
        <v>96</v>
      </c>
      <c r="V729" t="str">
        <f t="shared" si="83"/>
        <v>1052LR</v>
      </c>
    </row>
    <row r="730" spans="1:22">
      <c r="A730" t="s">
        <v>3031</v>
      </c>
      <c r="B730" t="s">
        <v>3044</v>
      </c>
      <c r="C730" t="s">
        <v>3045</v>
      </c>
      <c r="D730" t="s">
        <v>3046</v>
      </c>
      <c r="E730" t="s">
        <v>263</v>
      </c>
      <c r="F730" t="s">
        <v>27</v>
      </c>
      <c r="G730">
        <v>1</v>
      </c>
      <c r="H730" t="s">
        <v>3047</v>
      </c>
      <c r="I730" t="s">
        <v>3048</v>
      </c>
      <c r="J730" t="s">
        <v>3055</v>
      </c>
      <c r="K730" t="s">
        <v>3056</v>
      </c>
      <c r="L730" t="s">
        <v>2668</v>
      </c>
      <c r="M730" s="1" t="str">
        <f t="shared" si="77"/>
        <v>06B233</v>
      </c>
      <c r="N730" s="1" t="str">
        <f t="shared" si="78"/>
        <v>C/O</v>
      </c>
      <c r="O730" s="1" t="str">
        <f t="shared" si="79"/>
        <v>Turbocharger RHR</v>
      </c>
      <c r="P730" s="1" t="str">
        <f t="shared" si="80"/>
        <v>AX70</v>
      </c>
      <c r="Q730" s="2" t="str">
        <f t="shared" si="81"/>
        <v>AX70Turbocharger RHR</v>
      </c>
      <c r="R730" s="2" t="str">
        <f>New_Xref[[#This Row],[Serial Prefix]]&amp;IF(New_Xref[[#This Row],[Func Loc]]&lt;&gt;"",New_Xref[[#This Row],[Func Loc]],"NO MATCH")</f>
        <v>AX70ENGD .TURB.TCRR</v>
      </c>
      <c r="S730" s="3" t="str">
        <f t="shared" si="82"/>
        <v>AX7020R5068Turbocharger RHR</v>
      </c>
      <c r="T730" s="3" t="s">
        <v>47</v>
      </c>
      <c r="U730" s="3" t="s">
        <v>99</v>
      </c>
      <c r="V730" t="str">
        <f t="shared" si="83"/>
        <v>1052RR</v>
      </c>
    </row>
    <row r="731" spans="1:22">
      <c r="A731" t="s">
        <v>3031</v>
      </c>
      <c r="B731" t="s">
        <v>3040</v>
      </c>
      <c r="C731" t="s">
        <v>3045</v>
      </c>
      <c r="D731" t="s">
        <v>3046</v>
      </c>
      <c r="E731" t="s">
        <v>263</v>
      </c>
      <c r="F731" t="s">
        <v>27</v>
      </c>
      <c r="G731">
        <v>1</v>
      </c>
      <c r="H731" t="s">
        <v>3047</v>
      </c>
      <c r="I731" t="s">
        <v>3041</v>
      </c>
      <c r="J731" t="s">
        <v>3057</v>
      </c>
      <c r="K731" t="s">
        <v>3058</v>
      </c>
      <c r="L731" t="s">
        <v>2659</v>
      </c>
      <c r="M731" s="1" t="str">
        <f t="shared" si="77"/>
        <v>06B232</v>
      </c>
      <c r="N731" s="1" t="str">
        <f t="shared" si="78"/>
        <v>C/O</v>
      </c>
      <c r="O731" s="1" t="str">
        <f t="shared" si="79"/>
        <v>Turbocharger LHF</v>
      </c>
      <c r="P731" s="1" t="str">
        <f t="shared" si="80"/>
        <v>AX79</v>
      </c>
      <c r="Q731" s="2" t="str">
        <f t="shared" si="81"/>
        <v>AX79Turbocharger LHF</v>
      </c>
      <c r="R731" s="2" t="str">
        <f>New_Xref[[#This Row],[Serial Prefix]]&amp;IF(New_Xref[[#This Row],[Func Loc]]&lt;&gt;"",New_Xref[[#This Row],[Func Loc]],"NO MATCH")</f>
        <v>AX79ENGD .TURB.TCLF</v>
      </c>
      <c r="S731" s="3" t="str">
        <f t="shared" si="82"/>
        <v>AX7920R5068Turbocharger LHF</v>
      </c>
      <c r="T731" s="3" t="s">
        <v>47</v>
      </c>
      <c r="U731" s="3" t="s">
        <v>89</v>
      </c>
      <c r="V731" t="str">
        <f t="shared" si="83"/>
        <v>1052LF</v>
      </c>
    </row>
    <row r="732" spans="1:22">
      <c r="A732" t="s">
        <v>3031</v>
      </c>
      <c r="B732" t="s">
        <v>3040</v>
      </c>
      <c r="C732" t="s">
        <v>3045</v>
      </c>
      <c r="D732" t="s">
        <v>3046</v>
      </c>
      <c r="E732" t="s">
        <v>263</v>
      </c>
      <c r="F732" t="s">
        <v>27</v>
      </c>
      <c r="G732">
        <v>1</v>
      </c>
      <c r="H732" t="s">
        <v>3047</v>
      </c>
      <c r="I732" t="s">
        <v>3041</v>
      </c>
      <c r="J732" t="s">
        <v>3059</v>
      </c>
      <c r="K732" t="s">
        <v>3060</v>
      </c>
      <c r="L732" t="s">
        <v>2662</v>
      </c>
      <c r="M732" s="1" t="str">
        <f t="shared" si="77"/>
        <v>06B232</v>
      </c>
      <c r="N732" s="1" t="str">
        <f t="shared" si="78"/>
        <v>C/O</v>
      </c>
      <c r="O732" s="1" t="str">
        <f t="shared" si="79"/>
        <v>Turbocharger LHR</v>
      </c>
      <c r="P732" s="1" t="str">
        <f t="shared" si="80"/>
        <v>AX79</v>
      </c>
      <c r="Q732" s="2" t="str">
        <f t="shared" si="81"/>
        <v>AX79Turbocharger LHR</v>
      </c>
      <c r="R732" s="2" t="str">
        <f>New_Xref[[#This Row],[Serial Prefix]]&amp;IF(New_Xref[[#This Row],[Func Loc]]&lt;&gt;"",New_Xref[[#This Row],[Func Loc]],"NO MATCH")</f>
        <v>AX79ENGD .TURB.TCLR</v>
      </c>
      <c r="S732" s="3" t="str">
        <f t="shared" si="82"/>
        <v>AX7920R5068Turbocharger LHR</v>
      </c>
      <c r="T732" s="3" t="s">
        <v>47</v>
      </c>
      <c r="U732" s="3" t="s">
        <v>96</v>
      </c>
      <c r="V732" t="str">
        <f t="shared" si="83"/>
        <v>1052LR</v>
      </c>
    </row>
    <row r="733" spans="1:22">
      <c r="A733" t="s">
        <v>3031</v>
      </c>
      <c r="B733" t="s">
        <v>3040</v>
      </c>
      <c r="C733" t="s">
        <v>3045</v>
      </c>
      <c r="D733" t="s">
        <v>3046</v>
      </c>
      <c r="E733" t="s">
        <v>263</v>
      </c>
      <c r="F733" t="s">
        <v>27</v>
      </c>
      <c r="G733">
        <v>1</v>
      </c>
      <c r="H733" t="s">
        <v>3047</v>
      </c>
      <c r="I733" t="s">
        <v>3041</v>
      </c>
      <c r="J733" t="s">
        <v>3061</v>
      </c>
      <c r="K733" t="s">
        <v>3062</v>
      </c>
      <c r="L733" t="s">
        <v>2665</v>
      </c>
      <c r="M733" s="1" t="str">
        <f t="shared" si="77"/>
        <v>06B232</v>
      </c>
      <c r="N733" s="1" t="str">
        <f t="shared" si="78"/>
        <v>C/O</v>
      </c>
      <c r="O733" s="1" t="str">
        <f t="shared" si="79"/>
        <v>Turbocharger RHF</v>
      </c>
      <c r="P733" s="1" t="str">
        <f t="shared" si="80"/>
        <v>AX79</v>
      </c>
      <c r="Q733" s="2" t="str">
        <f t="shared" si="81"/>
        <v>AX79Turbocharger RHF</v>
      </c>
      <c r="R733" s="2" t="str">
        <f>New_Xref[[#This Row],[Serial Prefix]]&amp;IF(New_Xref[[#This Row],[Func Loc]]&lt;&gt;"",New_Xref[[#This Row],[Func Loc]],"NO MATCH")</f>
        <v>AX79ENGD .TURB.TCRF</v>
      </c>
      <c r="S733" s="3" t="str">
        <f t="shared" si="82"/>
        <v>AX7920R5068Turbocharger RHF</v>
      </c>
      <c r="T733" s="3" t="s">
        <v>47</v>
      </c>
      <c r="U733" s="3" t="s">
        <v>92</v>
      </c>
      <c r="V733" t="str">
        <f t="shared" si="83"/>
        <v>1052RF</v>
      </c>
    </row>
    <row r="734" spans="1:22">
      <c r="A734" t="s">
        <v>3031</v>
      </c>
      <c r="B734" t="s">
        <v>3040</v>
      </c>
      <c r="C734" t="s">
        <v>3045</v>
      </c>
      <c r="D734" t="s">
        <v>3046</v>
      </c>
      <c r="E734" t="s">
        <v>263</v>
      </c>
      <c r="F734" t="s">
        <v>27</v>
      </c>
      <c r="G734">
        <v>1</v>
      </c>
      <c r="H734" t="s">
        <v>3047</v>
      </c>
      <c r="I734" t="s">
        <v>3041</v>
      </c>
      <c r="J734" t="s">
        <v>3063</v>
      </c>
      <c r="K734" t="s">
        <v>3064</v>
      </c>
      <c r="L734" t="s">
        <v>2668</v>
      </c>
      <c r="M734" s="1" t="str">
        <f t="shared" si="77"/>
        <v>06B232</v>
      </c>
      <c r="N734" s="1" t="str">
        <f t="shared" si="78"/>
        <v>C/O</v>
      </c>
      <c r="O734" s="1" t="str">
        <f t="shared" si="79"/>
        <v>Turbocharger RHR</v>
      </c>
      <c r="P734" s="1" t="str">
        <f t="shared" si="80"/>
        <v>AX79</v>
      </c>
      <c r="Q734" s="2" t="str">
        <f t="shared" si="81"/>
        <v>AX79Turbocharger RHR</v>
      </c>
      <c r="R734" s="2" t="str">
        <f>New_Xref[[#This Row],[Serial Prefix]]&amp;IF(New_Xref[[#This Row],[Func Loc]]&lt;&gt;"",New_Xref[[#This Row],[Func Loc]],"NO MATCH")</f>
        <v>AX79ENGD .TURB.TCRR</v>
      </c>
      <c r="S734" s="3" t="str">
        <f t="shared" si="82"/>
        <v>AX7920R5068Turbocharger RHR</v>
      </c>
      <c r="T734" s="3" t="s">
        <v>47</v>
      </c>
      <c r="U734" s="3" t="s">
        <v>99</v>
      </c>
      <c r="V734" t="str">
        <f t="shared" si="83"/>
        <v>1052RR</v>
      </c>
    </row>
    <row r="735" spans="1:22">
      <c r="A735" t="s">
        <v>3031</v>
      </c>
      <c r="B735" t="s">
        <v>3044</v>
      </c>
      <c r="C735" t="s">
        <v>3065</v>
      </c>
      <c r="D735" t="s">
        <v>3066</v>
      </c>
      <c r="E735" t="s">
        <v>58</v>
      </c>
      <c r="F735" t="s">
        <v>27</v>
      </c>
      <c r="G735">
        <v>16</v>
      </c>
      <c r="H735" t="s">
        <v>3067</v>
      </c>
      <c r="I735" t="s">
        <v>3048</v>
      </c>
      <c r="J735" t="s">
        <v>3068</v>
      </c>
      <c r="K735" t="s">
        <v>3069</v>
      </c>
      <c r="L735" t="s">
        <v>62</v>
      </c>
      <c r="M735" s="1" t="str">
        <f t="shared" si="77"/>
        <v>06B233</v>
      </c>
      <c r="N735" s="1" t="str">
        <f t="shared" si="78"/>
        <v>C/O</v>
      </c>
      <c r="O735" s="1" t="str">
        <f t="shared" si="79"/>
        <v>Fuel Injectors</v>
      </c>
      <c r="P735" s="1" t="str">
        <f t="shared" si="80"/>
        <v>AX70</v>
      </c>
      <c r="Q735" s="2" t="str">
        <f t="shared" si="81"/>
        <v>AX70Fuel Injectors</v>
      </c>
      <c r="R735" s="2" t="str">
        <f>New_Xref[[#This Row],[Serial Prefix]]&amp;IF(New_Xref[[#This Row],[Func Loc]]&lt;&gt;"",New_Xref[[#This Row],[Func Loc]],"NO MATCH")</f>
        <v>AX70ENGD .FUEL.INJE</v>
      </c>
      <c r="S735" s="3" t="str">
        <f t="shared" si="82"/>
        <v>AX7020R0863Fuel Injectors</v>
      </c>
      <c r="T735" s="3" t="s">
        <v>63</v>
      </c>
      <c r="U735" s="3" t="s">
        <v>34</v>
      </c>
      <c r="V735" t="str">
        <f t="shared" si="83"/>
        <v>125100</v>
      </c>
    </row>
    <row r="736" spans="1:22">
      <c r="A736" t="s">
        <v>3031</v>
      </c>
      <c r="B736" t="s">
        <v>3040</v>
      </c>
      <c r="C736" t="s">
        <v>3065</v>
      </c>
      <c r="D736" t="s">
        <v>3066</v>
      </c>
      <c r="E736" t="s">
        <v>2515</v>
      </c>
      <c r="F736" t="s">
        <v>27</v>
      </c>
      <c r="G736">
        <v>16</v>
      </c>
      <c r="H736" t="s">
        <v>3067</v>
      </c>
      <c r="I736" t="s">
        <v>3041</v>
      </c>
      <c r="J736" t="s">
        <v>3070</v>
      </c>
      <c r="K736" t="s">
        <v>3071</v>
      </c>
      <c r="L736" t="s">
        <v>62</v>
      </c>
      <c r="M736" s="1" t="str">
        <f t="shared" si="77"/>
        <v>06B232</v>
      </c>
      <c r="N736" s="1" t="str">
        <f t="shared" si="78"/>
        <v>C/O</v>
      </c>
      <c r="O736" s="1" t="str">
        <f t="shared" si="79"/>
        <v>Fuel Injectors</v>
      </c>
      <c r="P736" s="1" t="str">
        <f t="shared" si="80"/>
        <v>AX79</v>
      </c>
      <c r="Q736" s="2" t="str">
        <f t="shared" si="81"/>
        <v>AX79Fuel Injectors</v>
      </c>
      <c r="R736" s="2" t="str">
        <f>New_Xref[[#This Row],[Serial Prefix]]&amp;IF(New_Xref[[#This Row],[Func Loc]]&lt;&gt;"",New_Xref[[#This Row],[Func Loc]],"NO MATCH")</f>
        <v>AX79ENGD .FUEL.INJE</v>
      </c>
      <c r="S736" s="3" t="str">
        <f t="shared" si="82"/>
        <v>AX7920R0863Fuel Injectors</v>
      </c>
      <c r="T736" s="3" t="s">
        <v>63</v>
      </c>
      <c r="U736" s="3" t="s">
        <v>34</v>
      </c>
      <c r="V736" t="str">
        <f t="shared" si="83"/>
        <v>125100</v>
      </c>
    </row>
    <row r="737" spans="1:22">
      <c r="A737" t="s">
        <v>3031</v>
      </c>
      <c r="B737" t="s">
        <v>3032</v>
      </c>
      <c r="C737" t="s">
        <v>3072</v>
      </c>
      <c r="D737" t="s">
        <v>3073</v>
      </c>
      <c r="E737" t="s">
        <v>3074</v>
      </c>
      <c r="F737" t="s">
        <v>27</v>
      </c>
      <c r="G737">
        <v>1</v>
      </c>
      <c r="H737" t="s">
        <v>3075</v>
      </c>
      <c r="I737" t="s">
        <v>3076</v>
      </c>
      <c r="J737" t="s">
        <v>3077</v>
      </c>
      <c r="K737" t="s">
        <v>3076</v>
      </c>
      <c r="L737" t="s">
        <v>67</v>
      </c>
      <c r="M737" s="1" t="str">
        <f t="shared" si="77"/>
        <v>06B234</v>
      </c>
      <c r="N737" s="1" t="str">
        <f t="shared" si="78"/>
        <v>C/O</v>
      </c>
      <c r="O737" s="1" t="str">
        <f t="shared" si="79"/>
        <v>Engine Radiator</v>
      </c>
      <c r="P737" s="1" t="str">
        <f t="shared" si="80"/>
        <v>AX70</v>
      </c>
      <c r="Q737" s="2" t="str">
        <f t="shared" si="81"/>
        <v>AX70Engine Radiator</v>
      </c>
      <c r="R737" s="2" t="str">
        <f>New_Xref[[#This Row],[Serial Prefix]]&amp;IF(New_Xref[[#This Row],[Func Loc]]&lt;&gt;"",New_Xref[[#This Row],[Func Loc]],"NO MATCH")</f>
        <v>AX70ENGD .ENCS.RADI</v>
      </c>
      <c r="S737" s="3" t="str">
        <f t="shared" si="82"/>
        <v>AX703716127FEngine Radiator</v>
      </c>
      <c r="T737" s="3" t="s">
        <v>68</v>
      </c>
      <c r="U737" s="3" t="s">
        <v>34</v>
      </c>
      <c r="V737" t="str">
        <f t="shared" si="83"/>
        <v>135300</v>
      </c>
    </row>
    <row r="738" spans="1:22">
      <c r="A738" t="s">
        <v>3031</v>
      </c>
      <c r="B738" t="s">
        <v>3040</v>
      </c>
      <c r="C738" t="s">
        <v>3072</v>
      </c>
      <c r="D738" t="s">
        <v>3073</v>
      </c>
      <c r="E738" t="s">
        <v>3074</v>
      </c>
      <c r="F738" t="s">
        <v>27</v>
      </c>
      <c r="G738">
        <v>1</v>
      </c>
      <c r="H738" t="s">
        <v>3075</v>
      </c>
      <c r="I738" t="s">
        <v>3078</v>
      </c>
      <c r="J738" t="s">
        <v>3079</v>
      </c>
      <c r="K738" t="s">
        <v>3078</v>
      </c>
      <c r="L738" t="s">
        <v>67</v>
      </c>
      <c r="M738" s="1" t="str">
        <f t="shared" si="77"/>
        <v>06B232</v>
      </c>
      <c r="N738" s="1" t="str">
        <f t="shared" si="78"/>
        <v>C/O</v>
      </c>
      <c r="O738" s="1" t="str">
        <f t="shared" si="79"/>
        <v>Engine Radiator</v>
      </c>
      <c r="P738" s="1" t="str">
        <f t="shared" si="80"/>
        <v>AX79</v>
      </c>
      <c r="Q738" s="2" t="str">
        <f t="shared" si="81"/>
        <v>AX79Engine Radiator</v>
      </c>
      <c r="R738" s="2" t="str">
        <f>New_Xref[[#This Row],[Serial Prefix]]&amp;IF(New_Xref[[#This Row],[Func Loc]]&lt;&gt;"",New_Xref[[#This Row],[Func Loc]],"NO MATCH")</f>
        <v>AX79ENGD .ENCS.RADI</v>
      </c>
      <c r="S738" s="3" t="str">
        <f t="shared" si="82"/>
        <v>AX793716127FEngine Radiator</v>
      </c>
      <c r="T738" s="3" t="s">
        <v>68</v>
      </c>
      <c r="U738" s="3" t="s">
        <v>34</v>
      </c>
      <c r="V738" t="str">
        <f t="shared" si="83"/>
        <v>135300</v>
      </c>
    </row>
    <row r="739" spans="1:22">
      <c r="A739" t="s">
        <v>3031</v>
      </c>
      <c r="B739" t="s">
        <v>3044</v>
      </c>
      <c r="C739" t="s">
        <v>2697</v>
      </c>
      <c r="D739" t="s">
        <v>2698</v>
      </c>
      <c r="E739" t="s">
        <v>2699</v>
      </c>
      <c r="F739" t="s">
        <v>27</v>
      </c>
      <c r="G739">
        <v>1</v>
      </c>
      <c r="H739" t="s">
        <v>3080</v>
      </c>
      <c r="I739" t="s">
        <v>3048</v>
      </c>
      <c r="J739" t="s">
        <v>3081</v>
      </c>
      <c r="K739" t="s">
        <v>3082</v>
      </c>
      <c r="L739" t="s">
        <v>83</v>
      </c>
      <c r="M739" s="1" t="str">
        <f t="shared" si="77"/>
        <v>06B233</v>
      </c>
      <c r="N739" s="1" t="str">
        <f t="shared" si="78"/>
        <v>C/O</v>
      </c>
      <c r="O739" s="1" t="str">
        <f t="shared" si="79"/>
        <v>Engine Water Pump Main</v>
      </c>
      <c r="P739" s="1" t="str">
        <f t="shared" si="80"/>
        <v>AX70</v>
      </c>
      <c r="Q739" s="2" t="str">
        <f t="shared" si="81"/>
        <v>AX70Engine Water Pump Main</v>
      </c>
      <c r="R739" s="2" t="str">
        <f>New_Xref[[#This Row],[Serial Prefix]]&amp;IF(New_Xref[[#This Row],[Func Loc]]&lt;&gt;"",New_Xref[[#This Row],[Func Loc]],"NO MATCH")</f>
        <v>AX70NO MATCH</v>
      </c>
      <c r="S739" s="3" t="str">
        <f t="shared" si="82"/>
        <v>AX7010R1669Engine Water Pump Main</v>
      </c>
      <c r="T739" s="3" t="s">
        <v>183</v>
      </c>
      <c r="U739" s="3" t="s">
        <v>34</v>
      </c>
      <c r="V739" t="str">
        <f t="shared" si="83"/>
        <v>136100</v>
      </c>
    </row>
    <row r="740" spans="1:22">
      <c r="A740" t="s">
        <v>3031</v>
      </c>
      <c r="B740" t="s">
        <v>3040</v>
      </c>
      <c r="C740" t="s">
        <v>2697</v>
      </c>
      <c r="D740" t="s">
        <v>2698</v>
      </c>
      <c r="E740" t="s">
        <v>3083</v>
      </c>
      <c r="F740" t="s">
        <v>27</v>
      </c>
      <c r="G740">
        <v>1</v>
      </c>
      <c r="H740" t="s">
        <v>3080</v>
      </c>
      <c r="I740" t="s">
        <v>3041</v>
      </c>
      <c r="J740" t="s">
        <v>3084</v>
      </c>
      <c r="K740" t="s">
        <v>3085</v>
      </c>
      <c r="L740" t="s">
        <v>83</v>
      </c>
      <c r="M740" s="1" t="str">
        <f t="shared" si="77"/>
        <v>06B232</v>
      </c>
      <c r="N740" s="1" t="str">
        <f t="shared" si="78"/>
        <v>C/O</v>
      </c>
      <c r="O740" s="1" t="str">
        <f t="shared" si="79"/>
        <v>Engine Water Pump Main</v>
      </c>
      <c r="P740" s="1" t="str">
        <f t="shared" si="80"/>
        <v>AX79</v>
      </c>
      <c r="Q740" s="2" t="str">
        <f t="shared" si="81"/>
        <v>AX79Engine Water Pump Main</v>
      </c>
      <c r="R740" s="2" t="str">
        <f>New_Xref[[#This Row],[Serial Prefix]]&amp;IF(New_Xref[[#This Row],[Func Loc]]&lt;&gt;"",New_Xref[[#This Row],[Func Loc]],"NO MATCH")</f>
        <v>AX79NO MATCH</v>
      </c>
      <c r="S740" s="3" t="str">
        <f t="shared" si="82"/>
        <v>AX7910R1669Engine Water Pump Main</v>
      </c>
      <c r="T740" s="3" t="s">
        <v>183</v>
      </c>
      <c r="U740" s="3" t="s">
        <v>34</v>
      </c>
      <c r="V740" t="str">
        <f t="shared" si="83"/>
        <v>136100</v>
      </c>
    </row>
    <row r="741" spans="1:22">
      <c r="A741" t="s">
        <v>3031</v>
      </c>
      <c r="B741" t="s">
        <v>3032</v>
      </c>
      <c r="C741" t="s">
        <v>3086</v>
      </c>
      <c r="D741" t="s">
        <v>3087</v>
      </c>
      <c r="E741" t="s">
        <v>3088</v>
      </c>
      <c r="F741" t="s">
        <v>27</v>
      </c>
      <c r="G741">
        <v>1</v>
      </c>
      <c r="H741" t="s">
        <v>3089</v>
      </c>
      <c r="I741" t="s">
        <v>3090</v>
      </c>
      <c r="J741" t="s">
        <v>3091</v>
      </c>
      <c r="K741" t="s">
        <v>3090</v>
      </c>
      <c r="L741" t="s">
        <v>72</v>
      </c>
      <c r="M741" s="1" t="str">
        <f t="shared" si="77"/>
        <v>06B234</v>
      </c>
      <c r="N741" s="1" t="str">
        <f t="shared" si="78"/>
        <v>C/O</v>
      </c>
      <c r="O741" s="1" t="str">
        <f t="shared" si="79"/>
        <v>Transmission</v>
      </c>
      <c r="P741" s="1" t="str">
        <f t="shared" si="80"/>
        <v>AX70</v>
      </c>
      <c r="Q741" s="2" t="str">
        <f t="shared" si="81"/>
        <v>AX70Transmission</v>
      </c>
      <c r="R741" s="2" t="str">
        <f>New_Xref[[#This Row],[Serial Prefix]]&amp;IF(New_Xref[[#This Row],[Func Loc]]&lt;&gt;"",New_Xref[[#This Row],[Func Loc]],"NO MATCH")</f>
        <v>AX70TRAN .TRAN</v>
      </c>
      <c r="S741" s="3" t="str">
        <f t="shared" si="82"/>
        <v>AX703510988XAHSTransmission</v>
      </c>
      <c r="T741" s="3" t="s">
        <v>73</v>
      </c>
      <c r="U741" s="3" t="s">
        <v>34</v>
      </c>
      <c r="V741" t="str">
        <f t="shared" si="83"/>
        <v>303000</v>
      </c>
    </row>
    <row r="742" spans="1:22">
      <c r="A742" t="s">
        <v>3031</v>
      </c>
      <c r="B742" t="s">
        <v>3040</v>
      </c>
      <c r="C742" t="s">
        <v>3086</v>
      </c>
      <c r="D742" t="s">
        <v>3087</v>
      </c>
      <c r="E742" t="s">
        <v>3088</v>
      </c>
      <c r="F742" t="s">
        <v>27</v>
      </c>
      <c r="G742">
        <v>1</v>
      </c>
      <c r="H742" t="s">
        <v>3089</v>
      </c>
      <c r="I742" t="s">
        <v>3092</v>
      </c>
      <c r="J742" t="s">
        <v>3093</v>
      </c>
      <c r="K742" t="s">
        <v>3092</v>
      </c>
      <c r="L742" t="s">
        <v>72</v>
      </c>
      <c r="M742" s="1" t="str">
        <f t="shared" si="77"/>
        <v>06B232</v>
      </c>
      <c r="N742" s="1" t="str">
        <f t="shared" si="78"/>
        <v>C/O</v>
      </c>
      <c r="O742" s="1" t="str">
        <f t="shared" si="79"/>
        <v>Transmission</v>
      </c>
      <c r="P742" s="1" t="str">
        <f t="shared" si="80"/>
        <v>AX79</v>
      </c>
      <c r="Q742" s="2" t="str">
        <f t="shared" si="81"/>
        <v>AX79Transmission</v>
      </c>
      <c r="R742" s="2" t="str">
        <f>New_Xref[[#This Row],[Serial Prefix]]&amp;IF(New_Xref[[#This Row],[Func Loc]]&lt;&gt;"",New_Xref[[#This Row],[Func Loc]],"NO MATCH")</f>
        <v>AX79TRAN .TRAN</v>
      </c>
      <c r="S742" s="3" t="str">
        <f t="shared" si="82"/>
        <v>AX793510988XAHSTransmission</v>
      </c>
      <c r="T742" s="3" t="s">
        <v>73</v>
      </c>
      <c r="U742" s="3" t="s">
        <v>34</v>
      </c>
      <c r="V742" t="str">
        <f t="shared" si="83"/>
        <v>303000</v>
      </c>
    </row>
    <row r="743" spans="1:22">
      <c r="A743" t="s">
        <v>3031</v>
      </c>
      <c r="B743" t="s">
        <v>3032</v>
      </c>
      <c r="C743" t="s">
        <v>3094</v>
      </c>
      <c r="D743" t="s">
        <v>3095</v>
      </c>
      <c r="E743" t="s">
        <v>3096</v>
      </c>
      <c r="F743" t="s">
        <v>27</v>
      </c>
      <c r="G743">
        <v>1</v>
      </c>
      <c r="H743" t="s">
        <v>3097</v>
      </c>
      <c r="I743" t="s">
        <v>3098</v>
      </c>
      <c r="J743" t="s">
        <v>3099</v>
      </c>
      <c r="K743" t="s">
        <v>3098</v>
      </c>
      <c r="L743" t="s">
        <v>304</v>
      </c>
      <c r="M743" s="1" t="str">
        <f t="shared" si="77"/>
        <v>06B234</v>
      </c>
      <c r="N743" s="1" t="str">
        <f t="shared" si="78"/>
        <v>C/O</v>
      </c>
      <c r="O743" s="1" t="str">
        <f t="shared" si="79"/>
        <v>Torque Converter</v>
      </c>
      <c r="P743" s="1" t="str">
        <f t="shared" si="80"/>
        <v>AX70</v>
      </c>
      <c r="Q743" s="2" t="str">
        <f t="shared" si="81"/>
        <v>AX70Torque Converter</v>
      </c>
      <c r="R743" s="2" t="str">
        <f>New_Xref[[#This Row],[Serial Prefix]]&amp;IF(New_Xref[[#This Row],[Func Loc]]&lt;&gt;"",New_Xref[[#This Row],[Func Loc]],"NO MATCH")</f>
        <v>AX70TRAN .TOCO</v>
      </c>
      <c r="S743" s="3" t="str">
        <f t="shared" si="82"/>
        <v>AX702990726XTorque Converter</v>
      </c>
      <c r="T743" s="3" t="s">
        <v>305</v>
      </c>
      <c r="U743" s="3" t="s">
        <v>34</v>
      </c>
      <c r="V743" t="str">
        <f t="shared" si="83"/>
        <v>310100</v>
      </c>
    </row>
    <row r="744" spans="1:22">
      <c r="A744" t="s">
        <v>3031</v>
      </c>
      <c r="B744" t="s">
        <v>3040</v>
      </c>
      <c r="C744" t="s">
        <v>3094</v>
      </c>
      <c r="D744" t="s">
        <v>3095</v>
      </c>
      <c r="E744" t="s">
        <v>3096</v>
      </c>
      <c r="F744" t="s">
        <v>27</v>
      </c>
      <c r="G744">
        <v>1</v>
      </c>
      <c r="H744" t="s">
        <v>3097</v>
      </c>
      <c r="I744" t="s">
        <v>3100</v>
      </c>
      <c r="J744" t="s">
        <v>3101</v>
      </c>
      <c r="K744" t="s">
        <v>3100</v>
      </c>
      <c r="L744" t="s">
        <v>304</v>
      </c>
      <c r="M744" s="1" t="str">
        <f t="shared" si="77"/>
        <v>06B232</v>
      </c>
      <c r="N744" s="1" t="str">
        <f t="shared" si="78"/>
        <v>C/O</v>
      </c>
      <c r="O744" s="1" t="str">
        <f t="shared" si="79"/>
        <v>Torque Converter</v>
      </c>
      <c r="P744" s="1" t="str">
        <f t="shared" si="80"/>
        <v>AX79</v>
      </c>
      <c r="Q744" s="2" t="str">
        <f t="shared" si="81"/>
        <v>AX79Torque Converter</v>
      </c>
      <c r="R744" s="2" t="str">
        <f>New_Xref[[#This Row],[Serial Prefix]]&amp;IF(New_Xref[[#This Row],[Func Loc]]&lt;&gt;"",New_Xref[[#This Row],[Func Loc]],"NO MATCH")</f>
        <v>AX79TRAN .TOCO</v>
      </c>
      <c r="S744" s="3" t="str">
        <f t="shared" si="82"/>
        <v>AX792990726XTorque Converter</v>
      </c>
      <c r="T744" s="3" t="s">
        <v>305</v>
      </c>
      <c r="U744" s="3" t="s">
        <v>34</v>
      </c>
      <c r="V744" t="str">
        <f t="shared" si="83"/>
        <v>310100</v>
      </c>
    </row>
    <row r="745" spans="1:22">
      <c r="A745" t="s">
        <v>3031</v>
      </c>
      <c r="B745" t="s">
        <v>3032</v>
      </c>
      <c r="C745" t="s">
        <v>2542</v>
      </c>
      <c r="D745" t="s">
        <v>2543</v>
      </c>
      <c r="E745" t="s">
        <v>2544</v>
      </c>
      <c r="F745" t="s">
        <v>27</v>
      </c>
      <c r="G745">
        <v>1</v>
      </c>
      <c r="H745" t="s">
        <v>3102</v>
      </c>
      <c r="I745" t="s">
        <v>3103</v>
      </c>
      <c r="J745" t="s">
        <v>3104</v>
      </c>
      <c r="K745" t="s">
        <v>3103</v>
      </c>
      <c r="L745" t="s">
        <v>83</v>
      </c>
      <c r="M745" s="1" t="str">
        <f t="shared" si="77"/>
        <v>06B234</v>
      </c>
      <c r="N745" s="1" t="str">
        <f t="shared" si="78"/>
        <v>C/O</v>
      </c>
      <c r="O745" s="1" t="str">
        <f t="shared" si="79"/>
        <v>Main Pump Drive Trans</v>
      </c>
      <c r="P745" s="1" t="str">
        <f t="shared" si="80"/>
        <v>AX70</v>
      </c>
      <c r="Q745" s="2" t="str">
        <f t="shared" si="81"/>
        <v>AX70Main Pump Drive Trans</v>
      </c>
      <c r="R745" s="2" t="str">
        <f>New_Xref[[#This Row],[Serial Prefix]]&amp;IF(New_Xref[[#This Row],[Func Loc]]&lt;&gt;"",New_Xref[[#This Row],[Func Loc]],"NO MATCH")</f>
        <v>AX70NO MATCH</v>
      </c>
      <c r="S745" s="3" t="str">
        <f t="shared" si="82"/>
        <v>AX702A6546XMain Pump Drive Trans</v>
      </c>
      <c r="T745" s="3" t="s">
        <v>1234</v>
      </c>
      <c r="U745" s="3" t="s">
        <v>34</v>
      </c>
      <c r="V745" t="str">
        <f t="shared" si="83"/>
        <v>310800</v>
      </c>
    </row>
    <row r="746" spans="1:22">
      <c r="A746" t="s">
        <v>3031</v>
      </c>
      <c r="B746" t="s">
        <v>3040</v>
      </c>
      <c r="C746" t="s">
        <v>2542</v>
      </c>
      <c r="D746" t="s">
        <v>2543</v>
      </c>
      <c r="E746" t="s">
        <v>2544</v>
      </c>
      <c r="F746" t="s">
        <v>27</v>
      </c>
      <c r="G746">
        <v>1</v>
      </c>
      <c r="H746" t="s">
        <v>3102</v>
      </c>
      <c r="I746" t="s">
        <v>3105</v>
      </c>
      <c r="J746" t="s">
        <v>3106</v>
      </c>
      <c r="K746" t="s">
        <v>3105</v>
      </c>
      <c r="L746" t="s">
        <v>83</v>
      </c>
      <c r="M746" s="1" t="str">
        <f t="shared" si="77"/>
        <v>06B232</v>
      </c>
      <c r="N746" s="1" t="str">
        <f t="shared" si="78"/>
        <v>C/O</v>
      </c>
      <c r="O746" s="1" t="str">
        <f t="shared" si="79"/>
        <v>Main Pump Drive Trans</v>
      </c>
      <c r="P746" s="1" t="str">
        <f t="shared" si="80"/>
        <v>AX79</v>
      </c>
      <c r="Q746" s="2" t="str">
        <f t="shared" si="81"/>
        <v>AX79Main Pump Drive Trans</v>
      </c>
      <c r="R746" s="2" t="str">
        <f>New_Xref[[#This Row],[Serial Prefix]]&amp;IF(New_Xref[[#This Row],[Func Loc]]&lt;&gt;"",New_Xref[[#This Row],[Func Loc]],"NO MATCH")</f>
        <v>AX79NO MATCH</v>
      </c>
      <c r="S746" s="3" t="str">
        <f t="shared" si="82"/>
        <v>AX792A6546XMain Pump Drive Trans</v>
      </c>
      <c r="T746" s="3" t="s">
        <v>1234</v>
      </c>
      <c r="U746" s="3" t="s">
        <v>34</v>
      </c>
      <c r="V746" t="str">
        <f t="shared" si="83"/>
        <v>310800</v>
      </c>
    </row>
    <row r="747" spans="1:22">
      <c r="A747" t="s">
        <v>3031</v>
      </c>
      <c r="B747" t="s">
        <v>3044</v>
      </c>
      <c r="C747" t="s">
        <v>2930</v>
      </c>
      <c r="D747" t="s">
        <v>2931</v>
      </c>
      <c r="E747" t="s">
        <v>2734</v>
      </c>
      <c r="F747" t="s">
        <v>27</v>
      </c>
      <c r="G747">
        <v>1</v>
      </c>
      <c r="H747" t="s">
        <v>3107</v>
      </c>
      <c r="I747" t="s">
        <v>3108</v>
      </c>
      <c r="J747" t="s">
        <v>3109</v>
      </c>
      <c r="K747" t="s">
        <v>3110</v>
      </c>
      <c r="L747" t="s">
        <v>83</v>
      </c>
      <c r="M747" s="1" t="str">
        <f t="shared" si="77"/>
        <v>06B233</v>
      </c>
      <c r="N747" s="1" t="str">
        <f t="shared" si="78"/>
        <v>C/O</v>
      </c>
      <c r="O747" s="1" t="str">
        <f t="shared" si="79"/>
        <v>Driveshaft Main</v>
      </c>
      <c r="P747" s="1" t="str">
        <f t="shared" si="80"/>
        <v>AX70</v>
      </c>
      <c r="Q747" s="2" t="str">
        <f t="shared" si="81"/>
        <v>AX70Driveshaft Main</v>
      </c>
      <c r="R747" s="2" t="str">
        <f>New_Xref[[#This Row],[Serial Prefix]]&amp;IF(New_Xref[[#This Row],[Func Loc]]&lt;&gt;"",New_Xref[[#This Row],[Func Loc]],"NO MATCH")</f>
        <v>AX70NO MATCH</v>
      </c>
      <c r="S747" s="3" t="str">
        <f t="shared" si="82"/>
        <v>AX7010R5185Driveshaft Main</v>
      </c>
      <c r="T747" s="3" t="s">
        <v>674</v>
      </c>
      <c r="U747" s="3" t="s">
        <v>34</v>
      </c>
      <c r="V747" t="str">
        <f t="shared" si="83"/>
        <v>325300</v>
      </c>
    </row>
    <row r="748" spans="1:22">
      <c r="A748" t="s">
        <v>3031</v>
      </c>
      <c r="B748" t="s">
        <v>3040</v>
      </c>
      <c r="C748" t="s">
        <v>2930</v>
      </c>
      <c r="D748" t="s">
        <v>2931</v>
      </c>
      <c r="E748" t="s">
        <v>2551</v>
      </c>
      <c r="F748" t="s">
        <v>27</v>
      </c>
      <c r="G748">
        <v>1</v>
      </c>
      <c r="H748" t="s">
        <v>3107</v>
      </c>
      <c r="I748" t="s">
        <v>3111</v>
      </c>
      <c r="J748" t="s">
        <v>3112</v>
      </c>
      <c r="K748" t="s">
        <v>3113</v>
      </c>
      <c r="L748" t="s">
        <v>83</v>
      </c>
      <c r="M748" s="1" t="str">
        <f t="shared" si="77"/>
        <v>06B232</v>
      </c>
      <c r="N748" s="1" t="str">
        <f t="shared" si="78"/>
        <v>C/O</v>
      </c>
      <c r="O748" s="1" t="str">
        <f t="shared" si="79"/>
        <v>Driveshaft Main</v>
      </c>
      <c r="P748" s="1" t="str">
        <f t="shared" si="80"/>
        <v>AX79</v>
      </c>
      <c r="Q748" s="2" t="str">
        <f t="shared" si="81"/>
        <v>AX79Driveshaft Main</v>
      </c>
      <c r="R748" s="2" t="str">
        <f>New_Xref[[#This Row],[Serial Prefix]]&amp;IF(New_Xref[[#This Row],[Func Loc]]&lt;&gt;"",New_Xref[[#This Row],[Func Loc]],"NO MATCH")</f>
        <v>AX79NO MATCH</v>
      </c>
      <c r="S748" s="3" t="str">
        <f t="shared" si="82"/>
        <v>AX7910R5185Driveshaft Main</v>
      </c>
      <c r="T748" s="3" t="s">
        <v>674</v>
      </c>
      <c r="U748" s="3" t="s">
        <v>34</v>
      </c>
      <c r="V748" t="str">
        <f t="shared" si="83"/>
        <v>325300</v>
      </c>
    </row>
    <row r="749" spans="1:22">
      <c r="A749" t="s">
        <v>3031</v>
      </c>
      <c r="B749" t="s">
        <v>3032</v>
      </c>
      <c r="C749" t="s">
        <v>3114</v>
      </c>
      <c r="D749" t="s">
        <v>3115</v>
      </c>
      <c r="E749" t="s">
        <v>459</v>
      </c>
      <c r="F749" t="s">
        <v>27</v>
      </c>
      <c r="G749">
        <v>1</v>
      </c>
      <c r="H749" t="s">
        <v>3116</v>
      </c>
      <c r="I749" t="s">
        <v>3117</v>
      </c>
      <c r="J749" t="s">
        <v>3118</v>
      </c>
      <c r="K749" t="s">
        <v>3117</v>
      </c>
      <c r="L749" t="s">
        <v>463</v>
      </c>
      <c r="M749" s="1" t="str">
        <f t="shared" si="77"/>
        <v>06B234</v>
      </c>
      <c r="N749" s="1" t="str">
        <f t="shared" si="78"/>
        <v>C/O</v>
      </c>
      <c r="O749" s="1" t="str">
        <f t="shared" si="79"/>
        <v>Differential</v>
      </c>
      <c r="P749" s="1" t="str">
        <f t="shared" si="80"/>
        <v>AX70</v>
      </c>
      <c r="Q749" s="2" t="str">
        <f t="shared" si="81"/>
        <v>AX70Differential</v>
      </c>
      <c r="R749" s="2" t="str">
        <f>New_Xref[[#This Row],[Serial Prefix]]&amp;IF(New_Xref[[#This Row],[Func Loc]]&lt;&gt;"",New_Xref[[#This Row],[Func Loc]],"NO MATCH")</f>
        <v>AX70FDRV .AXAR.DIFF</v>
      </c>
      <c r="S749" s="3" t="str">
        <f t="shared" si="82"/>
        <v>AX702885664XDifferential</v>
      </c>
      <c r="T749" s="3" t="s">
        <v>464</v>
      </c>
      <c r="U749" s="3" t="s">
        <v>34</v>
      </c>
      <c r="V749" t="str">
        <f t="shared" si="83"/>
        <v>325800</v>
      </c>
    </row>
    <row r="750" spans="1:22">
      <c r="A750" t="s">
        <v>3031</v>
      </c>
      <c r="B750" t="s">
        <v>3040</v>
      </c>
      <c r="C750" t="s">
        <v>3114</v>
      </c>
      <c r="D750" t="s">
        <v>3115</v>
      </c>
      <c r="E750" t="s">
        <v>459</v>
      </c>
      <c r="F750" t="s">
        <v>27</v>
      </c>
      <c r="G750">
        <v>1</v>
      </c>
      <c r="H750" t="s">
        <v>3116</v>
      </c>
      <c r="I750" t="s">
        <v>3119</v>
      </c>
      <c r="J750" t="s">
        <v>3120</v>
      </c>
      <c r="K750" t="s">
        <v>3119</v>
      </c>
      <c r="L750" t="s">
        <v>463</v>
      </c>
      <c r="M750" s="1" t="str">
        <f t="shared" si="77"/>
        <v>06B232</v>
      </c>
      <c r="N750" s="1" t="str">
        <f t="shared" si="78"/>
        <v>C/O</v>
      </c>
      <c r="O750" s="1" t="str">
        <f t="shared" si="79"/>
        <v>Differential</v>
      </c>
      <c r="P750" s="1" t="str">
        <f t="shared" si="80"/>
        <v>AX79</v>
      </c>
      <c r="Q750" s="2" t="str">
        <f t="shared" si="81"/>
        <v>AX79Differential</v>
      </c>
      <c r="R750" s="2" t="str">
        <f>New_Xref[[#This Row],[Serial Prefix]]&amp;IF(New_Xref[[#This Row],[Func Loc]]&lt;&gt;"",New_Xref[[#This Row],[Func Loc]],"NO MATCH")</f>
        <v>AX79FDRV .AXAR.DIFF</v>
      </c>
      <c r="S750" s="3" t="str">
        <f t="shared" si="82"/>
        <v>AX792885664XDifferential</v>
      </c>
      <c r="T750" s="3" t="s">
        <v>464</v>
      </c>
      <c r="U750" s="3" t="s">
        <v>34</v>
      </c>
      <c r="V750" t="str">
        <f t="shared" si="83"/>
        <v>325800</v>
      </c>
    </row>
    <row r="751" spans="1:22">
      <c r="A751" t="s">
        <v>3031</v>
      </c>
      <c r="B751" t="s">
        <v>3044</v>
      </c>
      <c r="C751" t="s">
        <v>3121</v>
      </c>
      <c r="D751" t="s">
        <v>3122</v>
      </c>
      <c r="E751" t="s">
        <v>3123</v>
      </c>
      <c r="F751" t="s">
        <v>27</v>
      </c>
      <c r="G751">
        <v>1</v>
      </c>
      <c r="H751" t="s">
        <v>3124</v>
      </c>
      <c r="I751" t="s">
        <v>3125</v>
      </c>
      <c r="J751" t="s">
        <v>3126</v>
      </c>
      <c r="K751" t="s">
        <v>3125</v>
      </c>
      <c r="L751" t="s">
        <v>761</v>
      </c>
      <c r="M751" s="1" t="str">
        <f t="shared" si="77"/>
        <v>06B233</v>
      </c>
      <c r="N751" s="1" t="str">
        <f t="shared" si="78"/>
        <v>C/O</v>
      </c>
      <c r="O751" s="1" t="str">
        <f t="shared" si="79"/>
        <v>Hub &amp; Spindle LH</v>
      </c>
      <c r="P751" s="1" t="str">
        <f t="shared" si="80"/>
        <v>AX70</v>
      </c>
      <c r="Q751" s="2" t="str">
        <f t="shared" si="81"/>
        <v>AX70Hub &amp; Spindle LH</v>
      </c>
      <c r="R751" s="2" t="str">
        <f>New_Xref[[#This Row],[Serial Prefix]]&amp;IF(New_Xref[[#This Row],[Func Loc]]&lt;&gt;"",New_Xref[[#This Row],[Func Loc]],"NO MATCH")</f>
        <v>AX70FDRV .AXAF.HASL</v>
      </c>
      <c r="S751" s="3" t="str">
        <f t="shared" si="82"/>
        <v>AX703288492XLAHub &amp; Spindle LH</v>
      </c>
      <c r="T751" s="3" t="s">
        <v>88</v>
      </c>
      <c r="U751" s="3" t="s">
        <v>108</v>
      </c>
      <c r="V751" t="str">
        <f t="shared" si="83"/>
        <v>4006LT</v>
      </c>
    </row>
    <row r="752" spans="1:22">
      <c r="A752" t="s">
        <v>3031</v>
      </c>
      <c r="B752" t="s">
        <v>3044</v>
      </c>
      <c r="C752" t="s">
        <v>3127</v>
      </c>
      <c r="D752" t="s">
        <v>3128</v>
      </c>
      <c r="E752" t="s">
        <v>3129</v>
      </c>
      <c r="F752" t="s">
        <v>27</v>
      </c>
      <c r="G752">
        <v>1</v>
      </c>
      <c r="H752" t="s">
        <v>3130</v>
      </c>
      <c r="I752" t="s">
        <v>3131</v>
      </c>
      <c r="J752" t="s">
        <v>3132</v>
      </c>
      <c r="K752" t="s">
        <v>3131</v>
      </c>
      <c r="L752" t="s">
        <v>757</v>
      </c>
      <c r="M752" s="1" t="str">
        <f t="shared" si="77"/>
        <v>06B233</v>
      </c>
      <c r="N752" s="1" t="str">
        <f t="shared" si="78"/>
        <v>C/O</v>
      </c>
      <c r="O752" s="1" t="str">
        <f t="shared" si="79"/>
        <v>Hub &amp; Spindle RH</v>
      </c>
      <c r="P752" s="1" t="str">
        <f t="shared" si="80"/>
        <v>AX70</v>
      </c>
      <c r="Q752" s="2" t="str">
        <f t="shared" si="81"/>
        <v>AX70Hub &amp; Spindle RH</v>
      </c>
      <c r="R752" s="2" t="str">
        <f>New_Xref[[#This Row],[Serial Prefix]]&amp;IF(New_Xref[[#This Row],[Func Loc]]&lt;&gt;"",New_Xref[[#This Row],[Func Loc]],"NO MATCH")</f>
        <v>AX70FDRV .AXAF.HASR</v>
      </c>
      <c r="S752" s="3" t="str">
        <f t="shared" si="82"/>
        <v>AX703288492XRAHub &amp; Spindle RH</v>
      </c>
      <c r="T752" s="3" t="s">
        <v>88</v>
      </c>
      <c r="U752" s="3" t="s">
        <v>115</v>
      </c>
      <c r="V752" t="str">
        <f t="shared" si="83"/>
        <v>4006RI</v>
      </c>
    </row>
    <row r="753" spans="1:22">
      <c r="A753" t="s">
        <v>3031</v>
      </c>
      <c r="B753" t="s">
        <v>3040</v>
      </c>
      <c r="C753" t="s">
        <v>3121</v>
      </c>
      <c r="D753" t="s">
        <v>3122</v>
      </c>
      <c r="E753" t="s">
        <v>3123</v>
      </c>
      <c r="F753" t="s">
        <v>27</v>
      </c>
      <c r="G753">
        <v>1</v>
      </c>
      <c r="H753" t="s">
        <v>3124</v>
      </c>
      <c r="I753" t="s">
        <v>3133</v>
      </c>
      <c r="J753" t="s">
        <v>3134</v>
      </c>
      <c r="K753" t="s">
        <v>3133</v>
      </c>
      <c r="L753" t="s">
        <v>761</v>
      </c>
      <c r="M753" s="1" t="str">
        <f t="shared" si="77"/>
        <v>06B232</v>
      </c>
      <c r="N753" s="1" t="str">
        <f t="shared" si="78"/>
        <v>C/O</v>
      </c>
      <c r="O753" s="1" t="str">
        <f t="shared" si="79"/>
        <v>Hub &amp; Spindle LH</v>
      </c>
      <c r="P753" s="1" t="str">
        <f t="shared" si="80"/>
        <v>AX79</v>
      </c>
      <c r="Q753" s="2" t="str">
        <f t="shared" si="81"/>
        <v>AX79Hub &amp; Spindle LH</v>
      </c>
      <c r="R753" s="2" t="str">
        <f>New_Xref[[#This Row],[Serial Prefix]]&amp;IF(New_Xref[[#This Row],[Func Loc]]&lt;&gt;"",New_Xref[[#This Row],[Func Loc]],"NO MATCH")</f>
        <v>AX79FDRV .AXAF.HASL</v>
      </c>
      <c r="S753" s="3" t="str">
        <f t="shared" si="82"/>
        <v>AX793288492XLAHub &amp; Spindle LH</v>
      </c>
      <c r="T753" s="3" t="s">
        <v>88</v>
      </c>
      <c r="U753" s="3" t="s">
        <v>108</v>
      </c>
      <c r="V753" t="str">
        <f t="shared" si="83"/>
        <v>4006LT</v>
      </c>
    </row>
    <row r="754" spans="1:22">
      <c r="A754" t="s">
        <v>3031</v>
      </c>
      <c r="B754" t="s">
        <v>3040</v>
      </c>
      <c r="C754" t="s">
        <v>3127</v>
      </c>
      <c r="D754" t="s">
        <v>3128</v>
      </c>
      <c r="E754" t="s">
        <v>3129</v>
      </c>
      <c r="F754" t="s">
        <v>27</v>
      </c>
      <c r="G754">
        <v>1</v>
      </c>
      <c r="H754" t="s">
        <v>3130</v>
      </c>
      <c r="I754" t="s">
        <v>3135</v>
      </c>
      <c r="J754" t="s">
        <v>3136</v>
      </c>
      <c r="K754" t="s">
        <v>3135</v>
      </c>
      <c r="L754" t="s">
        <v>757</v>
      </c>
      <c r="M754" s="1" t="str">
        <f t="shared" si="77"/>
        <v>06B232</v>
      </c>
      <c r="N754" s="1" t="str">
        <f t="shared" si="78"/>
        <v>C/O</v>
      </c>
      <c r="O754" s="1" t="str">
        <f t="shared" si="79"/>
        <v>Hub &amp; Spindle RH</v>
      </c>
      <c r="P754" s="1" t="str">
        <f t="shared" si="80"/>
        <v>AX79</v>
      </c>
      <c r="Q754" s="2" t="str">
        <f t="shared" si="81"/>
        <v>AX79Hub &amp; Spindle RH</v>
      </c>
      <c r="R754" s="2" t="str">
        <f>New_Xref[[#This Row],[Serial Prefix]]&amp;IF(New_Xref[[#This Row],[Func Loc]]&lt;&gt;"",New_Xref[[#This Row],[Func Loc]],"NO MATCH")</f>
        <v>AX79FDRV .AXAF.HASR</v>
      </c>
      <c r="S754" s="3" t="str">
        <f t="shared" si="82"/>
        <v>AX793288492XRAHub &amp; Spindle RH</v>
      </c>
      <c r="T754" s="3" t="s">
        <v>88</v>
      </c>
      <c r="U754" s="3" t="s">
        <v>115</v>
      </c>
      <c r="V754" t="str">
        <f t="shared" si="83"/>
        <v>4006RI</v>
      </c>
    </row>
    <row r="755" spans="1:22">
      <c r="A755" t="s">
        <v>3031</v>
      </c>
      <c r="B755" t="s">
        <v>3044</v>
      </c>
      <c r="C755" t="s">
        <v>2960</v>
      </c>
      <c r="D755" t="s">
        <v>2961</v>
      </c>
      <c r="E755" t="s">
        <v>2962</v>
      </c>
      <c r="F755" t="s">
        <v>27</v>
      </c>
      <c r="G755">
        <v>1</v>
      </c>
      <c r="H755" t="s">
        <v>3137</v>
      </c>
      <c r="I755" t="s">
        <v>3138</v>
      </c>
      <c r="J755" t="s">
        <v>3139</v>
      </c>
      <c r="K755" t="s">
        <v>3138</v>
      </c>
      <c r="L755" t="s">
        <v>1605</v>
      </c>
      <c r="M755" s="1" t="str">
        <f t="shared" si="77"/>
        <v>06B232</v>
      </c>
      <c r="N755" s="1" t="str">
        <f t="shared" si="78"/>
        <v>C/O</v>
      </c>
      <c r="O755" s="1" t="str">
        <f t="shared" si="79"/>
        <v>Final Drive LH</v>
      </c>
      <c r="P755" s="1" t="str">
        <f t="shared" si="80"/>
        <v>AX70</v>
      </c>
      <c r="Q755" s="2" t="str">
        <f t="shared" si="81"/>
        <v>AX70Final Drive LH</v>
      </c>
      <c r="R755" s="2" t="str">
        <f>New_Xref[[#This Row],[Serial Prefix]]&amp;IF(New_Xref[[#This Row],[Func Loc]]&lt;&gt;"",New_Xref[[#This Row],[Func Loc]],"NO MATCH")</f>
        <v>AX70FDRV .AXAR.FDLH</v>
      </c>
      <c r="S755" s="3" t="str">
        <f t="shared" si="82"/>
        <v>AX703216787XFinal Drive LH</v>
      </c>
      <c r="T755" s="3" t="s">
        <v>2105</v>
      </c>
      <c r="U755" s="3" t="s">
        <v>108</v>
      </c>
      <c r="V755" t="str">
        <f t="shared" si="83"/>
        <v>4008LT</v>
      </c>
    </row>
    <row r="756" spans="1:22">
      <c r="A756" t="s">
        <v>3031</v>
      </c>
      <c r="B756" t="s">
        <v>3044</v>
      </c>
      <c r="C756" t="s">
        <v>2960</v>
      </c>
      <c r="D756" t="s">
        <v>2961</v>
      </c>
      <c r="E756" t="s">
        <v>2962</v>
      </c>
      <c r="F756" t="s">
        <v>27</v>
      </c>
      <c r="G756">
        <v>1</v>
      </c>
      <c r="H756" t="s">
        <v>3137</v>
      </c>
      <c r="I756" t="s">
        <v>3140</v>
      </c>
      <c r="J756" t="s">
        <v>3141</v>
      </c>
      <c r="K756" t="s">
        <v>3140</v>
      </c>
      <c r="L756" t="s">
        <v>1608</v>
      </c>
      <c r="M756" s="1" t="str">
        <f t="shared" si="77"/>
        <v>06B232</v>
      </c>
      <c r="N756" s="1" t="str">
        <f t="shared" si="78"/>
        <v>C/O</v>
      </c>
      <c r="O756" s="1" t="str">
        <f t="shared" si="79"/>
        <v>Final Drive RH</v>
      </c>
      <c r="P756" s="1" t="str">
        <f t="shared" si="80"/>
        <v>AX70</v>
      </c>
      <c r="Q756" s="2" t="str">
        <f t="shared" si="81"/>
        <v>AX70Final Drive RH</v>
      </c>
      <c r="R756" s="2" t="str">
        <f>New_Xref[[#This Row],[Serial Prefix]]&amp;IF(New_Xref[[#This Row],[Func Loc]]&lt;&gt;"",New_Xref[[#This Row],[Func Loc]],"NO MATCH")</f>
        <v>AX70FDRV .AXAR.FDRH</v>
      </c>
      <c r="S756" s="3" t="str">
        <f t="shared" si="82"/>
        <v>AX703216787XFinal Drive RH</v>
      </c>
      <c r="T756" s="3" t="s">
        <v>2105</v>
      </c>
      <c r="U756" s="3" t="s">
        <v>115</v>
      </c>
      <c r="V756" t="str">
        <f t="shared" si="83"/>
        <v>4008RI</v>
      </c>
    </row>
    <row r="757" spans="1:22">
      <c r="A757" t="s">
        <v>3031</v>
      </c>
      <c r="B757" t="s">
        <v>3040</v>
      </c>
      <c r="C757" t="s">
        <v>2960</v>
      </c>
      <c r="D757" t="s">
        <v>2961</v>
      </c>
      <c r="E757" t="s">
        <v>2962</v>
      </c>
      <c r="F757" t="s">
        <v>27</v>
      </c>
      <c r="G757">
        <v>1</v>
      </c>
      <c r="H757" t="s">
        <v>3137</v>
      </c>
      <c r="I757" t="s">
        <v>3138</v>
      </c>
      <c r="J757" t="s">
        <v>3139</v>
      </c>
      <c r="K757" t="s">
        <v>3138</v>
      </c>
      <c r="L757" t="s">
        <v>1605</v>
      </c>
      <c r="M757" s="1" t="str">
        <f t="shared" si="77"/>
        <v>06B232</v>
      </c>
      <c r="N757" s="1" t="str">
        <f t="shared" si="78"/>
        <v>C/O</v>
      </c>
      <c r="O757" s="1" t="str">
        <f t="shared" si="79"/>
        <v>Final Drive LH</v>
      </c>
      <c r="P757" s="1" t="str">
        <f t="shared" si="80"/>
        <v>AX79</v>
      </c>
      <c r="Q757" s="2" t="str">
        <f t="shared" si="81"/>
        <v>AX79Final Drive LH</v>
      </c>
      <c r="R757" s="2" t="str">
        <f>New_Xref[[#This Row],[Serial Prefix]]&amp;IF(New_Xref[[#This Row],[Func Loc]]&lt;&gt;"",New_Xref[[#This Row],[Func Loc]],"NO MATCH")</f>
        <v>AX79FDRV .AXAR.FDLH</v>
      </c>
      <c r="S757" s="3" t="str">
        <f t="shared" si="82"/>
        <v>AX793216787XFinal Drive LH</v>
      </c>
      <c r="T757" s="3" t="s">
        <v>2105</v>
      </c>
      <c r="U757" s="3" t="s">
        <v>108</v>
      </c>
      <c r="V757" t="str">
        <f t="shared" si="83"/>
        <v>4008LT</v>
      </c>
    </row>
    <row r="758" spans="1:22">
      <c r="A758" t="s">
        <v>3031</v>
      </c>
      <c r="B758" t="s">
        <v>3040</v>
      </c>
      <c r="C758" t="s">
        <v>2960</v>
      </c>
      <c r="D758" t="s">
        <v>2961</v>
      </c>
      <c r="E758" t="s">
        <v>2962</v>
      </c>
      <c r="F758" t="s">
        <v>27</v>
      </c>
      <c r="G758">
        <v>1</v>
      </c>
      <c r="H758" t="s">
        <v>3137</v>
      </c>
      <c r="I758" t="s">
        <v>3140</v>
      </c>
      <c r="J758" t="s">
        <v>3141</v>
      </c>
      <c r="K758" t="s">
        <v>3140</v>
      </c>
      <c r="L758" t="s">
        <v>1608</v>
      </c>
      <c r="M758" s="1" t="str">
        <f t="shared" si="77"/>
        <v>06B232</v>
      </c>
      <c r="N758" s="1" t="str">
        <f t="shared" si="78"/>
        <v>C/O</v>
      </c>
      <c r="O758" s="1" t="str">
        <f t="shared" si="79"/>
        <v>Final Drive RH</v>
      </c>
      <c r="P758" s="1" t="str">
        <f t="shared" si="80"/>
        <v>AX79</v>
      </c>
      <c r="Q758" s="2" t="str">
        <f t="shared" si="81"/>
        <v>AX79Final Drive RH</v>
      </c>
      <c r="R758" s="2" t="str">
        <f>New_Xref[[#This Row],[Serial Prefix]]&amp;IF(New_Xref[[#This Row],[Func Loc]]&lt;&gt;"",New_Xref[[#This Row],[Func Loc]],"NO MATCH")</f>
        <v>AX79FDRV .AXAR.FDRH</v>
      </c>
      <c r="S758" s="3" t="str">
        <f t="shared" si="82"/>
        <v>AX793216787XFinal Drive RH</v>
      </c>
      <c r="T758" s="3" t="s">
        <v>2105</v>
      </c>
      <c r="U758" s="3" t="s">
        <v>115</v>
      </c>
      <c r="V758" t="str">
        <f t="shared" si="83"/>
        <v>4008RI</v>
      </c>
    </row>
    <row r="759" spans="1:22">
      <c r="A759" t="s">
        <v>3031</v>
      </c>
      <c r="B759" t="s">
        <v>3044</v>
      </c>
      <c r="C759" t="s">
        <v>3142</v>
      </c>
      <c r="D759" t="s">
        <v>3143</v>
      </c>
      <c r="E759" t="s">
        <v>3144</v>
      </c>
      <c r="F759" t="s">
        <v>27</v>
      </c>
      <c r="G759">
        <v>1</v>
      </c>
      <c r="H759" t="s">
        <v>3145</v>
      </c>
      <c r="I759" t="s">
        <v>3146</v>
      </c>
      <c r="J759" t="s">
        <v>3147</v>
      </c>
      <c r="K759" t="s">
        <v>3146</v>
      </c>
      <c r="L759" t="s">
        <v>767</v>
      </c>
      <c r="M759" s="1" t="str">
        <f t="shared" si="77"/>
        <v>06B233</v>
      </c>
      <c r="N759" s="1" t="str">
        <f t="shared" si="78"/>
        <v>C/O</v>
      </c>
      <c r="O759" s="1" t="str">
        <f t="shared" si="79"/>
        <v>Steering Cylinder LH</v>
      </c>
      <c r="P759" s="1" t="str">
        <f t="shared" si="80"/>
        <v>AX70</v>
      </c>
      <c r="Q759" s="2" t="str">
        <f t="shared" si="81"/>
        <v>AX70Steering Cylinder LH</v>
      </c>
      <c r="R759" s="2" t="str">
        <f>New_Xref[[#This Row],[Serial Prefix]]&amp;IF(New_Xref[[#This Row],[Func Loc]]&lt;&gt;"",New_Xref[[#This Row],[Func Loc]],"NO MATCH")</f>
        <v>AX70STRG .CYLI.SC01</v>
      </c>
      <c r="S759" s="3" t="str">
        <f t="shared" si="82"/>
        <v>AX706239954XSteering Cylinder LH</v>
      </c>
      <c r="T759" s="3" t="s">
        <v>107</v>
      </c>
      <c r="U759" s="3" t="s">
        <v>108</v>
      </c>
      <c r="V759" t="str">
        <f t="shared" si="83"/>
        <v>4303LT</v>
      </c>
    </row>
    <row r="760" spans="1:22">
      <c r="A760" t="s">
        <v>3031</v>
      </c>
      <c r="B760" t="s">
        <v>3044</v>
      </c>
      <c r="C760" t="s">
        <v>3148</v>
      </c>
      <c r="D760" t="s">
        <v>3149</v>
      </c>
      <c r="E760" t="s">
        <v>3144</v>
      </c>
      <c r="F760" t="s">
        <v>27</v>
      </c>
      <c r="G760">
        <v>1</v>
      </c>
      <c r="H760" t="s">
        <v>3150</v>
      </c>
      <c r="I760" t="s">
        <v>3151</v>
      </c>
      <c r="J760" t="s">
        <v>3152</v>
      </c>
      <c r="K760" t="s">
        <v>3151</v>
      </c>
      <c r="L760" t="s">
        <v>770</v>
      </c>
      <c r="M760" s="1" t="str">
        <f t="shared" si="77"/>
        <v>06B233</v>
      </c>
      <c r="N760" s="1" t="str">
        <f t="shared" si="78"/>
        <v>C/O</v>
      </c>
      <c r="O760" s="1" t="str">
        <f t="shared" si="79"/>
        <v>Steering Cylinder RH</v>
      </c>
      <c r="P760" s="1" t="str">
        <f t="shared" si="80"/>
        <v>AX70</v>
      </c>
      <c r="Q760" s="2" t="str">
        <f t="shared" si="81"/>
        <v>AX70Steering Cylinder RH</v>
      </c>
      <c r="R760" s="2" t="str">
        <f>New_Xref[[#This Row],[Serial Prefix]]&amp;IF(New_Xref[[#This Row],[Func Loc]]&lt;&gt;"",New_Xref[[#This Row],[Func Loc]],"NO MATCH")</f>
        <v>AX70STRG .CYLI.SC02</v>
      </c>
      <c r="S760" s="3" t="str">
        <f t="shared" si="82"/>
        <v>AX706239953XSteering Cylinder RH</v>
      </c>
      <c r="T760" s="3" t="s">
        <v>107</v>
      </c>
      <c r="U760" s="3" t="s">
        <v>115</v>
      </c>
      <c r="V760" t="str">
        <f t="shared" si="83"/>
        <v>4303RI</v>
      </c>
    </row>
    <row r="761" spans="1:22">
      <c r="A761" t="s">
        <v>3031</v>
      </c>
      <c r="B761" t="s">
        <v>3040</v>
      </c>
      <c r="C761" t="s">
        <v>3142</v>
      </c>
      <c r="D761" t="s">
        <v>3143</v>
      </c>
      <c r="E761" t="s">
        <v>3144</v>
      </c>
      <c r="F761" t="s">
        <v>27</v>
      </c>
      <c r="G761">
        <v>1</v>
      </c>
      <c r="H761" t="s">
        <v>3145</v>
      </c>
      <c r="I761" t="s">
        <v>3153</v>
      </c>
      <c r="J761" t="s">
        <v>3154</v>
      </c>
      <c r="K761" t="s">
        <v>3153</v>
      </c>
      <c r="L761" t="s">
        <v>767</v>
      </c>
      <c r="M761" s="1" t="str">
        <f t="shared" si="77"/>
        <v>06B232</v>
      </c>
      <c r="N761" s="1" t="str">
        <f t="shared" si="78"/>
        <v>C/O</v>
      </c>
      <c r="O761" s="1" t="str">
        <f t="shared" si="79"/>
        <v>Steering Cylinder LH</v>
      </c>
      <c r="P761" s="1" t="str">
        <f t="shared" si="80"/>
        <v>AX79</v>
      </c>
      <c r="Q761" s="2" t="str">
        <f t="shared" si="81"/>
        <v>AX79Steering Cylinder LH</v>
      </c>
      <c r="R761" s="2" t="str">
        <f>New_Xref[[#This Row],[Serial Prefix]]&amp;IF(New_Xref[[#This Row],[Func Loc]]&lt;&gt;"",New_Xref[[#This Row],[Func Loc]],"NO MATCH")</f>
        <v>AX79STRG .CYLI.SC01</v>
      </c>
      <c r="S761" s="3" t="str">
        <f t="shared" si="82"/>
        <v>AX796239954XSteering Cylinder LH</v>
      </c>
      <c r="T761" s="3" t="s">
        <v>107</v>
      </c>
      <c r="U761" s="3" t="s">
        <v>108</v>
      </c>
      <c r="V761" t="str">
        <f t="shared" si="83"/>
        <v>4303LT</v>
      </c>
    </row>
    <row r="762" spans="1:22">
      <c r="A762" t="s">
        <v>3031</v>
      </c>
      <c r="B762" t="s">
        <v>3040</v>
      </c>
      <c r="C762" t="s">
        <v>3148</v>
      </c>
      <c r="D762" t="s">
        <v>3149</v>
      </c>
      <c r="E762" t="s">
        <v>3144</v>
      </c>
      <c r="F762" t="s">
        <v>27</v>
      </c>
      <c r="G762">
        <v>1</v>
      </c>
      <c r="H762" t="s">
        <v>3150</v>
      </c>
      <c r="I762" t="s">
        <v>3155</v>
      </c>
      <c r="J762" t="s">
        <v>3156</v>
      </c>
      <c r="K762" t="s">
        <v>3155</v>
      </c>
      <c r="L762" t="s">
        <v>770</v>
      </c>
      <c r="M762" s="1" t="str">
        <f t="shared" si="77"/>
        <v>06B232</v>
      </c>
      <c r="N762" s="1" t="str">
        <f t="shared" si="78"/>
        <v>C/O</v>
      </c>
      <c r="O762" s="1" t="str">
        <f t="shared" si="79"/>
        <v>Steering Cylinder RH</v>
      </c>
      <c r="P762" s="1" t="str">
        <f t="shared" si="80"/>
        <v>AX79</v>
      </c>
      <c r="Q762" s="2" t="str">
        <f t="shared" si="81"/>
        <v>AX79Steering Cylinder RH</v>
      </c>
      <c r="R762" s="2" t="str">
        <f>New_Xref[[#This Row],[Serial Prefix]]&amp;IF(New_Xref[[#This Row],[Func Loc]]&lt;&gt;"",New_Xref[[#This Row],[Func Loc]],"NO MATCH")</f>
        <v>AX79STRG .CYLI.SC02</v>
      </c>
      <c r="S762" s="3" t="str">
        <f t="shared" si="82"/>
        <v>AX796239953XSteering Cylinder RH</v>
      </c>
      <c r="T762" s="3" t="s">
        <v>107</v>
      </c>
      <c r="U762" s="3" t="s">
        <v>115</v>
      </c>
      <c r="V762" t="str">
        <f t="shared" si="83"/>
        <v>4303RI</v>
      </c>
    </row>
    <row r="763" spans="1:22">
      <c r="A763" t="s">
        <v>3031</v>
      </c>
      <c r="B763" t="s">
        <v>3044</v>
      </c>
      <c r="C763" t="s">
        <v>3157</v>
      </c>
      <c r="D763" t="s">
        <v>3158</v>
      </c>
      <c r="E763" t="s">
        <v>3159</v>
      </c>
      <c r="F763" t="s">
        <v>27</v>
      </c>
      <c r="G763">
        <v>1</v>
      </c>
      <c r="H763" t="s">
        <v>3160</v>
      </c>
      <c r="I763" t="s">
        <v>3161</v>
      </c>
      <c r="J763" t="s">
        <v>3162</v>
      </c>
      <c r="K763" t="s">
        <v>3161</v>
      </c>
      <c r="L763" t="s">
        <v>2358</v>
      </c>
      <c r="M763" s="1" t="str">
        <f t="shared" si="77"/>
        <v>06B233</v>
      </c>
      <c r="N763" s="1" t="str">
        <f t="shared" si="78"/>
        <v>C/O</v>
      </c>
      <c r="O763" s="1" t="str">
        <f t="shared" si="79"/>
        <v>Primary Steering Pump</v>
      </c>
      <c r="P763" s="1" t="str">
        <f t="shared" si="80"/>
        <v>AX70</v>
      </c>
      <c r="Q763" s="2" t="str">
        <f t="shared" si="81"/>
        <v>AX70Primary Steering Pump</v>
      </c>
      <c r="R763" s="2" t="str">
        <f>New_Xref[[#This Row],[Serial Prefix]]&amp;IF(New_Xref[[#This Row],[Func Loc]]&lt;&gt;"",New_Xref[[#This Row],[Func Loc]],"NO MATCH")</f>
        <v>AX70STRG .PUMP.SP01</v>
      </c>
      <c r="S763" s="3" t="str">
        <f t="shared" si="82"/>
        <v>AX7020R7971Primary Steering Pump</v>
      </c>
      <c r="T763" s="3" t="s">
        <v>342</v>
      </c>
      <c r="U763" s="3" t="s">
        <v>34</v>
      </c>
      <c r="V763" t="str">
        <f t="shared" si="83"/>
        <v>430600</v>
      </c>
    </row>
    <row r="764" spans="1:22">
      <c r="A764" t="s">
        <v>3031</v>
      </c>
      <c r="B764" t="s">
        <v>3040</v>
      </c>
      <c r="C764" t="s">
        <v>3157</v>
      </c>
      <c r="D764" t="s">
        <v>3158</v>
      </c>
      <c r="E764" t="s">
        <v>3159</v>
      </c>
      <c r="F764" t="s">
        <v>27</v>
      </c>
      <c r="G764">
        <v>1</v>
      </c>
      <c r="H764" t="s">
        <v>3160</v>
      </c>
      <c r="I764" t="s">
        <v>3163</v>
      </c>
      <c r="J764" t="s">
        <v>3164</v>
      </c>
      <c r="K764" t="s">
        <v>3163</v>
      </c>
      <c r="L764" t="s">
        <v>2358</v>
      </c>
      <c r="M764" s="1" t="str">
        <f t="shared" si="77"/>
        <v>06B232</v>
      </c>
      <c r="N764" s="1" t="str">
        <f t="shared" si="78"/>
        <v>C/O</v>
      </c>
      <c r="O764" s="1" t="str">
        <f t="shared" si="79"/>
        <v>Primary Steering Pump</v>
      </c>
      <c r="P764" s="1" t="str">
        <f t="shared" si="80"/>
        <v>AX79</v>
      </c>
      <c r="Q764" s="2" t="str">
        <f t="shared" si="81"/>
        <v>AX79Primary Steering Pump</v>
      </c>
      <c r="R764" s="2" t="str">
        <f>New_Xref[[#This Row],[Serial Prefix]]&amp;IF(New_Xref[[#This Row],[Func Loc]]&lt;&gt;"",New_Xref[[#This Row],[Func Loc]],"NO MATCH")</f>
        <v>AX79STRG .PUMP.SP01</v>
      </c>
      <c r="S764" s="3" t="str">
        <f t="shared" si="82"/>
        <v>AX7920R7971Primary Steering Pump</v>
      </c>
      <c r="T764" s="3" t="s">
        <v>342</v>
      </c>
      <c r="U764" s="3" t="s">
        <v>34</v>
      </c>
      <c r="V764" t="str">
        <f t="shared" si="83"/>
        <v>430600</v>
      </c>
    </row>
    <row r="765" spans="1:22">
      <c r="A765" t="s">
        <v>3031</v>
      </c>
      <c r="B765" t="s">
        <v>3032</v>
      </c>
      <c r="C765" t="s">
        <v>2983</v>
      </c>
      <c r="D765" t="s">
        <v>2984</v>
      </c>
      <c r="E765" t="s">
        <v>3165</v>
      </c>
      <c r="F765" t="s">
        <v>27</v>
      </c>
      <c r="G765">
        <v>1</v>
      </c>
      <c r="H765" t="s">
        <v>3166</v>
      </c>
      <c r="I765" t="s">
        <v>3167</v>
      </c>
      <c r="J765" t="s">
        <v>3168</v>
      </c>
      <c r="K765" t="s">
        <v>3167</v>
      </c>
      <c r="L765" t="s">
        <v>2453</v>
      </c>
      <c r="M765" s="1" t="str">
        <f t="shared" si="77"/>
        <v>06B234</v>
      </c>
      <c r="N765" s="1" t="str">
        <f t="shared" si="78"/>
        <v>C/O</v>
      </c>
      <c r="O765" s="1" t="str">
        <f t="shared" si="79"/>
        <v>Main Hydraulic Pump</v>
      </c>
      <c r="P765" s="1" t="str">
        <f t="shared" si="80"/>
        <v>AX70</v>
      </c>
      <c r="Q765" s="2" t="str">
        <f t="shared" si="81"/>
        <v>AX70Main Hydraulic Pump</v>
      </c>
      <c r="R765" s="2" t="str">
        <f>New_Xref[[#This Row],[Serial Prefix]]&amp;IF(New_Xref[[#This Row],[Func Loc]]&lt;&gt;"",New_Xref[[#This Row],[Func Loc]],"NO MATCH")</f>
        <v>AX70MYHD .PUMP.HP01</v>
      </c>
      <c r="S765" s="3" t="str">
        <f t="shared" si="82"/>
        <v>AX7010R7967Main Hydraulic Pump</v>
      </c>
      <c r="T765" s="3" t="s">
        <v>2607</v>
      </c>
      <c r="U765" s="3" t="s">
        <v>34</v>
      </c>
      <c r="V765" t="str">
        <f t="shared" si="83"/>
        <v>508300</v>
      </c>
    </row>
    <row r="766" spans="1:22">
      <c r="A766" t="s">
        <v>3031</v>
      </c>
      <c r="B766" t="s">
        <v>3040</v>
      </c>
      <c r="C766" t="s">
        <v>2983</v>
      </c>
      <c r="D766" t="s">
        <v>2984</v>
      </c>
      <c r="E766" t="s">
        <v>2985</v>
      </c>
      <c r="F766" t="s">
        <v>27</v>
      </c>
      <c r="G766">
        <v>1</v>
      </c>
      <c r="H766" t="s">
        <v>3166</v>
      </c>
      <c r="I766" t="s">
        <v>3169</v>
      </c>
      <c r="J766" t="s">
        <v>3170</v>
      </c>
      <c r="K766" t="s">
        <v>3169</v>
      </c>
      <c r="L766" t="s">
        <v>2453</v>
      </c>
      <c r="M766" s="1" t="str">
        <f t="shared" si="77"/>
        <v>06B232</v>
      </c>
      <c r="N766" s="1" t="str">
        <f t="shared" si="78"/>
        <v>C/O</v>
      </c>
      <c r="O766" s="1" t="str">
        <f t="shared" si="79"/>
        <v>Main Hydraulic Pump</v>
      </c>
      <c r="P766" s="1" t="str">
        <f t="shared" si="80"/>
        <v>AX79</v>
      </c>
      <c r="Q766" s="2" t="str">
        <f t="shared" si="81"/>
        <v>AX79Main Hydraulic Pump</v>
      </c>
      <c r="R766" s="2" t="str">
        <f>New_Xref[[#This Row],[Serial Prefix]]&amp;IF(New_Xref[[#This Row],[Func Loc]]&lt;&gt;"",New_Xref[[#This Row],[Func Loc]],"NO MATCH")</f>
        <v>AX79MYHD .PUMP.HP01</v>
      </c>
      <c r="S766" s="3" t="str">
        <f t="shared" si="82"/>
        <v>AX7910R7967Main Hydraulic Pump</v>
      </c>
      <c r="T766" s="3" t="s">
        <v>2607</v>
      </c>
      <c r="U766" s="3" t="s">
        <v>34</v>
      </c>
      <c r="V766" t="str">
        <f t="shared" si="83"/>
        <v>508300</v>
      </c>
    </row>
    <row r="767" spans="1:22">
      <c r="A767" t="s">
        <v>3031</v>
      </c>
      <c r="B767" t="s">
        <v>3044</v>
      </c>
      <c r="C767" t="s">
        <v>3004</v>
      </c>
      <c r="D767" t="s">
        <v>3005</v>
      </c>
      <c r="E767" t="s">
        <v>2133</v>
      </c>
      <c r="F767" t="s">
        <v>27</v>
      </c>
      <c r="G767">
        <v>1</v>
      </c>
      <c r="H767" t="s">
        <v>3171</v>
      </c>
      <c r="I767" t="s">
        <v>3172</v>
      </c>
      <c r="J767" t="s">
        <v>3173</v>
      </c>
      <c r="K767" t="s">
        <v>3172</v>
      </c>
      <c r="L767" t="s">
        <v>778</v>
      </c>
      <c r="M767" s="1" t="str">
        <f t="shared" si="77"/>
        <v>06B233</v>
      </c>
      <c r="N767" s="1" t="str">
        <f t="shared" si="78"/>
        <v>C/O</v>
      </c>
      <c r="O767" s="1" t="str">
        <f t="shared" si="79"/>
        <v>Suspension LHF</v>
      </c>
      <c r="P767" s="1" t="str">
        <f t="shared" si="80"/>
        <v>AX70</v>
      </c>
      <c r="Q767" s="2" t="str">
        <f t="shared" si="81"/>
        <v>AX70Suspension LHF</v>
      </c>
      <c r="R767" s="2" t="str">
        <f>New_Xref[[#This Row],[Serial Prefix]]&amp;IF(New_Xref[[#This Row],[Func Loc]]&lt;&gt;"",New_Xref[[#This Row],[Func Loc]],"NO MATCH")</f>
        <v>AX70STRU .SUGR.SG01</v>
      </c>
      <c r="S767" s="3" t="str">
        <f t="shared" si="82"/>
        <v>AX703524023XSuspension LHF</v>
      </c>
      <c r="T767" s="3" t="s">
        <v>511</v>
      </c>
      <c r="U767" s="3" t="s">
        <v>89</v>
      </c>
      <c r="V767" t="str">
        <f t="shared" si="83"/>
        <v>7201LF</v>
      </c>
    </row>
    <row r="768" spans="1:22">
      <c r="A768" t="s">
        <v>3031</v>
      </c>
      <c r="B768" t="s">
        <v>3044</v>
      </c>
      <c r="C768" t="s">
        <v>3004</v>
      </c>
      <c r="D768" t="s">
        <v>3005</v>
      </c>
      <c r="E768" t="s">
        <v>2133</v>
      </c>
      <c r="F768" t="s">
        <v>27</v>
      </c>
      <c r="G768">
        <v>1</v>
      </c>
      <c r="H768" t="s">
        <v>3171</v>
      </c>
      <c r="I768" t="s">
        <v>3174</v>
      </c>
      <c r="J768" t="s">
        <v>3175</v>
      </c>
      <c r="K768" t="s">
        <v>3174</v>
      </c>
      <c r="L768" t="s">
        <v>781</v>
      </c>
      <c r="M768" s="1" t="str">
        <f t="shared" si="77"/>
        <v>06B233</v>
      </c>
      <c r="N768" s="1" t="str">
        <f t="shared" si="78"/>
        <v>C/O</v>
      </c>
      <c r="O768" s="1" t="str">
        <f t="shared" si="79"/>
        <v>Suspension RHF</v>
      </c>
      <c r="P768" s="1" t="str">
        <f t="shared" si="80"/>
        <v>AX70</v>
      </c>
      <c r="Q768" s="2" t="str">
        <f t="shared" si="81"/>
        <v>AX70Suspension RHF</v>
      </c>
      <c r="R768" s="2" t="str">
        <f>New_Xref[[#This Row],[Serial Prefix]]&amp;IF(New_Xref[[#This Row],[Func Loc]]&lt;&gt;"",New_Xref[[#This Row],[Func Loc]],"NO MATCH")</f>
        <v>AX70STRU .SUGR.SG02</v>
      </c>
      <c r="S768" s="3" t="str">
        <f t="shared" si="82"/>
        <v>AX703524023XSuspension RHF</v>
      </c>
      <c r="T768" s="3" t="s">
        <v>511</v>
      </c>
      <c r="U768" s="3" t="s">
        <v>92</v>
      </c>
      <c r="V768" t="str">
        <f t="shared" si="83"/>
        <v>7201RF</v>
      </c>
    </row>
    <row r="769" spans="1:22">
      <c r="A769" t="s">
        <v>3031</v>
      </c>
      <c r="B769" t="s">
        <v>3040</v>
      </c>
      <c r="C769" t="s">
        <v>3004</v>
      </c>
      <c r="D769" t="s">
        <v>3005</v>
      </c>
      <c r="E769" t="s">
        <v>3006</v>
      </c>
      <c r="F769" t="s">
        <v>27</v>
      </c>
      <c r="G769">
        <v>1</v>
      </c>
      <c r="H769" t="s">
        <v>3171</v>
      </c>
      <c r="I769" t="s">
        <v>3176</v>
      </c>
      <c r="J769" t="s">
        <v>3177</v>
      </c>
      <c r="K769" t="s">
        <v>3176</v>
      </c>
      <c r="L769" t="s">
        <v>778</v>
      </c>
      <c r="M769" s="1" t="str">
        <f t="shared" si="77"/>
        <v>06B232</v>
      </c>
      <c r="N769" s="1" t="str">
        <f t="shared" si="78"/>
        <v>C/O</v>
      </c>
      <c r="O769" s="1" t="str">
        <f t="shared" si="79"/>
        <v>Suspension LHF</v>
      </c>
      <c r="P769" s="1" t="str">
        <f t="shared" si="80"/>
        <v>AX79</v>
      </c>
      <c r="Q769" s="2" t="str">
        <f t="shared" si="81"/>
        <v>AX79Suspension LHF</v>
      </c>
      <c r="R769" s="2" t="str">
        <f>New_Xref[[#This Row],[Serial Prefix]]&amp;IF(New_Xref[[#This Row],[Func Loc]]&lt;&gt;"",New_Xref[[#This Row],[Func Loc]],"NO MATCH")</f>
        <v>AX79STRU .SUGR.SG01</v>
      </c>
      <c r="S769" s="3" t="str">
        <f t="shared" si="82"/>
        <v>AX793524023XSuspension LHF</v>
      </c>
      <c r="T769" s="3" t="s">
        <v>511</v>
      </c>
      <c r="U769" s="3" t="s">
        <v>89</v>
      </c>
      <c r="V769" t="str">
        <f t="shared" si="83"/>
        <v>7201LF</v>
      </c>
    </row>
    <row r="770" spans="1:22">
      <c r="A770" t="s">
        <v>3031</v>
      </c>
      <c r="B770" t="s">
        <v>3040</v>
      </c>
      <c r="C770" t="s">
        <v>3004</v>
      </c>
      <c r="D770" t="s">
        <v>3005</v>
      </c>
      <c r="E770" t="s">
        <v>3006</v>
      </c>
      <c r="F770" t="s">
        <v>27</v>
      </c>
      <c r="G770">
        <v>1</v>
      </c>
      <c r="H770" t="s">
        <v>3171</v>
      </c>
      <c r="I770" t="s">
        <v>3178</v>
      </c>
      <c r="J770" t="s">
        <v>3179</v>
      </c>
      <c r="K770" t="s">
        <v>3178</v>
      </c>
      <c r="L770" t="s">
        <v>781</v>
      </c>
      <c r="M770" s="1" t="str">
        <f t="shared" si="77"/>
        <v>06B232</v>
      </c>
      <c r="N770" s="1" t="str">
        <f t="shared" si="78"/>
        <v>C/O</v>
      </c>
      <c r="O770" s="1" t="str">
        <f t="shared" si="79"/>
        <v>Suspension RHF</v>
      </c>
      <c r="P770" s="1" t="str">
        <f t="shared" si="80"/>
        <v>AX79</v>
      </c>
      <c r="Q770" s="2" t="str">
        <f t="shared" si="81"/>
        <v>AX79Suspension RHF</v>
      </c>
      <c r="R770" s="2" t="str">
        <f>New_Xref[[#This Row],[Serial Prefix]]&amp;IF(New_Xref[[#This Row],[Func Loc]]&lt;&gt;"",New_Xref[[#This Row],[Func Loc]],"NO MATCH")</f>
        <v>AX79STRU .SUGR.SG02</v>
      </c>
      <c r="S770" s="3" t="str">
        <f t="shared" si="82"/>
        <v>AX793524023XSuspension RHF</v>
      </c>
      <c r="T770" s="3" t="s">
        <v>511</v>
      </c>
      <c r="U770" s="3" t="s">
        <v>92</v>
      </c>
      <c r="V770" t="str">
        <f t="shared" si="83"/>
        <v>7201RF</v>
      </c>
    </row>
    <row r="771" spans="1:22">
      <c r="A771" t="s">
        <v>3031</v>
      </c>
      <c r="B771" t="s">
        <v>3032</v>
      </c>
      <c r="C771" t="s">
        <v>3016</v>
      </c>
      <c r="D771" t="s">
        <v>3017</v>
      </c>
      <c r="E771" t="s">
        <v>3024</v>
      </c>
      <c r="F771" t="s">
        <v>27</v>
      </c>
      <c r="G771">
        <v>1</v>
      </c>
      <c r="H771" t="s">
        <v>3180</v>
      </c>
      <c r="I771" t="s">
        <v>3181</v>
      </c>
      <c r="J771" t="s">
        <v>3182</v>
      </c>
      <c r="K771" t="s">
        <v>3181</v>
      </c>
      <c r="L771" t="s">
        <v>788</v>
      </c>
      <c r="M771" s="1" t="str">
        <f t="shared" ref="M771:M834" si="84">LEFT(K771,FIND(" ",K771,1)-1)</f>
        <v>06B234</v>
      </c>
      <c r="N771" s="1" t="str">
        <f t="shared" ref="N771:N834" si="85">MID(K771,LEN(M771)+2,FIND(" ",K771,LEN(M771)+2)-LEN(M771)-2)</f>
        <v>C/O</v>
      </c>
      <c r="O771" s="1" t="str">
        <f t="shared" ref="O771:O834" si="86">MID(K771,FIND(N771,K771,1)+LEN(N771)+1, 150)</f>
        <v>Suspension LHR</v>
      </c>
      <c r="P771" s="1" t="str">
        <f t="shared" ref="P771:P834" si="87">LEFT(B771,4)</f>
        <v>AX70</v>
      </c>
      <c r="Q771" s="2" t="str">
        <f t="shared" ref="Q771:Q834" si="88">P771&amp;O771</f>
        <v>AX70Suspension LHR</v>
      </c>
      <c r="R771" s="2" t="str">
        <f>New_Xref[[#This Row],[Serial Prefix]]&amp;IF(New_Xref[[#This Row],[Func Loc]]&lt;&gt;"",New_Xref[[#This Row],[Func Loc]],"NO MATCH")</f>
        <v>AX70STRU .SUGR.SG03</v>
      </c>
      <c r="S771" s="3" t="str">
        <f t="shared" ref="S771:S834" si="89">P771&amp;D771&amp;O771</f>
        <v>AX701061801XSuspension LHR</v>
      </c>
      <c r="T771" s="3" t="s">
        <v>521</v>
      </c>
      <c r="U771" s="3" t="s">
        <v>108</v>
      </c>
      <c r="V771" t="str">
        <f t="shared" ref="V771:V834" si="90">LEFT(T771,FIND(" -",T771,1)-1)&amp;LEFT(U771,FIND(" -",U771,1)-1)</f>
        <v>7213LT</v>
      </c>
    </row>
    <row r="772" spans="1:22">
      <c r="A772" t="s">
        <v>3031</v>
      </c>
      <c r="B772" t="s">
        <v>3032</v>
      </c>
      <c r="C772" t="s">
        <v>3016</v>
      </c>
      <c r="D772" t="s">
        <v>3017</v>
      </c>
      <c r="E772" t="s">
        <v>3024</v>
      </c>
      <c r="F772" t="s">
        <v>27</v>
      </c>
      <c r="G772">
        <v>1</v>
      </c>
      <c r="H772" t="s">
        <v>3180</v>
      </c>
      <c r="I772" t="s">
        <v>3183</v>
      </c>
      <c r="J772" t="s">
        <v>3184</v>
      </c>
      <c r="K772" t="s">
        <v>3183</v>
      </c>
      <c r="L772" t="s">
        <v>791</v>
      </c>
      <c r="M772" s="1" t="str">
        <f t="shared" si="84"/>
        <v>06B233</v>
      </c>
      <c r="N772" s="1" t="str">
        <f t="shared" si="85"/>
        <v>C/O</v>
      </c>
      <c r="O772" s="1" t="str">
        <f t="shared" si="86"/>
        <v>Suspension RHR</v>
      </c>
      <c r="P772" s="1" t="str">
        <f t="shared" si="87"/>
        <v>AX70</v>
      </c>
      <c r="Q772" s="2" t="str">
        <f t="shared" si="88"/>
        <v>AX70Suspension RHR</v>
      </c>
      <c r="R772" s="2" t="str">
        <f>New_Xref[[#This Row],[Serial Prefix]]&amp;IF(New_Xref[[#This Row],[Func Loc]]&lt;&gt;"",New_Xref[[#This Row],[Func Loc]],"NO MATCH")</f>
        <v>AX70STRU .SUGR.SG04</v>
      </c>
      <c r="S772" s="3" t="str">
        <f t="shared" si="89"/>
        <v>AX701061801XSuspension RHR</v>
      </c>
      <c r="T772" s="3" t="s">
        <v>521</v>
      </c>
      <c r="U772" s="3" t="s">
        <v>115</v>
      </c>
      <c r="V772" t="str">
        <f t="shared" si="90"/>
        <v>7213RI</v>
      </c>
    </row>
    <row r="773" spans="1:22">
      <c r="A773" t="s">
        <v>3031</v>
      </c>
      <c r="B773" t="s">
        <v>3040</v>
      </c>
      <c r="C773" t="s">
        <v>3016</v>
      </c>
      <c r="D773" t="s">
        <v>3017</v>
      </c>
      <c r="E773" t="s">
        <v>3018</v>
      </c>
      <c r="F773" t="s">
        <v>27</v>
      </c>
      <c r="G773">
        <v>1</v>
      </c>
      <c r="H773" t="s">
        <v>3180</v>
      </c>
      <c r="I773" t="s">
        <v>3185</v>
      </c>
      <c r="J773" t="s">
        <v>3186</v>
      </c>
      <c r="K773" t="s">
        <v>3185</v>
      </c>
      <c r="L773" t="s">
        <v>791</v>
      </c>
      <c r="M773" s="1" t="str">
        <f t="shared" si="84"/>
        <v>06B232</v>
      </c>
      <c r="N773" s="1" t="str">
        <f t="shared" si="85"/>
        <v>C/O</v>
      </c>
      <c r="O773" s="1" t="str">
        <f t="shared" si="86"/>
        <v>Suspension RHR</v>
      </c>
      <c r="P773" s="1" t="str">
        <f t="shared" si="87"/>
        <v>AX79</v>
      </c>
      <c r="Q773" s="2" t="str">
        <f t="shared" si="88"/>
        <v>AX79Suspension RHR</v>
      </c>
      <c r="R773" s="2" t="str">
        <f>New_Xref[[#This Row],[Serial Prefix]]&amp;IF(New_Xref[[#This Row],[Func Loc]]&lt;&gt;"",New_Xref[[#This Row],[Func Loc]],"NO MATCH")</f>
        <v>AX79STRU .SUGR.SG04</v>
      </c>
      <c r="S773" s="3" t="str">
        <f t="shared" si="89"/>
        <v>AX791061801XSuspension RHR</v>
      </c>
      <c r="T773" s="3" t="s">
        <v>521</v>
      </c>
      <c r="U773" s="3" t="s">
        <v>115</v>
      </c>
      <c r="V773" t="str">
        <f t="shared" si="90"/>
        <v>7213RI</v>
      </c>
    </row>
    <row r="774" spans="1:22">
      <c r="A774" t="s">
        <v>3031</v>
      </c>
      <c r="B774" t="s">
        <v>3040</v>
      </c>
      <c r="C774" t="s">
        <v>3016</v>
      </c>
      <c r="D774" t="s">
        <v>3017</v>
      </c>
      <c r="E774" t="s">
        <v>3018</v>
      </c>
      <c r="F774" t="s">
        <v>27</v>
      </c>
      <c r="G774">
        <v>1</v>
      </c>
      <c r="H774" t="s">
        <v>3180</v>
      </c>
      <c r="I774" t="s">
        <v>3187</v>
      </c>
      <c r="J774" t="s">
        <v>3188</v>
      </c>
      <c r="K774" t="s">
        <v>3187</v>
      </c>
      <c r="L774" t="s">
        <v>788</v>
      </c>
      <c r="M774" s="1" t="str">
        <f t="shared" si="84"/>
        <v>06B232</v>
      </c>
      <c r="N774" s="1" t="str">
        <f t="shared" si="85"/>
        <v>C/O</v>
      </c>
      <c r="O774" s="1" t="str">
        <f t="shared" si="86"/>
        <v>Suspension LHR</v>
      </c>
      <c r="P774" s="1" t="str">
        <f t="shared" si="87"/>
        <v>AX79</v>
      </c>
      <c r="Q774" s="2" t="str">
        <f t="shared" si="88"/>
        <v>AX79Suspension LHR</v>
      </c>
      <c r="R774" s="2" t="str">
        <f>New_Xref[[#This Row],[Serial Prefix]]&amp;IF(New_Xref[[#This Row],[Func Loc]]&lt;&gt;"",New_Xref[[#This Row],[Func Loc]],"NO MATCH")</f>
        <v>AX79STRU .SUGR.SG03</v>
      </c>
      <c r="S774" s="3" t="str">
        <f t="shared" si="89"/>
        <v>AX791061801XSuspension LHR</v>
      </c>
      <c r="T774" s="3" t="s">
        <v>521</v>
      </c>
      <c r="U774" s="3" t="s">
        <v>108</v>
      </c>
      <c r="V774" t="str">
        <f t="shared" si="90"/>
        <v>7213LT</v>
      </c>
    </row>
    <row r="775" spans="1:22">
      <c r="A775" t="s">
        <v>3189</v>
      </c>
      <c r="B775" t="s">
        <v>3190</v>
      </c>
      <c r="C775" t="s">
        <v>3191</v>
      </c>
      <c r="D775" t="s">
        <v>3192</v>
      </c>
      <c r="E775" t="s">
        <v>3193</v>
      </c>
      <c r="F775" t="s">
        <v>27</v>
      </c>
      <c r="G775">
        <v>1</v>
      </c>
      <c r="H775" t="s">
        <v>3194</v>
      </c>
      <c r="I775" t="s">
        <v>3195</v>
      </c>
      <c r="J775" t="s">
        <v>3196</v>
      </c>
      <c r="K775" t="s">
        <v>3195</v>
      </c>
      <c r="L775" t="s">
        <v>83</v>
      </c>
      <c r="M775" s="1" t="str">
        <f t="shared" si="84"/>
        <v>11H114</v>
      </c>
      <c r="N775" s="1" t="str">
        <f t="shared" si="85"/>
        <v>C/O</v>
      </c>
      <c r="O775" s="1" t="str">
        <f t="shared" si="86"/>
        <v>Steering Cylinder LH</v>
      </c>
      <c r="P775" s="1" t="str">
        <f t="shared" si="87"/>
        <v>1HL0</v>
      </c>
      <c r="Q775" s="2" t="str">
        <f t="shared" si="88"/>
        <v>1HL0Steering Cylinder LH</v>
      </c>
      <c r="R775" s="2" t="str">
        <f>New_Xref[[#This Row],[Serial Prefix]]&amp;IF(New_Xref[[#This Row],[Func Loc]]&lt;&gt;"",New_Xref[[#This Row],[Func Loc]],"NO MATCH")</f>
        <v>1HL0NO MATCH</v>
      </c>
      <c r="S775" s="3" t="str">
        <f t="shared" si="89"/>
        <v>1HL09T8912XSteering Cylinder LH</v>
      </c>
      <c r="T775" s="3" t="s">
        <v>107</v>
      </c>
      <c r="U775" s="3" t="s">
        <v>34</v>
      </c>
      <c r="V775" t="str">
        <f t="shared" si="90"/>
        <v>430300</v>
      </c>
    </row>
    <row r="776" spans="1:22">
      <c r="A776" t="s">
        <v>3189</v>
      </c>
      <c r="B776" t="s">
        <v>3190</v>
      </c>
      <c r="C776" t="s">
        <v>3191</v>
      </c>
      <c r="D776" t="s">
        <v>3192</v>
      </c>
      <c r="E776" t="s">
        <v>3193</v>
      </c>
      <c r="F776" t="s">
        <v>27</v>
      </c>
      <c r="G776">
        <v>1</v>
      </c>
      <c r="H776" t="s">
        <v>3194</v>
      </c>
      <c r="I776" t="s">
        <v>3197</v>
      </c>
      <c r="J776" t="s">
        <v>3198</v>
      </c>
      <c r="K776" t="s">
        <v>3197</v>
      </c>
      <c r="L776" t="s">
        <v>83</v>
      </c>
      <c r="M776" s="1" t="str">
        <f t="shared" si="84"/>
        <v>11H114</v>
      </c>
      <c r="N776" s="1" t="str">
        <f t="shared" si="85"/>
        <v>C/O</v>
      </c>
      <c r="O776" s="1" t="str">
        <f t="shared" si="86"/>
        <v>Steering Cylinder RH</v>
      </c>
      <c r="P776" s="1" t="str">
        <f t="shared" si="87"/>
        <v>1HL0</v>
      </c>
      <c r="Q776" s="2" t="str">
        <f t="shared" si="88"/>
        <v>1HL0Steering Cylinder RH</v>
      </c>
      <c r="R776" s="2" t="str">
        <f>New_Xref[[#This Row],[Serial Prefix]]&amp;IF(New_Xref[[#This Row],[Func Loc]]&lt;&gt;"",New_Xref[[#This Row],[Func Loc]],"NO MATCH")</f>
        <v>1HL0NO MATCH</v>
      </c>
      <c r="S776" s="3" t="str">
        <f t="shared" si="89"/>
        <v>1HL09T8912XSteering Cylinder RH</v>
      </c>
      <c r="T776" s="3" t="s">
        <v>107</v>
      </c>
      <c r="U776" s="3" t="s">
        <v>34</v>
      </c>
      <c r="V776" t="str">
        <f t="shared" si="90"/>
        <v>430300</v>
      </c>
    </row>
    <row r="777" spans="1:22">
      <c r="A777" t="s">
        <v>3199</v>
      </c>
      <c r="B777" t="s">
        <v>3200</v>
      </c>
      <c r="C777" t="s">
        <v>3201</v>
      </c>
      <c r="D777" t="s">
        <v>3202</v>
      </c>
      <c r="E777" t="s">
        <v>3203</v>
      </c>
      <c r="F777" t="s">
        <v>27</v>
      </c>
      <c r="G777">
        <v>1</v>
      </c>
      <c r="H777" t="s">
        <v>3204</v>
      </c>
      <c r="I777" t="s">
        <v>3205</v>
      </c>
      <c r="J777" t="s">
        <v>3206</v>
      </c>
      <c r="K777" t="s">
        <v>3207</v>
      </c>
      <c r="L777" t="s">
        <v>32</v>
      </c>
      <c r="M777" s="1" t="str">
        <f t="shared" si="84"/>
        <v>11H1018</v>
      </c>
      <c r="N777" s="1" t="str">
        <f t="shared" si="85"/>
        <v>C/O</v>
      </c>
      <c r="O777" s="1" t="str">
        <f t="shared" si="86"/>
        <v>Engine</v>
      </c>
      <c r="P777" s="1" t="str">
        <f t="shared" si="87"/>
        <v>FDB0</v>
      </c>
      <c r="Q777" s="2" t="str">
        <f t="shared" si="88"/>
        <v>FDB0Engine</v>
      </c>
      <c r="R777" s="2" t="str">
        <f>New_Xref[[#This Row],[Serial Prefix]]&amp;IF(New_Xref[[#This Row],[Func Loc]]&lt;&gt;"",New_Xref[[#This Row],[Func Loc]],"NO MATCH")</f>
        <v>FDB0ENGD</v>
      </c>
      <c r="S777" s="3" t="str">
        <f t="shared" si="89"/>
        <v>FDB02350300XEngine</v>
      </c>
      <c r="T777" s="3" t="s">
        <v>33</v>
      </c>
      <c r="U777" s="3" t="s">
        <v>34</v>
      </c>
      <c r="V777" t="str">
        <f t="shared" si="90"/>
        <v>100000</v>
      </c>
    </row>
    <row r="778" spans="1:22">
      <c r="A778" t="s">
        <v>3199</v>
      </c>
      <c r="B778" t="s">
        <v>3208</v>
      </c>
      <c r="C778" t="s">
        <v>3209</v>
      </c>
      <c r="D778" t="s">
        <v>3210</v>
      </c>
      <c r="E778" t="s">
        <v>42</v>
      </c>
      <c r="F778" t="s">
        <v>27</v>
      </c>
      <c r="G778">
        <v>1</v>
      </c>
      <c r="H778" t="s">
        <v>3211</v>
      </c>
      <c r="I778" t="s">
        <v>3212</v>
      </c>
      <c r="J778" t="s">
        <v>3213</v>
      </c>
      <c r="K778" t="s">
        <v>3214</v>
      </c>
      <c r="L778" t="s">
        <v>2668</v>
      </c>
      <c r="M778" s="1" t="str">
        <f t="shared" si="84"/>
        <v>11H1083</v>
      </c>
      <c r="N778" s="1" t="str">
        <f t="shared" si="85"/>
        <v>C/O</v>
      </c>
      <c r="O778" s="1" t="str">
        <f t="shared" si="86"/>
        <v>Engine Turbocharger RHR</v>
      </c>
      <c r="P778" s="1" t="str">
        <f t="shared" si="87"/>
        <v>FDB0</v>
      </c>
      <c r="Q778" s="2" t="str">
        <f t="shared" si="88"/>
        <v>FDB0Engine Turbocharger RHR</v>
      </c>
      <c r="R778" s="2" t="str">
        <f>New_Xref[[#This Row],[Serial Prefix]]&amp;IF(New_Xref[[#This Row],[Func Loc]]&lt;&gt;"",New_Xref[[#This Row],[Func Loc]],"NO MATCH")</f>
        <v>FDB0ENGD .TURB.TCRR</v>
      </c>
      <c r="S778" s="3" t="str">
        <f t="shared" si="89"/>
        <v>FDB020R9727Engine Turbocharger RHR</v>
      </c>
      <c r="T778" s="3" t="s">
        <v>47</v>
      </c>
      <c r="U778" s="3" t="s">
        <v>99</v>
      </c>
      <c r="V778" t="str">
        <f t="shared" si="90"/>
        <v>1052RR</v>
      </c>
    </row>
    <row r="779" spans="1:22">
      <c r="A779" t="s">
        <v>3199</v>
      </c>
      <c r="B779" t="s">
        <v>3208</v>
      </c>
      <c r="C779" t="s">
        <v>3209</v>
      </c>
      <c r="D779" t="s">
        <v>3210</v>
      </c>
      <c r="E779" t="s">
        <v>42</v>
      </c>
      <c r="F779" t="s">
        <v>27</v>
      </c>
      <c r="G779">
        <v>1</v>
      </c>
      <c r="H779" t="s">
        <v>3211</v>
      </c>
      <c r="I779" t="s">
        <v>3212</v>
      </c>
      <c r="J779" t="s">
        <v>3215</v>
      </c>
      <c r="K779" t="s">
        <v>3216</v>
      </c>
      <c r="L779" t="s">
        <v>2662</v>
      </c>
      <c r="M779" s="1" t="str">
        <f t="shared" si="84"/>
        <v>11H1083</v>
      </c>
      <c r="N779" s="1" t="str">
        <f t="shared" si="85"/>
        <v>C/O</v>
      </c>
      <c r="O779" s="1" t="str">
        <f t="shared" si="86"/>
        <v>Engine Turbocharger LHR</v>
      </c>
      <c r="P779" s="1" t="str">
        <f t="shared" si="87"/>
        <v>FDB0</v>
      </c>
      <c r="Q779" s="2" t="str">
        <f t="shared" si="88"/>
        <v>FDB0Engine Turbocharger LHR</v>
      </c>
      <c r="R779" s="2" t="str">
        <f>New_Xref[[#This Row],[Serial Prefix]]&amp;IF(New_Xref[[#This Row],[Func Loc]]&lt;&gt;"",New_Xref[[#This Row],[Func Loc]],"NO MATCH")</f>
        <v>FDB0ENGD .TURB.TCLR</v>
      </c>
      <c r="S779" s="3" t="str">
        <f t="shared" si="89"/>
        <v>FDB020R9727Engine Turbocharger LHR</v>
      </c>
      <c r="T779" s="3" t="s">
        <v>47</v>
      </c>
      <c r="U779" s="3" t="s">
        <v>96</v>
      </c>
      <c r="V779" t="str">
        <f t="shared" si="90"/>
        <v>1052LR</v>
      </c>
    </row>
    <row r="780" spans="1:22">
      <c r="A780" t="s">
        <v>3199</v>
      </c>
      <c r="B780" t="s">
        <v>3208</v>
      </c>
      <c r="C780" t="s">
        <v>3209</v>
      </c>
      <c r="D780" t="s">
        <v>3210</v>
      </c>
      <c r="E780" t="s">
        <v>42</v>
      </c>
      <c r="F780" t="s">
        <v>27</v>
      </c>
      <c r="G780">
        <v>1</v>
      </c>
      <c r="H780" t="s">
        <v>3211</v>
      </c>
      <c r="I780" t="s">
        <v>3212</v>
      </c>
      <c r="J780" t="s">
        <v>3217</v>
      </c>
      <c r="K780" t="s">
        <v>3218</v>
      </c>
      <c r="L780" t="s">
        <v>2665</v>
      </c>
      <c r="M780" s="1" t="str">
        <f t="shared" si="84"/>
        <v>11H1083</v>
      </c>
      <c r="N780" s="1" t="str">
        <f t="shared" si="85"/>
        <v>C/O</v>
      </c>
      <c r="O780" s="1" t="str">
        <f t="shared" si="86"/>
        <v>Engine Turbocharger RHF</v>
      </c>
      <c r="P780" s="1" t="str">
        <f t="shared" si="87"/>
        <v>FDB0</v>
      </c>
      <c r="Q780" s="2" t="str">
        <f t="shared" si="88"/>
        <v>FDB0Engine Turbocharger RHF</v>
      </c>
      <c r="R780" s="2" t="str">
        <f>New_Xref[[#This Row],[Serial Prefix]]&amp;IF(New_Xref[[#This Row],[Func Loc]]&lt;&gt;"",New_Xref[[#This Row],[Func Loc]],"NO MATCH")</f>
        <v>FDB0ENGD .TURB.TCRF</v>
      </c>
      <c r="S780" s="3" t="str">
        <f t="shared" si="89"/>
        <v>FDB020R9727Engine Turbocharger RHF</v>
      </c>
      <c r="T780" s="3" t="s">
        <v>47</v>
      </c>
      <c r="U780" s="3" t="s">
        <v>92</v>
      </c>
      <c r="V780" t="str">
        <f t="shared" si="90"/>
        <v>1052RF</v>
      </c>
    </row>
    <row r="781" spans="1:22">
      <c r="A781" t="s">
        <v>3199</v>
      </c>
      <c r="B781" t="s">
        <v>3208</v>
      </c>
      <c r="C781" t="s">
        <v>3209</v>
      </c>
      <c r="D781" t="s">
        <v>3210</v>
      </c>
      <c r="E781" t="s">
        <v>42</v>
      </c>
      <c r="F781" t="s">
        <v>27</v>
      </c>
      <c r="G781">
        <v>1</v>
      </c>
      <c r="H781" t="s">
        <v>3211</v>
      </c>
      <c r="I781" t="s">
        <v>3212</v>
      </c>
      <c r="J781" t="s">
        <v>3219</v>
      </c>
      <c r="K781" t="s">
        <v>3220</v>
      </c>
      <c r="L781" t="s">
        <v>2659</v>
      </c>
      <c r="M781" s="1" t="str">
        <f t="shared" si="84"/>
        <v>11H1083</v>
      </c>
      <c r="N781" s="1" t="str">
        <f t="shared" si="85"/>
        <v>C/O</v>
      </c>
      <c r="O781" s="1" t="str">
        <f t="shared" si="86"/>
        <v>Engine Turbocharger LHF</v>
      </c>
      <c r="P781" s="1" t="str">
        <f t="shared" si="87"/>
        <v>FDB0</v>
      </c>
      <c r="Q781" s="2" t="str">
        <f t="shared" si="88"/>
        <v>FDB0Engine Turbocharger LHF</v>
      </c>
      <c r="R781" s="2" t="str">
        <f>New_Xref[[#This Row],[Serial Prefix]]&amp;IF(New_Xref[[#This Row],[Func Loc]]&lt;&gt;"",New_Xref[[#This Row],[Func Loc]],"NO MATCH")</f>
        <v>FDB0ENGD .TURB.TCLF</v>
      </c>
      <c r="S781" s="3" t="str">
        <f t="shared" si="89"/>
        <v>FDB020R9727Engine Turbocharger LHF</v>
      </c>
      <c r="T781" s="3" t="s">
        <v>47</v>
      </c>
      <c r="U781" s="3" t="s">
        <v>89</v>
      </c>
      <c r="V781" t="str">
        <f t="shared" si="90"/>
        <v>1052LF</v>
      </c>
    </row>
    <row r="782" spans="1:22">
      <c r="A782" t="s">
        <v>3199</v>
      </c>
      <c r="B782" t="s">
        <v>3221</v>
      </c>
      <c r="C782" t="s">
        <v>3209</v>
      </c>
      <c r="D782" t="s">
        <v>3210</v>
      </c>
      <c r="E782" t="s">
        <v>42</v>
      </c>
      <c r="F782" t="s">
        <v>27</v>
      </c>
      <c r="G782">
        <v>1</v>
      </c>
      <c r="H782" t="s">
        <v>3211</v>
      </c>
      <c r="I782" t="s">
        <v>3222</v>
      </c>
      <c r="J782" t="s">
        <v>3223</v>
      </c>
      <c r="K782" t="s">
        <v>3224</v>
      </c>
      <c r="L782" t="s">
        <v>83</v>
      </c>
      <c r="M782" s="1" t="str">
        <f t="shared" si="84"/>
        <v>11H1082</v>
      </c>
      <c r="N782" s="1" t="str">
        <f t="shared" si="85"/>
        <v>C/O</v>
      </c>
      <c r="O782" s="1" t="str">
        <f t="shared" si="86"/>
        <v>Turbocharger LHF</v>
      </c>
      <c r="P782" s="1" t="str">
        <f t="shared" si="87"/>
        <v>FDB0</v>
      </c>
      <c r="Q782" s="2" t="str">
        <f t="shared" si="88"/>
        <v>FDB0Turbocharger LHF</v>
      </c>
      <c r="R782" s="2" t="str">
        <f>New_Xref[[#This Row],[Serial Prefix]]&amp;IF(New_Xref[[#This Row],[Func Loc]]&lt;&gt;"",New_Xref[[#This Row],[Func Loc]],"NO MATCH")</f>
        <v>FDB0NO MATCH</v>
      </c>
      <c r="S782" s="3" t="str">
        <f t="shared" si="89"/>
        <v>FDB020R9727Turbocharger LHF</v>
      </c>
      <c r="T782" s="3" t="s">
        <v>47</v>
      </c>
      <c r="U782" s="3" t="s">
        <v>89</v>
      </c>
      <c r="V782" t="str">
        <f t="shared" si="90"/>
        <v>1052LF</v>
      </c>
    </row>
    <row r="783" spans="1:22">
      <c r="A783" t="s">
        <v>3199</v>
      </c>
      <c r="B783" t="s">
        <v>3221</v>
      </c>
      <c r="C783" t="s">
        <v>3209</v>
      </c>
      <c r="D783" t="s">
        <v>3210</v>
      </c>
      <c r="E783" t="s">
        <v>42</v>
      </c>
      <c r="F783" t="s">
        <v>27</v>
      </c>
      <c r="G783">
        <v>1</v>
      </c>
      <c r="H783" t="s">
        <v>3211</v>
      </c>
      <c r="I783" t="s">
        <v>3222</v>
      </c>
      <c r="J783" t="s">
        <v>3225</v>
      </c>
      <c r="K783" t="s">
        <v>3226</v>
      </c>
      <c r="L783" t="s">
        <v>83</v>
      </c>
      <c r="M783" s="1" t="str">
        <f t="shared" si="84"/>
        <v>11H1082</v>
      </c>
      <c r="N783" s="1" t="str">
        <f t="shared" si="85"/>
        <v>C/O</v>
      </c>
      <c r="O783" s="1" t="str">
        <f t="shared" si="86"/>
        <v>Turbocharger LHR</v>
      </c>
      <c r="P783" s="1" t="str">
        <f t="shared" si="87"/>
        <v>FDB0</v>
      </c>
      <c r="Q783" s="2" t="str">
        <f t="shared" si="88"/>
        <v>FDB0Turbocharger LHR</v>
      </c>
      <c r="R783" s="2" t="str">
        <f>New_Xref[[#This Row],[Serial Prefix]]&amp;IF(New_Xref[[#This Row],[Func Loc]]&lt;&gt;"",New_Xref[[#This Row],[Func Loc]],"NO MATCH")</f>
        <v>FDB0NO MATCH</v>
      </c>
      <c r="S783" s="3" t="str">
        <f t="shared" si="89"/>
        <v>FDB020R9727Turbocharger LHR</v>
      </c>
      <c r="T783" s="3" t="s">
        <v>47</v>
      </c>
      <c r="U783" s="3" t="s">
        <v>96</v>
      </c>
      <c r="V783" t="str">
        <f t="shared" si="90"/>
        <v>1052LR</v>
      </c>
    </row>
    <row r="784" spans="1:22">
      <c r="A784" t="s">
        <v>3199</v>
      </c>
      <c r="B784" t="s">
        <v>3221</v>
      </c>
      <c r="C784" t="s">
        <v>3209</v>
      </c>
      <c r="D784" t="s">
        <v>3210</v>
      </c>
      <c r="E784" t="s">
        <v>42</v>
      </c>
      <c r="F784" t="s">
        <v>27</v>
      </c>
      <c r="G784">
        <v>1</v>
      </c>
      <c r="H784" t="s">
        <v>3211</v>
      </c>
      <c r="I784" t="s">
        <v>3222</v>
      </c>
      <c r="J784" t="s">
        <v>3227</v>
      </c>
      <c r="K784" t="s">
        <v>3228</v>
      </c>
      <c r="L784" t="s">
        <v>83</v>
      </c>
      <c r="M784" s="1" t="str">
        <f t="shared" si="84"/>
        <v>11H1082</v>
      </c>
      <c r="N784" s="1" t="str">
        <f t="shared" si="85"/>
        <v>C/O</v>
      </c>
      <c r="O784" s="1" t="str">
        <f t="shared" si="86"/>
        <v>Turbocharger RHF</v>
      </c>
      <c r="P784" s="1" t="str">
        <f t="shared" si="87"/>
        <v>FDB0</v>
      </c>
      <c r="Q784" s="2" t="str">
        <f t="shared" si="88"/>
        <v>FDB0Turbocharger RHF</v>
      </c>
      <c r="R784" s="2" t="str">
        <f>New_Xref[[#This Row],[Serial Prefix]]&amp;IF(New_Xref[[#This Row],[Func Loc]]&lt;&gt;"",New_Xref[[#This Row],[Func Loc]],"NO MATCH")</f>
        <v>FDB0NO MATCH</v>
      </c>
      <c r="S784" s="3" t="str">
        <f t="shared" si="89"/>
        <v>FDB020R9727Turbocharger RHF</v>
      </c>
      <c r="T784" s="3" t="s">
        <v>47</v>
      </c>
      <c r="U784" s="3" t="s">
        <v>92</v>
      </c>
      <c r="V784" t="str">
        <f t="shared" si="90"/>
        <v>1052RF</v>
      </c>
    </row>
    <row r="785" spans="1:22">
      <c r="A785" t="s">
        <v>3199</v>
      </c>
      <c r="B785" t="s">
        <v>3221</v>
      </c>
      <c r="C785" t="s">
        <v>3209</v>
      </c>
      <c r="D785" t="s">
        <v>3210</v>
      </c>
      <c r="E785" t="s">
        <v>42</v>
      </c>
      <c r="F785" t="s">
        <v>27</v>
      </c>
      <c r="G785">
        <v>1</v>
      </c>
      <c r="H785" t="s">
        <v>3211</v>
      </c>
      <c r="I785" t="s">
        <v>3222</v>
      </c>
      <c r="J785" t="s">
        <v>3229</v>
      </c>
      <c r="K785" t="s">
        <v>3230</v>
      </c>
      <c r="L785" t="s">
        <v>83</v>
      </c>
      <c r="M785" s="1" t="str">
        <f t="shared" si="84"/>
        <v>11H1082</v>
      </c>
      <c r="N785" s="1" t="str">
        <f t="shared" si="85"/>
        <v>C/O</v>
      </c>
      <c r="O785" s="1" t="str">
        <f t="shared" si="86"/>
        <v>Turbocharger RHR</v>
      </c>
      <c r="P785" s="1" t="str">
        <f t="shared" si="87"/>
        <v>FDB0</v>
      </c>
      <c r="Q785" s="2" t="str">
        <f t="shared" si="88"/>
        <v>FDB0Turbocharger RHR</v>
      </c>
      <c r="R785" s="2" t="str">
        <f>New_Xref[[#This Row],[Serial Prefix]]&amp;IF(New_Xref[[#This Row],[Func Loc]]&lt;&gt;"",New_Xref[[#This Row],[Func Loc]],"NO MATCH")</f>
        <v>FDB0NO MATCH</v>
      </c>
      <c r="S785" s="3" t="str">
        <f t="shared" si="89"/>
        <v>FDB020R9727Turbocharger RHR</v>
      </c>
      <c r="T785" s="3" t="s">
        <v>47</v>
      </c>
      <c r="U785" s="3" t="s">
        <v>99</v>
      </c>
      <c r="V785" t="str">
        <f t="shared" si="90"/>
        <v>1052RR</v>
      </c>
    </row>
    <row r="786" spans="1:22">
      <c r="A786" t="s">
        <v>3199</v>
      </c>
      <c r="B786" t="s">
        <v>3208</v>
      </c>
      <c r="C786" t="s">
        <v>3231</v>
      </c>
      <c r="D786" t="s">
        <v>3232</v>
      </c>
      <c r="E786" t="s">
        <v>58</v>
      </c>
      <c r="F786" t="s">
        <v>27</v>
      </c>
      <c r="G786">
        <v>16</v>
      </c>
      <c r="H786" t="s">
        <v>3233</v>
      </c>
      <c r="I786" t="s">
        <v>3212</v>
      </c>
      <c r="J786" t="s">
        <v>3234</v>
      </c>
      <c r="K786" t="s">
        <v>3235</v>
      </c>
      <c r="L786" t="s">
        <v>62</v>
      </c>
      <c r="M786" s="1" t="str">
        <f t="shared" si="84"/>
        <v>11H1083</v>
      </c>
      <c r="N786" s="1" t="str">
        <f t="shared" si="85"/>
        <v>C/O</v>
      </c>
      <c r="O786" s="1" t="str">
        <f t="shared" si="86"/>
        <v>Engine Fuel Injectors</v>
      </c>
      <c r="P786" s="1" t="str">
        <f t="shared" si="87"/>
        <v>FDB0</v>
      </c>
      <c r="Q786" s="2" t="str">
        <f t="shared" si="88"/>
        <v>FDB0Engine Fuel Injectors</v>
      </c>
      <c r="R786" s="2" t="str">
        <f>New_Xref[[#This Row],[Serial Prefix]]&amp;IF(New_Xref[[#This Row],[Func Loc]]&lt;&gt;"",New_Xref[[#This Row],[Func Loc]],"NO MATCH")</f>
        <v>FDB0ENGD .FUEL.INJE</v>
      </c>
      <c r="S786" s="3" t="str">
        <f t="shared" si="89"/>
        <v>FDB020R0850Engine Fuel Injectors</v>
      </c>
      <c r="T786" s="3" t="s">
        <v>63</v>
      </c>
      <c r="U786" s="3" t="s">
        <v>34</v>
      </c>
      <c r="V786" t="str">
        <f t="shared" si="90"/>
        <v>125100</v>
      </c>
    </row>
    <row r="787" spans="1:22">
      <c r="A787" t="s">
        <v>3199</v>
      </c>
      <c r="B787" t="s">
        <v>3221</v>
      </c>
      <c r="C787" t="s">
        <v>3231</v>
      </c>
      <c r="D787" t="s">
        <v>3232</v>
      </c>
      <c r="E787" t="s">
        <v>58</v>
      </c>
      <c r="F787" t="s">
        <v>27</v>
      </c>
      <c r="G787">
        <v>16</v>
      </c>
      <c r="H787" t="s">
        <v>3233</v>
      </c>
      <c r="I787" t="s">
        <v>3222</v>
      </c>
      <c r="J787" t="s">
        <v>3236</v>
      </c>
      <c r="K787" t="s">
        <v>3237</v>
      </c>
      <c r="L787" t="s">
        <v>83</v>
      </c>
      <c r="M787" s="1" t="str">
        <f t="shared" si="84"/>
        <v>11H1082</v>
      </c>
      <c r="N787" s="1" t="str">
        <f t="shared" si="85"/>
        <v>C/O</v>
      </c>
      <c r="O787" s="1" t="str">
        <f t="shared" si="86"/>
        <v>Fuel Injectors</v>
      </c>
      <c r="P787" s="1" t="str">
        <f t="shared" si="87"/>
        <v>FDB0</v>
      </c>
      <c r="Q787" s="2" t="str">
        <f t="shared" si="88"/>
        <v>FDB0Fuel Injectors</v>
      </c>
      <c r="R787" s="2" t="str">
        <f>New_Xref[[#This Row],[Serial Prefix]]&amp;IF(New_Xref[[#This Row],[Func Loc]]&lt;&gt;"",New_Xref[[#This Row],[Func Loc]],"NO MATCH")</f>
        <v>FDB0NO MATCH</v>
      </c>
      <c r="S787" s="3" t="str">
        <f t="shared" si="89"/>
        <v>FDB020R0850Fuel Injectors</v>
      </c>
      <c r="T787" s="3" t="s">
        <v>63</v>
      </c>
      <c r="U787" s="3" t="s">
        <v>34</v>
      </c>
      <c r="V787" t="str">
        <f t="shared" si="90"/>
        <v>125100</v>
      </c>
    </row>
    <row r="788" spans="1:22">
      <c r="A788" t="s">
        <v>3199</v>
      </c>
      <c r="B788" t="s">
        <v>3200</v>
      </c>
      <c r="C788" t="s">
        <v>3238</v>
      </c>
      <c r="D788" t="s">
        <v>3239</v>
      </c>
      <c r="E788" t="s">
        <v>3240</v>
      </c>
      <c r="F788" t="s">
        <v>27</v>
      </c>
      <c r="G788">
        <v>1</v>
      </c>
      <c r="H788" t="s">
        <v>3241</v>
      </c>
      <c r="I788" t="s">
        <v>3242</v>
      </c>
      <c r="J788" t="s">
        <v>3243</v>
      </c>
      <c r="K788" t="s">
        <v>3242</v>
      </c>
      <c r="L788" t="s">
        <v>67</v>
      </c>
      <c r="M788" s="1" t="str">
        <f t="shared" si="84"/>
        <v>11H1018</v>
      </c>
      <c r="N788" s="1" t="str">
        <f t="shared" si="85"/>
        <v>C/O</v>
      </c>
      <c r="O788" s="1" t="str">
        <f t="shared" si="86"/>
        <v>Engine Radiator</v>
      </c>
      <c r="P788" s="1" t="str">
        <f t="shared" si="87"/>
        <v>FDB0</v>
      </c>
      <c r="Q788" s="2" t="str">
        <f t="shared" si="88"/>
        <v>FDB0Engine Radiator</v>
      </c>
      <c r="R788" s="2" t="str">
        <f>New_Xref[[#This Row],[Serial Prefix]]&amp;IF(New_Xref[[#This Row],[Func Loc]]&lt;&gt;"",New_Xref[[#This Row],[Func Loc]],"NO MATCH")</f>
        <v>FDB0ENGD .ENCS.RADI</v>
      </c>
      <c r="S788" s="3" t="str">
        <f t="shared" si="89"/>
        <v>FDB01936287FEngine Radiator</v>
      </c>
      <c r="T788" s="3" t="s">
        <v>68</v>
      </c>
      <c r="U788" s="3" t="s">
        <v>34</v>
      </c>
      <c r="V788" t="str">
        <f t="shared" si="90"/>
        <v>135300</v>
      </c>
    </row>
    <row r="789" spans="1:22">
      <c r="A789" t="s">
        <v>3199</v>
      </c>
      <c r="B789" t="s">
        <v>3208</v>
      </c>
      <c r="C789" t="s">
        <v>3244</v>
      </c>
      <c r="D789" t="s">
        <v>3245</v>
      </c>
      <c r="E789" t="s">
        <v>3246</v>
      </c>
      <c r="F789" t="s">
        <v>27</v>
      </c>
      <c r="G789">
        <v>1</v>
      </c>
      <c r="H789" t="s">
        <v>3247</v>
      </c>
      <c r="I789" t="s">
        <v>3212</v>
      </c>
      <c r="J789" t="s">
        <v>3248</v>
      </c>
      <c r="K789" t="s">
        <v>3249</v>
      </c>
      <c r="L789" t="s">
        <v>739</v>
      </c>
      <c r="M789" s="1" t="str">
        <f t="shared" si="84"/>
        <v>11H1083</v>
      </c>
      <c r="N789" s="1" t="str">
        <f t="shared" si="85"/>
        <v>C/O</v>
      </c>
      <c r="O789" s="1" t="str">
        <f t="shared" si="86"/>
        <v>Engine Water Pump Main</v>
      </c>
      <c r="P789" s="1" t="str">
        <f t="shared" si="87"/>
        <v>FDB0</v>
      </c>
      <c r="Q789" s="2" t="str">
        <f t="shared" si="88"/>
        <v>FDB0Engine Water Pump Main</v>
      </c>
      <c r="R789" s="2" t="str">
        <f>New_Xref[[#This Row],[Serial Prefix]]&amp;IF(New_Xref[[#This Row],[Func Loc]]&lt;&gt;"",New_Xref[[#This Row],[Func Loc]],"NO MATCH")</f>
        <v>FDB0ENGD .WAPU.WP01</v>
      </c>
      <c r="S789" s="3" t="str">
        <f t="shared" si="89"/>
        <v>FDB020R0505Engine Water Pump Main</v>
      </c>
      <c r="T789" s="3" t="s">
        <v>183</v>
      </c>
      <c r="U789" s="3" t="s">
        <v>34</v>
      </c>
      <c r="V789" t="str">
        <f t="shared" si="90"/>
        <v>136100</v>
      </c>
    </row>
    <row r="790" spans="1:22">
      <c r="A790" t="s">
        <v>3199</v>
      </c>
      <c r="B790" t="s">
        <v>3200</v>
      </c>
      <c r="C790" t="s">
        <v>3250</v>
      </c>
      <c r="D790" t="s">
        <v>3251</v>
      </c>
      <c r="E790" t="s">
        <v>3252</v>
      </c>
      <c r="F790" t="s">
        <v>27</v>
      </c>
      <c r="G790">
        <v>1</v>
      </c>
      <c r="H790" t="s">
        <v>3253</v>
      </c>
      <c r="I790" t="s">
        <v>3254</v>
      </c>
      <c r="J790" t="s">
        <v>3255</v>
      </c>
      <c r="K790" t="s">
        <v>3254</v>
      </c>
      <c r="L790" t="s">
        <v>72</v>
      </c>
      <c r="M790" s="1" t="str">
        <f t="shared" si="84"/>
        <v>11H1018</v>
      </c>
      <c r="N790" s="1" t="str">
        <f t="shared" si="85"/>
        <v>C/O</v>
      </c>
      <c r="O790" s="1" t="str">
        <f t="shared" si="86"/>
        <v>Transmission</v>
      </c>
      <c r="P790" s="1" t="str">
        <f t="shared" si="87"/>
        <v>FDB0</v>
      </c>
      <c r="Q790" s="2" t="str">
        <f t="shared" si="88"/>
        <v>FDB0Transmission</v>
      </c>
      <c r="R790" s="2" t="str">
        <f>New_Xref[[#This Row],[Serial Prefix]]&amp;IF(New_Xref[[#This Row],[Func Loc]]&lt;&gt;"",New_Xref[[#This Row],[Func Loc]],"NO MATCH")</f>
        <v>FDB0TRAN .TRAN</v>
      </c>
      <c r="S790" s="3" t="str">
        <f t="shared" si="89"/>
        <v>FDB02407184XTransmission</v>
      </c>
      <c r="T790" s="3" t="s">
        <v>73</v>
      </c>
      <c r="U790" s="3" t="s">
        <v>34</v>
      </c>
      <c r="V790" t="str">
        <f t="shared" si="90"/>
        <v>303000</v>
      </c>
    </row>
    <row r="791" spans="1:22">
      <c r="A791" t="s">
        <v>3199</v>
      </c>
      <c r="B791" t="s">
        <v>3200</v>
      </c>
      <c r="C791" t="s">
        <v>3256</v>
      </c>
      <c r="D791" t="s">
        <v>3257</v>
      </c>
      <c r="E791" t="s">
        <v>453</v>
      </c>
      <c r="F791" t="s">
        <v>27</v>
      </c>
      <c r="G791">
        <v>1</v>
      </c>
      <c r="H791" t="s">
        <v>3258</v>
      </c>
      <c r="I791" t="s">
        <v>3259</v>
      </c>
      <c r="J791" t="s">
        <v>3260</v>
      </c>
      <c r="K791" t="s">
        <v>3259</v>
      </c>
      <c r="L791" t="s">
        <v>304</v>
      </c>
      <c r="M791" s="1" t="str">
        <f t="shared" si="84"/>
        <v>11H1018</v>
      </c>
      <c r="N791" s="1" t="str">
        <f t="shared" si="85"/>
        <v>C/O</v>
      </c>
      <c r="O791" s="1" t="str">
        <f t="shared" si="86"/>
        <v>Torque Converter</v>
      </c>
      <c r="P791" s="1" t="str">
        <f t="shared" si="87"/>
        <v>FDB0</v>
      </c>
      <c r="Q791" s="2" t="str">
        <f t="shared" si="88"/>
        <v>FDB0Torque Converter</v>
      </c>
      <c r="R791" s="2" t="str">
        <f>New_Xref[[#This Row],[Serial Prefix]]&amp;IF(New_Xref[[#This Row],[Func Loc]]&lt;&gt;"",New_Xref[[#This Row],[Func Loc]],"NO MATCH")</f>
        <v>FDB0TRAN .TOCO</v>
      </c>
      <c r="S791" s="3" t="str">
        <f t="shared" si="89"/>
        <v>FDB02407186XTorque Converter</v>
      </c>
      <c r="T791" s="3" t="s">
        <v>305</v>
      </c>
      <c r="U791" s="3" t="s">
        <v>34</v>
      </c>
      <c r="V791" t="str">
        <f t="shared" si="90"/>
        <v>310100</v>
      </c>
    </row>
    <row r="792" spans="1:22">
      <c r="A792" t="s">
        <v>3199</v>
      </c>
      <c r="B792" t="s">
        <v>3200</v>
      </c>
      <c r="C792" t="s">
        <v>3261</v>
      </c>
      <c r="D792" t="s">
        <v>3262</v>
      </c>
      <c r="E792" t="s">
        <v>3263</v>
      </c>
      <c r="F792" t="s">
        <v>27</v>
      </c>
      <c r="G792">
        <v>1</v>
      </c>
      <c r="H792" t="s">
        <v>3264</v>
      </c>
      <c r="I792" t="s">
        <v>3265</v>
      </c>
      <c r="J792" t="s">
        <v>3266</v>
      </c>
      <c r="K792" t="s">
        <v>3265</v>
      </c>
      <c r="L792" t="s">
        <v>83</v>
      </c>
      <c r="M792" s="1" t="str">
        <f t="shared" si="84"/>
        <v>11H1018</v>
      </c>
      <c r="N792" s="1" t="str">
        <f t="shared" si="85"/>
        <v>C/O</v>
      </c>
      <c r="O792" s="1" t="str">
        <f t="shared" si="86"/>
        <v>Main Pump Drive Trans</v>
      </c>
      <c r="P792" s="1" t="str">
        <f t="shared" si="87"/>
        <v>FDB0</v>
      </c>
      <c r="Q792" s="2" t="str">
        <f t="shared" si="88"/>
        <v>FDB0Main Pump Drive Trans</v>
      </c>
      <c r="R792" s="2" t="str">
        <f>New_Xref[[#This Row],[Serial Prefix]]&amp;IF(New_Xref[[#This Row],[Func Loc]]&lt;&gt;"",New_Xref[[#This Row],[Func Loc]],"NO MATCH")</f>
        <v>FDB0NO MATCH</v>
      </c>
      <c r="S792" s="3" t="str">
        <f t="shared" si="89"/>
        <v>FDB03864902XMain Pump Drive Trans</v>
      </c>
      <c r="T792" s="3" t="s">
        <v>1234</v>
      </c>
      <c r="U792" s="3" t="s">
        <v>34</v>
      </c>
      <c r="V792" t="str">
        <f t="shared" si="90"/>
        <v>310800</v>
      </c>
    </row>
    <row r="793" spans="1:22">
      <c r="A793" t="s">
        <v>3199</v>
      </c>
      <c r="B793" t="s">
        <v>3208</v>
      </c>
      <c r="C793" t="s">
        <v>3261</v>
      </c>
      <c r="D793" t="s">
        <v>3262</v>
      </c>
      <c r="E793" t="s">
        <v>3263</v>
      </c>
      <c r="F793" t="s">
        <v>27</v>
      </c>
      <c r="G793">
        <v>1</v>
      </c>
      <c r="H793" t="s">
        <v>3264</v>
      </c>
      <c r="I793" t="s">
        <v>3267</v>
      </c>
      <c r="J793" t="s">
        <v>3268</v>
      </c>
      <c r="K793" t="s">
        <v>3269</v>
      </c>
      <c r="L793" t="s">
        <v>83</v>
      </c>
      <c r="M793" s="1" t="str">
        <f t="shared" si="84"/>
        <v>11H1083</v>
      </c>
      <c r="N793" s="1" t="str">
        <f t="shared" si="85"/>
        <v>C/O</v>
      </c>
      <c r="O793" s="1" t="str">
        <f t="shared" si="86"/>
        <v>Main P/Drive Transmission</v>
      </c>
      <c r="P793" s="1" t="str">
        <f t="shared" si="87"/>
        <v>FDB0</v>
      </c>
      <c r="Q793" s="2" t="str">
        <f t="shared" si="88"/>
        <v>FDB0Main P/Drive Transmission</v>
      </c>
      <c r="R793" s="2" t="str">
        <f>New_Xref[[#This Row],[Serial Prefix]]&amp;IF(New_Xref[[#This Row],[Func Loc]]&lt;&gt;"",New_Xref[[#This Row],[Func Loc]],"NO MATCH")</f>
        <v>FDB0NO MATCH</v>
      </c>
      <c r="S793" s="3" t="str">
        <f t="shared" si="89"/>
        <v>FDB03864902XMain P/Drive Transmission</v>
      </c>
      <c r="T793" s="3" t="s">
        <v>1234</v>
      </c>
      <c r="U793" s="3" t="s">
        <v>34</v>
      </c>
      <c r="V793" t="str">
        <f t="shared" si="90"/>
        <v>310800</v>
      </c>
    </row>
    <row r="794" spans="1:22">
      <c r="A794" t="s">
        <v>3199</v>
      </c>
      <c r="B794" t="s">
        <v>3221</v>
      </c>
      <c r="C794" t="s">
        <v>3270</v>
      </c>
      <c r="D794" t="s">
        <v>3262</v>
      </c>
      <c r="E794" t="s">
        <v>3271</v>
      </c>
      <c r="F794" t="s">
        <v>27</v>
      </c>
      <c r="G794">
        <v>1</v>
      </c>
      <c r="H794" t="s">
        <v>3264</v>
      </c>
      <c r="I794" t="s">
        <v>3272</v>
      </c>
      <c r="J794" t="s">
        <v>3273</v>
      </c>
      <c r="K794" t="s">
        <v>3274</v>
      </c>
      <c r="L794" t="s">
        <v>83</v>
      </c>
      <c r="M794" s="1" t="str">
        <f t="shared" si="84"/>
        <v>11H1082</v>
      </c>
      <c r="N794" s="1" t="str">
        <f t="shared" si="85"/>
        <v>C/O</v>
      </c>
      <c r="O794" s="1" t="str">
        <f t="shared" si="86"/>
        <v>Main P/Drive Transmission</v>
      </c>
      <c r="P794" s="1" t="str">
        <f t="shared" si="87"/>
        <v>FDB0</v>
      </c>
      <c r="Q794" s="2" t="str">
        <f t="shared" si="88"/>
        <v>FDB0Main P/Drive Transmission</v>
      </c>
      <c r="R794" s="2" t="str">
        <f>New_Xref[[#This Row],[Serial Prefix]]&amp;IF(New_Xref[[#This Row],[Func Loc]]&lt;&gt;"",New_Xref[[#This Row],[Func Loc]],"NO MATCH")</f>
        <v>FDB0NO MATCH</v>
      </c>
      <c r="S794" s="3" t="str">
        <f t="shared" si="89"/>
        <v>FDB03864902XMain P/Drive Transmission</v>
      </c>
      <c r="T794" s="3" t="s">
        <v>1234</v>
      </c>
      <c r="U794" s="3" t="s">
        <v>34</v>
      </c>
      <c r="V794" t="str">
        <f t="shared" si="90"/>
        <v>310800</v>
      </c>
    </row>
    <row r="795" spans="1:22">
      <c r="A795" t="s">
        <v>3199</v>
      </c>
      <c r="B795" t="s">
        <v>3221</v>
      </c>
      <c r="C795" t="s">
        <v>3270</v>
      </c>
      <c r="D795" t="s">
        <v>3262</v>
      </c>
      <c r="E795" t="s">
        <v>3271</v>
      </c>
      <c r="F795" t="s">
        <v>27</v>
      </c>
      <c r="G795">
        <v>1</v>
      </c>
      <c r="H795" t="s">
        <v>3264</v>
      </c>
      <c r="I795" t="s">
        <v>3272</v>
      </c>
      <c r="J795" t="s">
        <v>3273</v>
      </c>
      <c r="K795" t="s">
        <v>3272</v>
      </c>
      <c r="L795" t="s">
        <v>83</v>
      </c>
      <c r="M795" s="1" t="str">
        <f t="shared" si="84"/>
        <v>11H1082</v>
      </c>
      <c r="N795" s="1" t="str">
        <f t="shared" si="85"/>
        <v>C/O</v>
      </c>
      <c r="O795" s="1" t="str">
        <f t="shared" si="86"/>
        <v>Main Pump Drive Trans</v>
      </c>
      <c r="P795" s="1" t="str">
        <f t="shared" si="87"/>
        <v>FDB0</v>
      </c>
      <c r="Q795" s="2" t="str">
        <f t="shared" si="88"/>
        <v>FDB0Main Pump Drive Trans</v>
      </c>
      <c r="R795" s="2" t="str">
        <f>New_Xref[[#This Row],[Serial Prefix]]&amp;IF(New_Xref[[#This Row],[Func Loc]]&lt;&gt;"",New_Xref[[#This Row],[Func Loc]],"NO MATCH")</f>
        <v>FDB0NO MATCH</v>
      </c>
      <c r="S795" s="3" t="str">
        <f t="shared" si="89"/>
        <v>FDB03864902XMain Pump Drive Trans</v>
      </c>
      <c r="T795" s="3" t="s">
        <v>1234</v>
      </c>
      <c r="U795" s="3" t="s">
        <v>34</v>
      </c>
      <c r="V795" t="str">
        <f t="shared" si="90"/>
        <v>310800</v>
      </c>
    </row>
    <row r="796" spans="1:22">
      <c r="A796" t="s">
        <v>3199</v>
      </c>
      <c r="B796" t="s">
        <v>3200</v>
      </c>
      <c r="C796" t="s">
        <v>3275</v>
      </c>
      <c r="D796" t="s">
        <v>3276</v>
      </c>
      <c r="E796" t="s">
        <v>3277</v>
      </c>
      <c r="F796" t="s">
        <v>27</v>
      </c>
      <c r="G796">
        <v>1</v>
      </c>
      <c r="H796" t="s">
        <v>3278</v>
      </c>
      <c r="I796" t="s">
        <v>3279</v>
      </c>
      <c r="J796" t="s">
        <v>3280</v>
      </c>
      <c r="K796" t="s">
        <v>3279</v>
      </c>
      <c r="L796" t="s">
        <v>463</v>
      </c>
      <c r="M796" s="1" t="str">
        <f t="shared" si="84"/>
        <v>11H1018</v>
      </c>
      <c r="N796" s="1" t="str">
        <f t="shared" si="85"/>
        <v>C/O</v>
      </c>
      <c r="O796" s="1" t="str">
        <f t="shared" si="86"/>
        <v>Differential</v>
      </c>
      <c r="P796" s="1" t="str">
        <f t="shared" si="87"/>
        <v>FDB0</v>
      </c>
      <c r="Q796" s="2" t="str">
        <f t="shared" si="88"/>
        <v>FDB0Differential</v>
      </c>
      <c r="R796" s="2" t="str">
        <f>New_Xref[[#This Row],[Serial Prefix]]&amp;IF(New_Xref[[#This Row],[Func Loc]]&lt;&gt;"",New_Xref[[#This Row],[Func Loc]],"NO MATCH")</f>
        <v>FDB0FDRV .AXAR.DIFF</v>
      </c>
      <c r="S796" s="3" t="str">
        <f t="shared" si="89"/>
        <v>FDB01936222XDifferential</v>
      </c>
      <c r="T796" s="3" t="s">
        <v>464</v>
      </c>
      <c r="U796" s="3" t="s">
        <v>34</v>
      </c>
      <c r="V796" t="str">
        <f t="shared" si="90"/>
        <v>325800</v>
      </c>
    </row>
    <row r="797" spans="1:22">
      <c r="A797" t="s">
        <v>3199</v>
      </c>
      <c r="B797" t="s">
        <v>3200</v>
      </c>
      <c r="C797" t="s">
        <v>3281</v>
      </c>
      <c r="D797" t="s">
        <v>3282</v>
      </c>
      <c r="E797" t="s">
        <v>3283</v>
      </c>
      <c r="F797" t="s">
        <v>125</v>
      </c>
      <c r="G797">
        <v>1</v>
      </c>
      <c r="H797" t="s">
        <v>3284</v>
      </c>
      <c r="I797" t="s">
        <v>3285</v>
      </c>
      <c r="J797" t="s">
        <v>3286</v>
      </c>
      <c r="K797" t="s">
        <v>3285</v>
      </c>
      <c r="L797" t="s">
        <v>761</v>
      </c>
      <c r="M797" s="1" t="str">
        <f t="shared" si="84"/>
        <v>11H1018</v>
      </c>
      <c r="N797" s="1" t="str">
        <f t="shared" si="85"/>
        <v>C/O</v>
      </c>
      <c r="O797" s="1" t="str">
        <f t="shared" si="86"/>
        <v>Hub &amp; Spindle LH</v>
      </c>
      <c r="P797" s="1" t="str">
        <f t="shared" si="87"/>
        <v>FDB0</v>
      </c>
      <c r="Q797" s="2" t="str">
        <f t="shared" si="88"/>
        <v>FDB0Hub &amp; Spindle LH</v>
      </c>
      <c r="R797" s="2" t="str">
        <f>New_Xref[[#This Row],[Serial Prefix]]&amp;IF(New_Xref[[#This Row],[Func Loc]]&lt;&gt;"",New_Xref[[#This Row],[Func Loc]],"NO MATCH")</f>
        <v>FDB0FDRV .AXAF.HASL</v>
      </c>
      <c r="S797" s="3" t="str">
        <f t="shared" si="89"/>
        <v>FDB02802056XLHub &amp; Spindle LH</v>
      </c>
      <c r="T797" s="3" t="s">
        <v>88</v>
      </c>
      <c r="U797" s="3" t="s">
        <v>89</v>
      </c>
      <c r="V797" t="str">
        <f t="shared" si="90"/>
        <v>4006LF</v>
      </c>
    </row>
    <row r="798" spans="1:22">
      <c r="A798" t="s">
        <v>3199</v>
      </c>
      <c r="B798" t="s">
        <v>3200</v>
      </c>
      <c r="C798" t="s">
        <v>3287</v>
      </c>
      <c r="D798" t="s">
        <v>3288</v>
      </c>
      <c r="E798" t="s">
        <v>3283</v>
      </c>
      <c r="F798" t="s">
        <v>125</v>
      </c>
      <c r="G798">
        <v>1</v>
      </c>
      <c r="H798" t="s">
        <v>3289</v>
      </c>
      <c r="I798" t="s">
        <v>3290</v>
      </c>
      <c r="J798" t="s">
        <v>3291</v>
      </c>
      <c r="K798" t="s">
        <v>3290</v>
      </c>
      <c r="L798" t="s">
        <v>757</v>
      </c>
      <c r="M798" s="1" t="str">
        <f t="shared" si="84"/>
        <v>11H1018</v>
      </c>
      <c r="N798" s="1" t="str">
        <f t="shared" si="85"/>
        <v>C/O</v>
      </c>
      <c r="O798" s="1" t="str">
        <f t="shared" si="86"/>
        <v>Hub &amp; Spindle RH</v>
      </c>
      <c r="P798" s="1" t="str">
        <f t="shared" si="87"/>
        <v>FDB0</v>
      </c>
      <c r="Q798" s="2" t="str">
        <f t="shared" si="88"/>
        <v>FDB0Hub &amp; Spindle RH</v>
      </c>
      <c r="R798" s="2" t="str">
        <f>New_Xref[[#This Row],[Serial Prefix]]&amp;IF(New_Xref[[#This Row],[Func Loc]]&lt;&gt;"",New_Xref[[#This Row],[Func Loc]],"NO MATCH")</f>
        <v>FDB0FDRV .AXAF.HASR</v>
      </c>
      <c r="S798" s="3" t="str">
        <f t="shared" si="89"/>
        <v>FDB02802056XRHub &amp; Spindle RH</v>
      </c>
      <c r="T798" s="3" t="s">
        <v>88</v>
      </c>
      <c r="U798" s="3" t="s">
        <v>92</v>
      </c>
      <c r="V798" t="str">
        <f t="shared" si="90"/>
        <v>4006RF</v>
      </c>
    </row>
    <row r="799" spans="1:22">
      <c r="A799" t="s">
        <v>3199</v>
      </c>
      <c r="B799" t="s">
        <v>3221</v>
      </c>
      <c r="H799" t="s">
        <v>3292</v>
      </c>
      <c r="I799" t="s">
        <v>3293</v>
      </c>
      <c r="J799" t="s">
        <v>3294</v>
      </c>
      <c r="K799" t="s">
        <v>3295</v>
      </c>
      <c r="L799" t="s">
        <v>1605</v>
      </c>
      <c r="M799" s="1" t="str">
        <f t="shared" si="84"/>
        <v>11H1082</v>
      </c>
      <c r="N799" s="1" t="str">
        <f t="shared" si="85"/>
        <v>C/O</v>
      </c>
      <c r="O799" s="1" t="str">
        <f t="shared" si="86"/>
        <v>Final Drive LH</v>
      </c>
      <c r="P799" s="1" t="str">
        <f t="shared" si="87"/>
        <v>FDB0</v>
      </c>
      <c r="Q799" s="2" t="str">
        <f t="shared" si="88"/>
        <v>FDB0Final Drive LH</v>
      </c>
      <c r="R799" s="2" t="str">
        <f>New_Xref[[#This Row],[Serial Prefix]]&amp;IF(New_Xref[[#This Row],[Func Loc]]&lt;&gt;"",New_Xref[[#This Row],[Func Loc]],"NO MATCH")</f>
        <v>FDB0FDRV .AXAR.FDLH</v>
      </c>
      <c r="S799" s="3" t="str">
        <f t="shared" si="89"/>
        <v>FDB0Final Drive LH</v>
      </c>
      <c r="T799" s="3" t="s">
        <v>2105</v>
      </c>
      <c r="U799" s="3" t="s">
        <v>96</v>
      </c>
      <c r="V799" t="str">
        <f t="shared" si="90"/>
        <v>4008LR</v>
      </c>
    </row>
    <row r="800" spans="1:22">
      <c r="A800" t="s">
        <v>3199</v>
      </c>
      <c r="B800" t="s">
        <v>3221</v>
      </c>
      <c r="H800" t="s">
        <v>3292</v>
      </c>
      <c r="I800" t="s">
        <v>3296</v>
      </c>
      <c r="J800" t="s">
        <v>3297</v>
      </c>
      <c r="K800" t="s">
        <v>3298</v>
      </c>
      <c r="L800" t="s">
        <v>1608</v>
      </c>
      <c r="M800" s="1" t="str">
        <f t="shared" si="84"/>
        <v>11H1082</v>
      </c>
      <c r="N800" s="1" t="str">
        <f t="shared" si="85"/>
        <v>C/O</v>
      </c>
      <c r="O800" s="1" t="str">
        <f t="shared" si="86"/>
        <v>Final Drive RH</v>
      </c>
      <c r="P800" s="1" t="str">
        <f t="shared" si="87"/>
        <v>FDB0</v>
      </c>
      <c r="Q800" s="2" t="str">
        <f t="shared" si="88"/>
        <v>FDB0Final Drive RH</v>
      </c>
      <c r="R800" s="2" t="str">
        <f>New_Xref[[#This Row],[Serial Prefix]]&amp;IF(New_Xref[[#This Row],[Func Loc]]&lt;&gt;"",New_Xref[[#This Row],[Func Loc]],"NO MATCH")</f>
        <v>FDB0FDRV .AXAR.FDRH</v>
      </c>
      <c r="S800" s="3" t="str">
        <f t="shared" si="89"/>
        <v>FDB0Final Drive RH</v>
      </c>
      <c r="T800" s="3" t="s">
        <v>2105</v>
      </c>
      <c r="U800" s="3" t="s">
        <v>99</v>
      </c>
      <c r="V800" t="str">
        <f t="shared" si="90"/>
        <v>4008RR</v>
      </c>
    </row>
    <row r="801" spans="1:22">
      <c r="A801" t="s">
        <v>3199</v>
      </c>
      <c r="B801" t="s">
        <v>3221</v>
      </c>
      <c r="C801" t="s">
        <v>3299</v>
      </c>
      <c r="D801" t="s">
        <v>3300</v>
      </c>
      <c r="E801" t="s">
        <v>3301</v>
      </c>
      <c r="F801" t="s">
        <v>27</v>
      </c>
      <c r="G801">
        <v>1</v>
      </c>
      <c r="H801" t="s">
        <v>3302</v>
      </c>
      <c r="I801" t="s">
        <v>3303</v>
      </c>
      <c r="J801" t="s">
        <v>3304</v>
      </c>
      <c r="K801" t="s">
        <v>3303</v>
      </c>
      <c r="L801" t="s">
        <v>3305</v>
      </c>
      <c r="M801" s="1" t="str">
        <f t="shared" si="84"/>
        <v>11H1082</v>
      </c>
      <c r="N801" s="1" t="str">
        <f t="shared" si="85"/>
        <v>C/O</v>
      </c>
      <c r="O801" s="1" t="str">
        <f t="shared" si="86"/>
        <v>Brake LHF</v>
      </c>
      <c r="P801" s="1" t="str">
        <f t="shared" si="87"/>
        <v>FDB0</v>
      </c>
      <c r="Q801" s="2" t="str">
        <f t="shared" si="88"/>
        <v>FDB0Brake LHF</v>
      </c>
      <c r="R801" s="2" t="str">
        <f>New_Xref[[#This Row],[Serial Prefix]]&amp;IF(New_Xref[[#This Row],[Func Loc]]&lt;&gt;"",New_Xref[[#This Row],[Func Loc]],"NO MATCH")</f>
        <v>FDB0BRAK .SEBR.SBLF</v>
      </c>
      <c r="S801" s="3" t="str">
        <f t="shared" si="89"/>
        <v>FDB010R5395Brake LHF</v>
      </c>
      <c r="T801" s="3" t="s">
        <v>205</v>
      </c>
      <c r="U801" s="3" t="s">
        <v>89</v>
      </c>
      <c r="V801" t="str">
        <f t="shared" si="90"/>
        <v>4251LF</v>
      </c>
    </row>
    <row r="802" spans="1:22">
      <c r="A802" t="s">
        <v>3199</v>
      </c>
      <c r="B802" t="s">
        <v>3221</v>
      </c>
      <c r="C802" t="s">
        <v>3299</v>
      </c>
      <c r="D802" t="s">
        <v>3300</v>
      </c>
      <c r="E802" t="s">
        <v>3301</v>
      </c>
      <c r="F802" t="s">
        <v>27</v>
      </c>
      <c r="G802">
        <v>1</v>
      </c>
      <c r="H802" t="s">
        <v>3302</v>
      </c>
      <c r="I802" t="s">
        <v>3306</v>
      </c>
      <c r="J802" t="s">
        <v>3307</v>
      </c>
      <c r="K802" t="s">
        <v>3306</v>
      </c>
      <c r="L802" t="s">
        <v>3308</v>
      </c>
      <c r="M802" s="1" t="str">
        <f t="shared" si="84"/>
        <v>11H1082</v>
      </c>
      <c r="N802" s="1" t="str">
        <f t="shared" si="85"/>
        <v>C/O</v>
      </c>
      <c r="O802" s="1" t="str">
        <f t="shared" si="86"/>
        <v>Brake RHF</v>
      </c>
      <c r="P802" s="1" t="str">
        <f t="shared" si="87"/>
        <v>FDB0</v>
      </c>
      <c r="Q802" s="2" t="str">
        <f t="shared" si="88"/>
        <v>FDB0Brake RHF</v>
      </c>
      <c r="R802" s="2" t="str">
        <f>New_Xref[[#This Row],[Serial Prefix]]&amp;IF(New_Xref[[#This Row],[Func Loc]]&lt;&gt;"",New_Xref[[#This Row],[Func Loc]],"NO MATCH")</f>
        <v>FDB0BRAK .SEBR.SBRF</v>
      </c>
      <c r="S802" s="3" t="str">
        <f t="shared" si="89"/>
        <v>FDB010R5395Brake RHF</v>
      </c>
      <c r="T802" s="3" t="s">
        <v>205</v>
      </c>
      <c r="U802" s="3" t="s">
        <v>92</v>
      </c>
      <c r="V802" t="str">
        <f t="shared" si="90"/>
        <v>4251RF</v>
      </c>
    </row>
    <row r="803" spans="1:22">
      <c r="A803" t="s">
        <v>3199</v>
      </c>
      <c r="B803" t="s">
        <v>3200</v>
      </c>
      <c r="C803" t="s">
        <v>3309</v>
      </c>
      <c r="D803" t="s">
        <v>3310</v>
      </c>
      <c r="E803" t="s">
        <v>3311</v>
      </c>
      <c r="F803" t="s">
        <v>27</v>
      </c>
      <c r="G803">
        <v>1</v>
      </c>
      <c r="H803" t="s">
        <v>3312</v>
      </c>
      <c r="I803" t="s">
        <v>3313</v>
      </c>
      <c r="J803" t="s">
        <v>3314</v>
      </c>
      <c r="K803" t="s">
        <v>3313</v>
      </c>
      <c r="L803" t="s">
        <v>3315</v>
      </c>
      <c r="M803" s="1" t="str">
        <f t="shared" si="84"/>
        <v>11H1018</v>
      </c>
      <c r="N803" s="1" t="str">
        <f t="shared" si="85"/>
        <v>C/O</v>
      </c>
      <c r="O803" s="1" t="str">
        <f t="shared" si="86"/>
        <v>Brake Oil Cooling Pump</v>
      </c>
      <c r="P803" s="1" t="str">
        <f t="shared" si="87"/>
        <v>FDB0</v>
      </c>
      <c r="Q803" s="2" t="str">
        <f t="shared" si="88"/>
        <v>FDB0Brake Oil Cooling Pump</v>
      </c>
      <c r="R803" s="2" t="str">
        <f>New_Xref[[#This Row],[Serial Prefix]]&amp;IF(New_Xref[[#This Row],[Func Loc]]&lt;&gt;"",New_Xref[[#This Row],[Func Loc]],"NO MATCH")</f>
        <v>FDB0BRAK .PUMP.BP02</v>
      </c>
      <c r="S803" s="3" t="str">
        <f t="shared" si="89"/>
        <v>FDB020R7440Brake Oil Cooling Pump</v>
      </c>
      <c r="T803" s="3" t="s">
        <v>689</v>
      </c>
      <c r="U803" s="3" t="s">
        <v>34</v>
      </c>
      <c r="V803" t="str">
        <f t="shared" si="90"/>
        <v>426800</v>
      </c>
    </row>
    <row r="804" spans="1:22">
      <c r="A804" t="s">
        <v>3199</v>
      </c>
      <c r="B804" t="s">
        <v>3200</v>
      </c>
      <c r="C804" t="s">
        <v>3191</v>
      </c>
      <c r="D804" t="s">
        <v>3192</v>
      </c>
      <c r="E804" t="s">
        <v>3193</v>
      </c>
      <c r="F804" t="s">
        <v>27</v>
      </c>
      <c r="G804">
        <v>1</v>
      </c>
      <c r="H804" t="s">
        <v>3316</v>
      </c>
      <c r="I804" t="s">
        <v>3317</v>
      </c>
      <c r="J804" t="s">
        <v>3318</v>
      </c>
      <c r="K804" t="s">
        <v>3317</v>
      </c>
      <c r="L804" t="s">
        <v>767</v>
      </c>
      <c r="M804" s="1" t="str">
        <f t="shared" si="84"/>
        <v>11H1018</v>
      </c>
      <c r="N804" s="1" t="str">
        <f t="shared" si="85"/>
        <v>C/O</v>
      </c>
      <c r="O804" s="1" t="str">
        <f t="shared" si="86"/>
        <v>Steering Cylinder LH</v>
      </c>
      <c r="P804" s="1" t="str">
        <f t="shared" si="87"/>
        <v>FDB0</v>
      </c>
      <c r="Q804" s="2" t="str">
        <f t="shared" si="88"/>
        <v>FDB0Steering Cylinder LH</v>
      </c>
      <c r="R804" s="2" t="str">
        <f>New_Xref[[#This Row],[Serial Prefix]]&amp;IF(New_Xref[[#This Row],[Func Loc]]&lt;&gt;"",New_Xref[[#This Row],[Func Loc]],"NO MATCH")</f>
        <v>FDB0STRG .CYLI.SC01</v>
      </c>
      <c r="S804" s="3" t="str">
        <f t="shared" si="89"/>
        <v>FDB09T8912XSteering Cylinder LH</v>
      </c>
      <c r="T804" s="3" t="s">
        <v>107</v>
      </c>
      <c r="U804" s="3" t="s">
        <v>108</v>
      </c>
      <c r="V804" t="str">
        <f t="shared" si="90"/>
        <v>4303LT</v>
      </c>
    </row>
    <row r="805" spans="1:22">
      <c r="A805" t="s">
        <v>3199</v>
      </c>
      <c r="B805" t="s">
        <v>3200</v>
      </c>
      <c r="C805" t="s">
        <v>3191</v>
      </c>
      <c r="D805" t="s">
        <v>3192</v>
      </c>
      <c r="E805" t="s">
        <v>3193</v>
      </c>
      <c r="F805" t="s">
        <v>27</v>
      </c>
      <c r="G805">
        <v>1</v>
      </c>
      <c r="H805" t="s">
        <v>3316</v>
      </c>
      <c r="I805" t="s">
        <v>3319</v>
      </c>
      <c r="J805" t="s">
        <v>3320</v>
      </c>
      <c r="K805" t="s">
        <v>3319</v>
      </c>
      <c r="L805" t="s">
        <v>770</v>
      </c>
      <c r="M805" s="1" t="str">
        <f t="shared" si="84"/>
        <v>11H1018</v>
      </c>
      <c r="N805" s="1" t="str">
        <f t="shared" si="85"/>
        <v>C/O</v>
      </c>
      <c r="O805" s="1" t="str">
        <f t="shared" si="86"/>
        <v>Steering Cylinder RH</v>
      </c>
      <c r="P805" s="1" t="str">
        <f t="shared" si="87"/>
        <v>FDB0</v>
      </c>
      <c r="Q805" s="2" t="str">
        <f t="shared" si="88"/>
        <v>FDB0Steering Cylinder RH</v>
      </c>
      <c r="R805" s="2" t="str">
        <f>New_Xref[[#This Row],[Serial Prefix]]&amp;IF(New_Xref[[#This Row],[Func Loc]]&lt;&gt;"",New_Xref[[#This Row],[Func Loc]],"NO MATCH")</f>
        <v>FDB0STRG .CYLI.SC02</v>
      </c>
      <c r="S805" s="3" t="str">
        <f t="shared" si="89"/>
        <v>FDB09T8912XSteering Cylinder RH</v>
      </c>
      <c r="T805" s="3" t="s">
        <v>107</v>
      </c>
      <c r="U805" s="3" t="s">
        <v>115</v>
      </c>
      <c r="V805" t="str">
        <f t="shared" si="90"/>
        <v>4303RI</v>
      </c>
    </row>
    <row r="806" spans="1:22">
      <c r="A806" t="s">
        <v>3199</v>
      </c>
      <c r="B806" t="s">
        <v>3200</v>
      </c>
      <c r="C806" t="s">
        <v>3321</v>
      </c>
      <c r="D806" t="s">
        <v>3322</v>
      </c>
      <c r="E806" t="s">
        <v>774</v>
      </c>
      <c r="F806" t="s">
        <v>27</v>
      </c>
      <c r="G806">
        <v>1</v>
      </c>
      <c r="H806" t="s">
        <v>3323</v>
      </c>
      <c r="I806" t="s">
        <v>3324</v>
      </c>
      <c r="J806" t="s">
        <v>3325</v>
      </c>
      <c r="K806" t="s">
        <v>3324</v>
      </c>
      <c r="L806" t="s">
        <v>778</v>
      </c>
      <c r="M806" s="1" t="str">
        <f t="shared" si="84"/>
        <v>11H1018</v>
      </c>
      <c r="N806" s="1" t="str">
        <f t="shared" si="85"/>
        <v>C/O</v>
      </c>
      <c r="O806" s="1" t="str">
        <f t="shared" si="86"/>
        <v>Suspension LHF</v>
      </c>
      <c r="P806" s="1" t="str">
        <f t="shared" si="87"/>
        <v>FDB0</v>
      </c>
      <c r="Q806" s="2" t="str">
        <f t="shared" si="88"/>
        <v>FDB0Suspension LHF</v>
      </c>
      <c r="R806" s="2" t="str">
        <f>New_Xref[[#This Row],[Serial Prefix]]&amp;IF(New_Xref[[#This Row],[Func Loc]]&lt;&gt;"",New_Xref[[#This Row],[Func Loc]],"NO MATCH")</f>
        <v>FDB0STRU .SUGR.SG01</v>
      </c>
      <c r="S806" s="3" t="str">
        <f t="shared" si="89"/>
        <v>FDB09T8910XSuspension LHF</v>
      </c>
      <c r="T806" s="3" t="s">
        <v>511</v>
      </c>
      <c r="U806" s="3" t="s">
        <v>89</v>
      </c>
      <c r="V806" t="str">
        <f t="shared" si="90"/>
        <v>7201LF</v>
      </c>
    </row>
    <row r="807" spans="1:22">
      <c r="A807" t="s">
        <v>3199</v>
      </c>
      <c r="B807" t="s">
        <v>3200</v>
      </c>
      <c r="C807" t="s">
        <v>3321</v>
      </c>
      <c r="D807" t="s">
        <v>3322</v>
      </c>
      <c r="E807" t="s">
        <v>774</v>
      </c>
      <c r="F807" t="s">
        <v>27</v>
      </c>
      <c r="G807">
        <v>1</v>
      </c>
      <c r="H807" t="s">
        <v>3323</v>
      </c>
      <c r="I807" t="s">
        <v>3326</v>
      </c>
      <c r="J807" t="s">
        <v>3327</v>
      </c>
      <c r="K807" t="s">
        <v>3326</v>
      </c>
      <c r="L807" t="s">
        <v>781</v>
      </c>
      <c r="M807" s="1" t="str">
        <f t="shared" si="84"/>
        <v>11H1018</v>
      </c>
      <c r="N807" s="1" t="str">
        <f t="shared" si="85"/>
        <v>C/O</v>
      </c>
      <c r="O807" s="1" t="str">
        <f t="shared" si="86"/>
        <v>Suspension RHF</v>
      </c>
      <c r="P807" s="1" t="str">
        <f t="shared" si="87"/>
        <v>FDB0</v>
      </c>
      <c r="Q807" s="2" t="str">
        <f t="shared" si="88"/>
        <v>FDB0Suspension RHF</v>
      </c>
      <c r="R807" s="2" t="str">
        <f>New_Xref[[#This Row],[Serial Prefix]]&amp;IF(New_Xref[[#This Row],[Func Loc]]&lt;&gt;"",New_Xref[[#This Row],[Func Loc]],"NO MATCH")</f>
        <v>FDB0STRU .SUGR.SG02</v>
      </c>
      <c r="S807" s="3" t="str">
        <f t="shared" si="89"/>
        <v>FDB09T8910XSuspension RHF</v>
      </c>
      <c r="T807" s="3" t="s">
        <v>511</v>
      </c>
      <c r="U807" s="3" t="s">
        <v>92</v>
      </c>
      <c r="V807" t="str">
        <f t="shared" si="90"/>
        <v>7201RF</v>
      </c>
    </row>
    <row r="808" spans="1:22">
      <c r="A808" t="s">
        <v>3199</v>
      </c>
      <c r="B808" t="s">
        <v>3200</v>
      </c>
      <c r="H808" t="s">
        <v>3328</v>
      </c>
      <c r="I808" t="s">
        <v>3329</v>
      </c>
      <c r="J808" t="s">
        <v>3330</v>
      </c>
      <c r="K808" t="s">
        <v>3329</v>
      </c>
      <c r="L808" t="s">
        <v>788</v>
      </c>
      <c r="M808" s="1" t="str">
        <f t="shared" si="84"/>
        <v>11H1018</v>
      </c>
      <c r="N808" s="1" t="str">
        <f t="shared" si="85"/>
        <v>C/O</v>
      </c>
      <c r="O808" s="1" t="str">
        <f t="shared" si="86"/>
        <v>Suspension LHR</v>
      </c>
      <c r="P808" s="1" t="str">
        <f t="shared" si="87"/>
        <v>FDB0</v>
      </c>
      <c r="Q808" s="2" t="str">
        <f t="shared" si="88"/>
        <v>FDB0Suspension LHR</v>
      </c>
      <c r="R808" s="2" t="str">
        <f>New_Xref[[#This Row],[Serial Prefix]]&amp;IF(New_Xref[[#This Row],[Func Loc]]&lt;&gt;"",New_Xref[[#This Row],[Func Loc]],"NO MATCH")</f>
        <v>FDB0STRU .SUGR.SG03</v>
      </c>
      <c r="S808" s="3" t="str">
        <f t="shared" si="89"/>
        <v>FDB0Suspension LHR</v>
      </c>
      <c r="T808" s="3" t="s">
        <v>521</v>
      </c>
      <c r="U808" s="3" t="s">
        <v>96</v>
      </c>
      <c r="V808" t="str">
        <f t="shared" si="90"/>
        <v>7213LR</v>
      </c>
    </row>
    <row r="809" spans="1:22">
      <c r="A809" t="s">
        <v>3199</v>
      </c>
      <c r="B809" t="s">
        <v>3200</v>
      </c>
      <c r="H809" t="s">
        <v>3328</v>
      </c>
      <c r="I809" t="s">
        <v>3331</v>
      </c>
      <c r="J809" t="s">
        <v>3332</v>
      </c>
      <c r="K809" t="s">
        <v>3331</v>
      </c>
      <c r="L809" t="s">
        <v>791</v>
      </c>
      <c r="M809" s="1" t="str">
        <f t="shared" si="84"/>
        <v>11H1018</v>
      </c>
      <c r="N809" s="1" t="str">
        <f t="shared" si="85"/>
        <v>C/O</v>
      </c>
      <c r="O809" s="1" t="str">
        <f t="shared" si="86"/>
        <v>Suspension RHR</v>
      </c>
      <c r="P809" s="1" t="str">
        <f t="shared" si="87"/>
        <v>FDB0</v>
      </c>
      <c r="Q809" s="2" t="str">
        <f t="shared" si="88"/>
        <v>FDB0Suspension RHR</v>
      </c>
      <c r="R809" s="2" t="str">
        <f>New_Xref[[#This Row],[Serial Prefix]]&amp;IF(New_Xref[[#This Row],[Func Loc]]&lt;&gt;"",New_Xref[[#This Row],[Func Loc]],"NO MATCH")</f>
        <v>FDB0STRU .SUGR.SG04</v>
      </c>
      <c r="S809" s="3" t="str">
        <f t="shared" si="89"/>
        <v>FDB0Suspension RHR</v>
      </c>
      <c r="T809" s="3" t="s">
        <v>521</v>
      </c>
      <c r="U809" s="3" t="s">
        <v>99</v>
      </c>
      <c r="V809" t="str">
        <f t="shared" si="90"/>
        <v>7213RR</v>
      </c>
    </row>
    <row r="810" spans="1:22">
      <c r="A810" t="s">
        <v>3333</v>
      </c>
      <c r="B810" t="s">
        <v>3334</v>
      </c>
      <c r="C810" t="s">
        <v>3335</v>
      </c>
      <c r="D810" t="s">
        <v>3336</v>
      </c>
      <c r="E810" t="s">
        <v>3337</v>
      </c>
      <c r="F810" t="s">
        <v>27</v>
      </c>
      <c r="G810">
        <v>1</v>
      </c>
      <c r="H810" t="s">
        <v>3338</v>
      </c>
      <c r="I810" t="s">
        <v>3339</v>
      </c>
      <c r="J810" t="s">
        <v>3340</v>
      </c>
      <c r="K810" t="s">
        <v>3341</v>
      </c>
      <c r="L810" t="s">
        <v>32</v>
      </c>
      <c r="M810" s="1" t="str">
        <f t="shared" si="84"/>
        <v>06B352</v>
      </c>
      <c r="N810" s="1" t="str">
        <f t="shared" si="85"/>
        <v>C/O</v>
      </c>
      <c r="O810" s="1" t="str">
        <f t="shared" si="86"/>
        <v>Engine</v>
      </c>
      <c r="P810" s="1" t="str">
        <f t="shared" si="87"/>
        <v>RBT0</v>
      </c>
      <c r="Q810" s="2" t="str">
        <f t="shared" si="88"/>
        <v>RBT0Engine</v>
      </c>
      <c r="R810" s="2" t="str">
        <f>New_Xref[[#This Row],[Serial Prefix]]&amp;IF(New_Xref[[#This Row],[Func Loc]]&lt;&gt;"",New_Xref[[#This Row],[Func Loc]],"NO MATCH")</f>
        <v>RBT0ENGD</v>
      </c>
      <c r="S810" s="3" t="str">
        <f t="shared" si="89"/>
        <v>RBT05632134XEngine</v>
      </c>
      <c r="T810" s="3" t="s">
        <v>33</v>
      </c>
      <c r="U810" s="3" t="s">
        <v>34</v>
      </c>
      <c r="V810" t="str">
        <f t="shared" si="90"/>
        <v>100000</v>
      </c>
    </row>
    <row r="811" spans="1:22">
      <c r="A811" t="s">
        <v>3333</v>
      </c>
      <c r="B811" t="s">
        <v>3342</v>
      </c>
      <c r="C811" t="s">
        <v>3335</v>
      </c>
      <c r="D811" t="s">
        <v>3336</v>
      </c>
      <c r="E811" t="s">
        <v>3337</v>
      </c>
      <c r="F811" t="s">
        <v>27</v>
      </c>
      <c r="G811">
        <v>1</v>
      </c>
      <c r="H811" t="s">
        <v>3343</v>
      </c>
      <c r="I811" t="s">
        <v>3344</v>
      </c>
      <c r="J811" t="s">
        <v>3345</v>
      </c>
      <c r="K811" t="s">
        <v>3346</v>
      </c>
      <c r="L811" t="s">
        <v>32</v>
      </c>
      <c r="M811" s="1" t="str">
        <f t="shared" si="84"/>
        <v>06H545</v>
      </c>
      <c r="N811" s="1" t="str">
        <f t="shared" si="85"/>
        <v>C/O</v>
      </c>
      <c r="O811" s="1" t="str">
        <f t="shared" si="86"/>
        <v>Engine</v>
      </c>
      <c r="P811" s="1" t="str">
        <f t="shared" si="87"/>
        <v>SSP0</v>
      </c>
      <c r="Q811" s="2" t="str">
        <f t="shared" si="88"/>
        <v>SSP0Engine</v>
      </c>
      <c r="R811" s="2" t="str">
        <f>New_Xref[[#This Row],[Serial Prefix]]&amp;IF(New_Xref[[#This Row],[Func Loc]]&lt;&gt;"",New_Xref[[#This Row],[Func Loc]],"NO MATCH")</f>
        <v>SSP0ENGD</v>
      </c>
      <c r="S811" s="3" t="str">
        <f t="shared" si="89"/>
        <v>SSP05632134XEngine</v>
      </c>
      <c r="T811" s="3" t="s">
        <v>33</v>
      </c>
      <c r="U811" s="3" t="s">
        <v>34</v>
      </c>
      <c r="V811" t="str">
        <f t="shared" si="90"/>
        <v>100000</v>
      </c>
    </row>
    <row r="812" spans="1:22">
      <c r="A812" t="s">
        <v>3333</v>
      </c>
      <c r="B812" t="s">
        <v>3347</v>
      </c>
      <c r="C812" t="s">
        <v>3348</v>
      </c>
      <c r="D812" t="s">
        <v>3349</v>
      </c>
      <c r="E812" t="s">
        <v>58</v>
      </c>
      <c r="F812" t="s">
        <v>27</v>
      </c>
      <c r="G812">
        <v>16</v>
      </c>
      <c r="H812" t="s">
        <v>3350</v>
      </c>
      <c r="I812" t="s">
        <v>3351</v>
      </c>
      <c r="J812" t="s">
        <v>3352</v>
      </c>
      <c r="K812" t="s">
        <v>3353</v>
      </c>
      <c r="L812" t="s">
        <v>62</v>
      </c>
      <c r="M812" s="1" t="str">
        <f t="shared" si="84"/>
        <v>06H312</v>
      </c>
      <c r="N812" s="1" t="str">
        <f t="shared" si="85"/>
        <v>C/O</v>
      </c>
      <c r="O812" s="1" t="str">
        <f t="shared" si="86"/>
        <v>Engine Fuel Injectors</v>
      </c>
      <c r="P812" s="1" t="str">
        <f t="shared" si="87"/>
        <v>RBT0</v>
      </c>
      <c r="Q812" s="2" t="str">
        <f t="shared" si="88"/>
        <v>RBT0Engine Fuel Injectors</v>
      </c>
      <c r="R812" s="2" t="str">
        <f>New_Xref[[#This Row],[Serial Prefix]]&amp;IF(New_Xref[[#This Row],[Func Loc]]&lt;&gt;"",New_Xref[[#This Row],[Func Loc]],"NO MATCH")</f>
        <v>RBT0ENGD .FUEL.INJE</v>
      </c>
      <c r="S812" s="3" t="str">
        <f t="shared" si="89"/>
        <v>RBT020R5566Engine Fuel Injectors</v>
      </c>
      <c r="T812" s="3" t="s">
        <v>63</v>
      </c>
      <c r="U812" s="3" t="s">
        <v>34</v>
      </c>
      <c r="V812" t="str">
        <f t="shared" si="90"/>
        <v>125100</v>
      </c>
    </row>
    <row r="813" spans="1:22">
      <c r="A813" t="s">
        <v>3333</v>
      </c>
      <c r="B813" t="s">
        <v>3334</v>
      </c>
      <c r="C813" t="s">
        <v>3354</v>
      </c>
      <c r="D813" t="s">
        <v>3355</v>
      </c>
      <c r="E813" t="s">
        <v>3356</v>
      </c>
      <c r="F813" t="s">
        <v>27</v>
      </c>
      <c r="G813">
        <v>1</v>
      </c>
      <c r="H813" t="s">
        <v>3357</v>
      </c>
      <c r="I813" t="s">
        <v>3339</v>
      </c>
      <c r="J813" t="s">
        <v>3358</v>
      </c>
      <c r="K813" t="s">
        <v>3359</v>
      </c>
      <c r="L813" t="s">
        <v>83</v>
      </c>
      <c r="M813" s="1" t="str">
        <f t="shared" si="84"/>
        <v>06B352</v>
      </c>
      <c r="N813" s="1" t="str">
        <f t="shared" si="85"/>
        <v>C/O</v>
      </c>
      <c r="O813" s="1" t="str">
        <f t="shared" si="86"/>
        <v>Engine Radiator Module</v>
      </c>
      <c r="P813" s="1" t="str">
        <f t="shared" si="87"/>
        <v>RBT0</v>
      </c>
      <c r="Q813" s="2" t="str">
        <f t="shared" si="88"/>
        <v>RBT0Engine Radiator Module</v>
      </c>
      <c r="R813" s="2" t="str">
        <f>New_Xref[[#This Row],[Serial Prefix]]&amp;IF(New_Xref[[#This Row],[Func Loc]]&lt;&gt;"",New_Xref[[#This Row],[Func Loc]],"NO MATCH")</f>
        <v>RBT0NO MATCH</v>
      </c>
      <c r="S813" s="3" t="str">
        <f t="shared" si="89"/>
        <v>RBT03377882FEngine Radiator Module</v>
      </c>
      <c r="T813" s="3" t="s">
        <v>68</v>
      </c>
      <c r="U813" s="3" t="s">
        <v>34</v>
      </c>
      <c r="V813" t="str">
        <f t="shared" si="90"/>
        <v>135300</v>
      </c>
    </row>
    <row r="814" spans="1:22">
      <c r="A814" t="s">
        <v>3333</v>
      </c>
      <c r="B814" t="s">
        <v>3342</v>
      </c>
      <c r="C814" t="s">
        <v>3354</v>
      </c>
      <c r="D814" t="s">
        <v>3355</v>
      </c>
      <c r="E814" t="s">
        <v>3360</v>
      </c>
      <c r="F814" t="s">
        <v>27</v>
      </c>
      <c r="G814">
        <v>1</v>
      </c>
      <c r="H814" t="s">
        <v>3361</v>
      </c>
      <c r="I814" t="s">
        <v>3344</v>
      </c>
      <c r="J814" t="s">
        <v>3362</v>
      </c>
      <c r="K814" t="s">
        <v>3363</v>
      </c>
      <c r="L814" t="s">
        <v>83</v>
      </c>
      <c r="M814" s="1" t="str">
        <f t="shared" si="84"/>
        <v>06H545</v>
      </c>
      <c r="N814" s="1" t="str">
        <f t="shared" si="85"/>
        <v>C/O</v>
      </c>
      <c r="O814" s="1" t="str">
        <f t="shared" si="86"/>
        <v>Engine Radiator Module</v>
      </c>
      <c r="P814" s="1" t="str">
        <f t="shared" si="87"/>
        <v>SSP0</v>
      </c>
      <c r="Q814" s="2" t="str">
        <f t="shared" si="88"/>
        <v>SSP0Engine Radiator Module</v>
      </c>
      <c r="R814" s="2" t="str">
        <f>New_Xref[[#This Row],[Serial Prefix]]&amp;IF(New_Xref[[#This Row],[Func Loc]]&lt;&gt;"",New_Xref[[#This Row],[Func Loc]],"NO MATCH")</f>
        <v>SSP0NO MATCH</v>
      </c>
      <c r="S814" s="3" t="str">
        <f t="shared" si="89"/>
        <v>SSP03377882FEngine Radiator Module</v>
      </c>
      <c r="T814" s="3" t="s">
        <v>68</v>
      </c>
      <c r="U814" s="3" t="s">
        <v>34</v>
      </c>
      <c r="V814" t="str">
        <f t="shared" si="90"/>
        <v>135300</v>
      </c>
    </row>
    <row r="815" spans="1:22">
      <c r="A815" t="s">
        <v>3333</v>
      </c>
      <c r="B815" t="s">
        <v>3347</v>
      </c>
      <c r="C815" t="s">
        <v>3364</v>
      </c>
      <c r="D815" t="s">
        <v>3365</v>
      </c>
      <c r="E815" t="s">
        <v>832</v>
      </c>
      <c r="F815" t="s">
        <v>27</v>
      </c>
      <c r="G815">
        <v>1</v>
      </c>
      <c r="H815" t="s">
        <v>3366</v>
      </c>
      <c r="I815" t="s">
        <v>3351</v>
      </c>
      <c r="J815" t="s">
        <v>3367</v>
      </c>
      <c r="K815" t="s">
        <v>3368</v>
      </c>
      <c r="L815" t="s">
        <v>739</v>
      </c>
      <c r="M815" s="1" t="str">
        <f t="shared" si="84"/>
        <v>06H312</v>
      </c>
      <c r="N815" s="1" t="str">
        <f t="shared" si="85"/>
        <v>C/O</v>
      </c>
      <c r="O815" s="1" t="str">
        <f t="shared" si="86"/>
        <v>Engine Water Pump Main</v>
      </c>
      <c r="P815" s="1" t="str">
        <f t="shared" si="87"/>
        <v>RBT0</v>
      </c>
      <c r="Q815" s="2" t="str">
        <f t="shared" si="88"/>
        <v>RBT0Engine Water Pump Main</v>
      </c>
      <c r="R815" s="2" t="str">
        <f>New_Xref[[#This Row],[Serial Prefix]]&amp;IF(New_Xref[[#This Row],[Func Loc]]&lt;&gt;"",New_Xref[[#This Row],[Func Loc]],"NO MATCH")</f>
        <v>RBT0ENGD .WAPU.WP01</v>
      </c>
      <c r="S815" s="3" t="str">
        <f t="shared" si="89"/>
        <v>RBT010R9042Engine Water Pump Main</v>
      </c>
      <c r="T815" s="3" t="s">
        <v>183</v>
      </c>
      <c r="U815" s="3" t="s">
        <v>34</v>
      </c>
      <c r="V815" t="str">
        <f t="shared" si="90"/>
        <v>136100</v>
      </c>
    </row>
    <row r="816" spans="1:22">
      <c r="A816" t="s">
        <v>3333</v>
      </c>
      <c r="B816" t="s">
        <v>3334</v>
      </c>
      <c r="C816" t="s">
        <v>3369</v>
      </c>
      <c r="D816" t="s">
        <v>3370</v>
      </c>
      <c r="E816" t="s">
        <v>3371</v>
      </c>
      <c r="F816" t="s">
        <v>27</v>
      </c>
      <c r="G816">
        <v>1</v>
      </c>
      <c r="H816" t="s">
        <v>3372</v>
      </c>
      <c r="I816" t="s">
        <v>3373</v>
      </c>
      <c r="J816" t="s">
        <v>3374</v>
      </c>
      <c r="K816" t="s">
        <v>3375</v>
      </c>
      <c r="L816" t="s">
        <v>83</v>
      </c>
      <c r="M816" s="1" t="str">
        <f t="shared" si="84"/>
        <v>06B352</v>
      </c>
      <c r="N816" s="1" t="str">
        <f t="shared" si="85"/>
        <v>C/O</v>
      </c>
      <c r="O816" s="1" t="str">
        <f t="shared" si="86"/>
        <v>LV Alt, Tensioner &amp; Belt</v>
      </c>
      <c r="P816" s="1" t="str">
        <f t="shared" si="87"/>
        <v>RBT0</v>
      </c>
      <c r="Q816" s="2" t="str">
        <f t="shared" si="88"/>
        <v>RBT0LV Alt, Tensioner &amp; Belt</v>
      </c>
      <c r="R816" s="2" t="str">
        <f>New_Xref[[#This Row],[Serial Prefix]]&amp;IF(New_Xref[[#This Row],[Func Loc]]&lt;&gt;"",New_Xref[[#This Row],[Func Loc]],"NO MATCH")</f>
        <v>RBT0NO MATCH</v>
      </c>
      <c r="S816" s="3" t="str">
        <f t="shared" si="89"/>
        <v>RBT04217193LV Alt, Tensioner &amp; Belt</v>
      </c>
      <c r="T816" s="3" t="s">
        <v>3376</v>
      </c>
      <c r="U816" s="3" t="s">
        <v>34</v>
      </c>
      <c r="V816" t="str">
        <f t="shared" si="90"/>
        <v>140500</v>
      </c>
    </row>
    <row r="817" spans="1:22">
      <c r="A817" t="s">
        <v>3333</v>
      </c>
      <c r="B817" t="s">
        <v>3377</v>
      </c>
      <c r="C817" t="s">
        <v>3369</v>
      </c>
      <c r="D817" t="s">
        <v>3370</v>
      </c>
      <c r="E817" t="s">
        <v>3371</v>
      </c>
      <c r="F817" t="s">
        <v>27</v>
      </c>
      <c r="G817">
        <v>1</v>
      </c>
      <c r="H817" t="s">
        <v>3378</v>
      </c>
      <c r="I817" t="s">
        <v>3379</v>
      </c>
      <c r="J817" t="s">
        <v>3380</v>
      </c>
      <c r="K817" t="s">
        <v>3381</v>
      </c>
      <c r="L817" t="s">
        <v>83</v>
      </c>
      <c r="M817" s="1" t="str">
        <f t="shared" si="84"/>
        <v>06H262</v>
      </c>
      <c r="N817" s="1" t="str">
        <f t="shared" si="85"/>
        <v>C/O</v>
      </c>
      <c r="O817" s="1" t="str">
        <f t="shared" si="86"/>
        <v>LV Alt, Tensioner &amp; Belt</v>
      </c>
      <c r="P817" s="1" t="str">
        <f t="shared" si="87"/>
        <v>SSP0</v>
      </c>
      <c r="Q817" s="2" t="str">
        <f t="shared" si="88"/>
        <v>SSP0LV Alt, Tensioner &amp; Belt</v>
      </c>
      <c r="R817" s="2" t="str">
        <f>New_Xref[[#This Row],[Serial Prefix]]&amp;IF(New_Xref[[#This Row],[Func Loc]]&lt;&gt;"",New_Xref[[#This Row],[Func Loc]],"NO MATCH")</f>
        <v>SSP0NO MATCH</v>
      </c>
      <c r="S817" s="3" t="str">
        <f t="shared" si="89"/>
        <v>SSP04217193LV Alt, Tensioner &amp; Belt</v>
      </c>
      <c r="T817" s="3" t="s">
        <v>3376</v>
      </c>
      <c r="U817" s="3" t="s">
        <v>34</v>
      </c>
      <c r="V817" t="str">
        <f t="shared" si="90"/>
        <v>140500</v>
      </c>
    </row>
    <row r="818" spans="1:22">
      <c r="A818" t="s">
        <v>3333</v>
      </c>
      <c r="B818" t="s">
        <v>3382</v>
      </c>
      <c r="C818" t="s">
        <v>875</v>
      </c>
      <c r="D818" t="s">
        <v>876</v>
      </c>
      <c r="E818" t="s">
        <v>3383</v>
      </c>
      <c r="F818" t="s">
        <v>27</v>
      </c>
      <c r="G818">
        <v>1</v>
      </c>
      <c r="H818" t="s">
        <v>3384</v>
      </c>
      <c r="I818" t="s">
        <v>3385</v>
      </c>
      <c r="J818" t="s">
        <v>3386</v>
      </c>
      <c r="K818" t="s">
        <v>3387</v>
      </c>
      <c r="L818" t="s">
        <v>3388</v>
      </c>
      <c r="M818" s="1" t="str">
        <f t="shared" si="84"/>
        <v>06H111</v>
      </c>
      <c r="N818" s="1" t="str">
        <f t="shared" si="85"/>
        <v>C/O</v>
      </c>
      <c r="O818" s="1" t="str">
        <f t="shared" si="86"/>
        <v>Starter Motor LH</v>
      </c>
      <c r="P818" s="1" t="str">
        <f t="shared" si="87"/>
        <v>RBT0</v>
      </c>
      <c r="Q818" s="2" t="str">
        <f t="shared" si="88"/>
        <v>RBT0Starter Motor LH</v>
      </c>
      <c r="R818" s="2" t="str">
        <f>New_Xref[[#This Row],[Serial Prefix]]&amp;IF(New_Xref[[#This Row],[Func Loc]]&lt;&gt;"",New_Xref[[#This Row],[Func Loc]],"NO MATCH")</f>
        <v>RBT0LVEL .STSY.STML</v>
      </c>
      <c r="S818" s="3" t="str">
        <f t="shared" si="89"/>
        <v>RBT020R1312Starter Motor LH</v>
      </c>
      <c r="T818" s="3" t="s">
        <v>881</v>
      </c>
      <c r="U818" s="3" t="s">
        <v>108</v>
      </c>
      <c r="V818" t="str">
        <f t="shared" si="90"/>
        <v>1453LT</v>
      </c>
    </row>
    <row r="819" spans="1:22">
      <c r="A819" t="s">
        <v>3333</v>
      </c>
      <c r="B819" t="s">
        <v>3334</v>
      </c>
      <c r="C819" t="s">
        <v>875</v>
      </c>
      <c r="D819" t="s">
        <v>876</v>
      </c>
      <c r="E819" t="s">
        <v>877</v>
      </c>
      <c r="F819" t="s">
        <v>27</v>
      </c>
      <c r="G819">
        <v>2</v>
      </c>
      <c r="H819" t="s">
        <v>3384</v>
      </c>
      <c r="I819" t="s">
        <v>3339</v>
      </c>
      <c r="J819" t="s">
        <v>3389</v>
      </c>
      <c r="K819" t="s">
        <v>3390</v>
      </c>
      <c r="L819" t="s">
        <v>3391</v>
      </c>
      <c r="M819" s="1" t="str">
        <f t="shared" si="84"/>
        <v>06B352</v>
      </c>
      <c r="N819" s="1" t="str">
        <f t="shared" si="85"/>
        <v>C/O</v>
      </c>
      <c r="O819" s="1" t="str">
        <f t="shared" si="86"/>
        <v>Starter Motors</v>
      </c>
      <c r="P819" s="1" t="str">
        <f t="shared" si="87"/>
        <v>RBT0</v>
      </c>
      <c r="Q819" s="2" t="str">
        <f t="shared" si="88"/>
        <v>RBT0Starter Motors</v>
      </c>
      <c r="R819" s="2" t="str">
        <f>New_Xref[[#This Row],[Serial Prefix]]&amp;IF(New_Xref[[#This Row],[Func Loc]]&lt;&gt;"",New_Xref[[#This Row],[Func Loc]],"NO MATCH")</f>
        <v>RBT0LVEL .STSY</v>
      </c>
      <c r="S819" s="3" t="str">
        <f t="shared" si="89"/>
        <v>RBT020R1312Starter Motors</v>
      </c>
      <c r="T819" s="3" t="s">
        <v>881</v>
      </c>
      <c r="U819" s="3" t="s">
        <v>34</v>
      </c>
      <c r="V819" t="str">
        <f t="shared" si="90"/>
        <v>145300</v>
      </c>
    </row>
    <row r="820" spans="1:22">
      <c r="A820" t="s">
        <v>3333</v>
      </c>
      <c r="B820" t="s">
        <v>3377</v>
      </c>
      <c r="C820" t="s">
        <v>875</v>
      </c>
      <c r="D820" t="s">
        <v>876</v>
      </c>
      <c r="E820" t="s">
        <v>3383</v>
      </c>
      <c r="F820" t="s">
        <v>27</v>
      </c>
      <c r="G820">
        <v>1</v>
      </c>
      <c r="H820" t="s">
        <v>3392</v>
      </c>
      <c r="I820" t="s">
        <v>3393</v>
      </c>
      <c r="J820" t="s">
        <v>3394</v>
      </c>
      <c r="K820" t="s">
        <v>3395</v>
      </c>
      <c r="L820" t="s">
        <v>3391</v>
      </c>
      <c r="M820" s="1" t="str">
        <f t="shared" si="84"/>
        <v>06H262</v>
      </c>
      <c r="N820" s="1" t="str">
        <f t="shared" si="85"/>
        <v>C/O</v>
      </c>
      <c r="O820" s="1" t="str">
        <f t="shared" si="86"/>
        <v>Starter Motors</v>
      </c>
      <c r="P820" s="1" t="str">
        <f t="shared" si="87"/>
        <v>SSP0</v>
      </c>
      <c r="Q820" s="2" t="str">
        <f t="shared" si="88"/>
        <v>SSP0Starter Motors</v>
      </c>
      <c r="R820" s="2" t="str">
        <f>New_Xref[[#This Row],[Serial Prefix]]&amp;IF(New_Xref[[#This Row],[Func Loc]]&lt;&gt;"",New_Xref[[#This Row],[Func Loc]],"NO MATCH")</f>
        <v>SSP0LVEL .STSY</v>
      </c>
      <c r="S820" s="3" t="str">
        <f t="shared" si="89"/>
        <v>SSP020R1312Starter Motors</v>
      </c>
      <c r="T820" s="3" t="s">
        <v>881</v>
      </c>
      <c r="U820" s="3" t="s">
        <v>108</v>
      </c>
      <c r="V820" t="str">
        <f t="shared" si="90"/>
        <v>1453LT</v>
      </c>
    </row>
    <row r="821" spans="1:22">
      <c r="A821" t="s">
        <v>3333</v>
      </c>
      <c r="B821" t="s">
        <v>3377</v>
      </c>
      <c r="C821" t="s">
        <v>875</v>
      </c>
      <c r="D821" t="s">
        <v>876</v>
      </c>
      <c r="E821" t="s">
        <v>3383</v>
      </c>
      <c r="F821" t="s">
        <v>27</v>
      </c>
      <c r="G821">
        <v>1</v>
      </c>
      <c r="H821" t="s">
        <v>3392</v>
      </c>
      <c r="I821" t="s">
        <v>3393</v>
      </c>
      <c r="J821" t="s">
        <v>3394</v>
      </c>
      <c r="K821" t="s">
        <v>3396</v>
      </c>
      <c r="L821" t="s">
        <v>3388</v>
      </c>
      <c r="M821" s="1" t="str">
        <f t="shared" si="84"/>
        <v>06H262</v>
      </c>
      <c r="N821" s="1" t="str">
        <f t="shared" si="85"/>
        <v>C/O</v>
      </c>
      <c r="O821" s="1" t="str">
        <f t="shared" si="86"/>
        <v>Starter Motor LH</v>
      </c>
      <c r="P821" s="1" t="str">
        <f t="shared" si="87"/>
        <v>SSP0</v>
      </c>
      <c r="Q821" s="2" t="str">
        <f t="shared" si="88"/>
        <v>SSP0Starter Motor LH</v>
      </c>
      <c r="R821" s="2" t="str">
        <f>New_Xref[[#This Row],[Serial Prefix]]&amp;IF(New_Xref[[#This Row],[Func Loc]]&lt;&gt;"",New_Xref[[#This Row],[Func Loc]],"NO MATCH")</f>
        <v>SSP0LVEL .STSY.STML</v>
      </c>
      <c r="S821" s="3" t="str">
        <f t="shared" si="89"/>
        <v>SSP020R1312Starter Motor LH</v>
      </c>
      <c r="T821" s="3" t="s">
        <v>881</v>
      </c>
      <c r="U821" s="3" t="s">
        <v>108</v>
      </c>
      <c r="V821" t="str">
        <f t="shared" si="90"/>
        <v>1453LT</v>
      </c>
    </row>
    <row r="822" spans="1:22">
      <c r="A822" t="s">
        <v>3333</v>
      </c>
      <c r="B822" t="s">
        <v>3334</v>
      </c>
      <c r="C822" t="s">
        <v>3397</v>
      </c>
      <c r="D822" t="s">
        <v>3398</v>
      </c>
      <c r="E822" t="s">
        <v>3399</v>
      </c>
      <c r="F822" t="s">
        <v>27</v>
      </c>
      <c r="G822">
        <v>1</v>
      </c>
      <c r="H822" t="s">
        <v>3400</v>
      </c>
      <c r="I822" t="s">
        <v>3401</v>
      </c>
      <c r="J822" t="s">
        <v>3402</v>
      </c>
      <c r="K822" t="s">
        <v>3401</v>
      </c>
      <c r="L822" t="s">
        <v>72</v>
      </c>
      <c r="M822" s="1" t="str">
        <f t="shared" si="84"/>
        <v>06B352</v>
      </c>
      <c r="N822" s="1" t="str">
        <f t="shared" si="85"/>
        <v>C/O</v>
      </c>
      <c r="O822" s="1" t="str">
        <f t="shared" si="86"/>
        <v>Transmission</v>
      </c>
      <c r="P822" s="1" t="str">
        <f t="shared" si="87"/>
        <v>RBT0</v>
      </c>
      <c r="Q822" s="2" t="str">
        <f t="shared" si="88"/>
        <v>RBT0Transmission</v>
      </c>
      <c r="R822" s="2" t="str">
        <f>New_Xref[[#This Row],[Serial Prefix]]&amp;IF(New_Xref[[#This Row],[Func Loc]]&lt;&gt;"",New_Xref[[#This Row],[Func Loc]],"NO MATCH")</f>
        <v>RBT0TRAN .TRAN</v>
      </c>
      <c r="S822" s="3" t="str">
        <f t="shared" si="89"/>
        <v>RBT04791630XTransmission</v>
      </c>
      <c r="T822" s="3" t="s">
        <v>73</v>
      </c>
      <c r="U822" s="3" t="s">
        <v>34</v>
      </c>
      <c r="V822" t="str">
        <f t="shared" si="90"/>
        <v>303000</v>
      </c>
    </row>
    <row r="823" spans="1:22">
      <c r="A823" t="s">
        <v>3333</v>
      </c>
      <c r="B823" t="s">
        <v>3377</v>
      </c>
      <c r="C823" t="s">
        <v>3397</v>
      </c>
      <c r="D823" t="s">
        <v>3398</v>
      </c>
      <c r="E823" t="s">
        <v>3399</v>
      </c>
      <c r="F823" t="s">
        <v>27</v>
      </c>
      <c r="G823">
        <v>1</v>
      </c>
      <c r="H823" t="s">
        <v>3403</v>
      </c>
      <c r="I823" t="s">
        <v>3404</v>
      </c>
      <c r="J823" t="s">
        <v>3405</v>
      </c>
      <c r="K823" t="s">
        <v>3404</v>
      </c>
      <c r="L823" t="s">
        <v>72</v>
      </c>
      <c r="M823" s="1" t="str">
        <f t="shared" si="84"/>
        <v>06H262</v>
      </c>
      <c r="N823" s="1" t="str">
        <f t="shared" si="85"/>
        <v>C/O</v>
      </c>
      <c r="O823" s="1" t="str">
        <f t="shared" si="86"/>
        <v>Transmission</v>
      </c>
      <c r="P823" s="1" t="str">
        <f t="shared" si="87"/>
        <v>SSP0</v>
      </c>
      <c r="Q823" s="2" t="str">
        <f t="shared" si="88"/>
        <v>SSP0Transmission</v>
      </c>
      <c r="R823" s="2" t="str">
        <f>New_Xref[[#This Row],[Serial Prefix]]&amp;IF(New_Xref[[#This Row],[Func Loc]]&lt;&gt;"",New_Xref[[#This Row],[Func Loc]],"NO MATCH")</f>
        <v>SSP0TRAN .TRAN</v>
      </c>
      <c r="S823" s="3" t="str">
        <f t="shared" si="89"/>
        <v>SSP04791630XTransmission</v>
      </c>
      <c r="T823" s="3" t="s">
        <v>73</v>
      </c>
      <c r="U823" s="3" t="s">
        <v>34</v>
      </c>
      <c r="V823" t="str">
        <f t="shared" si="90"/>
        <v>303000</v>
      </c>
    </row>
    <row r="824" spans="1:22">
      <c r="A824" t="s">
        <v>3333</v>
      </c>
      <c r="B824" t="s">
        <v>3334</v>
      </c>
      <c r="C824" t="s">
        <v>3406</v>
      </c>
      <c r="D824" t="s">
        <v>3407</v>
      </c>
      <c r="E824" t="s">
        <v>1992</v>
      </c>
      <c r="F824" t="s">
        <v>27</v>
      </c>
      <c r="G824">
        <v>1</v>
      </c>
      <c r="H824" t="s">
        <v>3408</v>
      </c>
      <c r="I824" t="s">
        <v>3409</v>
      </c>
      <c r="J824" t="s">
        <v>3410</v>
      </c>
      <c r="K824" t="s">
        <v>3409</v>
      </c>
      <c r="L824" t="s">
        <v>304</v>
      </c>
      <c r="M824" s="1" t="str">
        <f t="shared" si="84"/>
        <v>06B352</v>
      </c>
      <c r="N824" s="1" t="str">
        <f t="shared" si="85"/>
        <v>C/O</v>
      </c>
      <c r="O824" s="1" t="str">
        <f t="shared" si="86"/>
        <v>Torque Converter</v>
      </c>
      <c r="P824" s="1" t="str">
        <f t="shared" si="87"/>
        <v>RBT0</v>
      </c>
      <c r="Q824" s="2" t="str">
        <f t="shared" si="88"/>
        <v>RBT0Torque Converter</v>
      </c>
      <c r="R824" s="2" t="str">
        <f>New_Xref[[#This Row],[Serial Prefix]]&amp;IF(New_Xref[[#This Row],[Func Loc]]&lt;&gt;"",New_Xref[[#This Row],[Func Loc]],"NO MATCH")</f>
        <v>RBT0TRAN .TOCO</v>
      </c>
      <c r="S824" s="3" t="str">
        <f t="shared" si="89"/>
        <v>RBT02792521XTorque Converter</v>
      </c>
      <c r="T824" s="3" t="s">
        <v>305</v>
      </c>
      <c r="U824" s="3" t="s">
        <v>34</v>
      </c>
      <c r="V824" t="str">
        <f t="shared" si="90"/>
        <v>310100</v>
      </c>
    </row>
    <row r="825" spans="1:22">
      <c r="A825" t="s">
        <v>3333</v>
      </c>
      <c r="B825" t="s">
        <v>3377</v>
      </c>
      <c r="C825" t="s">
        <v>3406</v>
      </c>
      <c r="D825" t="s">
        <v>3407</v>
      </c>
      <c r="E825" t="s">
        <v>300</v>
      </c>
      <c r="F825" t="s">
        <v>27</v>
      </c>
      <c r="G825">
        <v>1</v>
      </c>
      <c r="H825" t="s">
        <v>3411</v>
      </c>
      <c r="I825" t="s">
        <v>3412</v>
      </c>
      <c r="J825" t="s">
        <v>3413</v>
      </c>
      <c r="K825" t="s">
        <v>3412</v>
      </c>
      <c r="L825" t="s">
        <v>304</v>
      </c>
      <c r="M825" s="1" t="str">
        <f t="shared" si="84"/>
        <v>06H262</v>
      </c>
      <c r="N825" s="1" t="str">
        <f t="shared" si="85"/>
        <v>C/O</v>
      </c>
      <c r="O825" s="1" t="str">
        <f t="shared" si="86"/>
        <v>Torque Converter</v>
      </c>
      <c r="P825" s="1" t="str">
        <f t="shared" si="87"/>
        <v>SSP0</v>
      </c>
      <c r="Q825" s="2" t="str">
        <f t="shared" si="88"/>
        <v>SSP0Torque Converter</v>
      </c>
      <c r="R825" s="2" t="str">
        <f>New_Xref[[#This Row],[Serial Prefix]]&amp;IF(New_Xref[[#This Row],[Func Loc]]&lt;&gt;"",New_Xref[[#This Row],[Func Loc]],"NO MATCH")</f>
        <v>SSP0TRAN .TOCO</v>
      </c>
      <c r="S825" s="3" t="str">
        <f t="shared" si="89"/>
        <v>SSP02792521XTorque Converter</v>
      </c>
      <c r="T825" s="3" t="s">
        <v>305</v>
      </c>
      <c r="U825" s="3" t="s">
        <v>34</v>
      </c>
      <c r="V825" t="str">
        <f t="shared" si="90"/>
        <v>310100</v>
      </c>
    </row>
    <row r="826" spans="1:22">
      <c r="A826" t="s">
        <v>3333</v>
      </c>
      <c r="B826" t="s">
        <v>3382</v>
      </c>
      <c r="C826" t="s">
        <v>3270</v>
      </c>
      <c r="D826" t="s">
        <v>3262</v>
      </c>
      <c r="E826" t="s">
        <v>3271</v>
      </c>
      <c r="F826" t="s">
        <v>27</v>
      </c>
      <c r="G826">
        <v>1</v>
      </c>
      <c r="H826" t="s">
        <v>3414</v>
      </c>
      <c r="I826" t="s">
        <v>3415</v>
      </c>
      <c r="J826" t="s">
        <v>3416</v>
      </c>
      <c r="K826" t="s">
        <v>3417</v>
      </c>
      <c r="L826" t="s">
        <v>83</v>
      </c>
      <c r="M826" s="1" t="str">
        <f t="shared" si="84"/>
        <v>06H111</v>
      </c>
      <c r="N826" s="1" t="str">
        <f t="shared" si="85"/>
        <v>C/O</v>
      </c>
      <c r="O826" s="1" t="str">
        <f t="shared" si="86"/>
        <v>Main P/Drive Transmission</v>
      </c>
      <c r="P826" s="1" t="str">
        <f t="shared" si="87"/>
        <v>RBT0</v>
      </c>
      <c r="Q826" s="2" t="str">
        <f t="shared" si="88"/>
        <v>RBT0Main P/Drive Transmission</v>
      </c>
      <c r="R826" s="2" t="str">
        <f>New_Xref[[#This Row],[Serial Prefix]]&amp;IF(New_Xref[[#This Row],[Func Loc]]&lt;&gt;"",New_Xref[[#This Row],[Func Loc]],"NO MATCH")</f>
        <v>RBT0NO MATCH</v>
      </c>
      <c r="S826" s="3" t="str">
        <f t="shared" si="89"/>
        <v>RBT03864902XMain P/Drive Transmission</v>
      </c>
      <c r="T826" s="3" t="s">
        <v>1234</v>
      </c>
      <c r="U826" s="3" t="s">
        <v>34</v>
      </c>
      <c r="V826" t="str">
        <f t="shared" si="90"/>
        <v>310800</v>
      </c>
    </row>
    <row r="827" spans="1:22">
      <c r="A827" t="s">
        <v>3333</v>
      </c>
      <c r="B827" t="s">
        <v>3334</v>
      </c>
      <c r="C827" t="s">
        <v>3270</v>
      </c>
      <c r="D827" t="s">
        <v>3262</v>
      </c>
      <c r="E827" t="s">
        <v>3271</v>
      </c>
      <c r="F827" t="s">
        <v>27</v>
      </c>
      <c r="G827">
        <v>1</v>
      </c>
      <c r="H827" t="s">
        <v>3414</v>
      </c>
      <c r="I827" t="s">
        <v>3418</v>
      </c>
      <c r="J827" t="s">
        <v>3419</v>
      </c>
      <c r="K827" t="s">
        <v>3418</v>
      </c>
      <c r="L827" t="s">
        <v>83</v>
      </c>
      <c r="M827" s="1" t="str">
        <f t="shared" si="84"/>
        <v>06B352</v>
      </c>
      <c r="N827" s="1" t="str">
        <f t="shared" si="85"/>
        <v>C/O</v>
      </c>
      <c r="O827" s="1" t="str">
        <f t="shared" si="86"/>
        <v>Main Pump Drive</v>
      </c>
      <c r="P827" s="1" t="str">
        <f t="shared" si="87"/>
        <v>RBT0</v>
      </c>
      <c r="Q827" s="2" t="str">
        <f t="shared" si="88"/>
        <v>RBT0Main Pump Drive</v>
      </c>
      <c r="R827" s="2" t="str">
        <f>New_Xref[[#This Row],[Serial Prefix]]&amp;IF(New_Xref[[#This Row],[Func Loc]]&lt;&gt;"",New_Xref[[#This Row],[Func Loc]],"NO MATCH")</f>
        <v>RBT0NO MATCH</v>
      </c>
      <c r="S827" s="3" t="str">
        <f t="shared" si="89"/>
        <v>RBT03864902XMain Pump Drive</v>
      </c>
      <c r="T827" s="3" t="s">
        <v>1234</v>
      </c>
      <c r="U827" s="3" t="s">
        <v>34</v>
      </c>
      <c r="V827" t="str">
        <f t="shared" si="90"/>
        <v>310800</v>
      </c>
    </row>
    <row r="828" spans="1:22">
      <c r="A828" t="s">
        <v>3333</v>
      </c>
      <c r="B828" t="s">
        <v>3377</v>
      </c>
      <c r="C828" t="s">
        <v>3270</v>
      </c>
      <c r="D828" t="s">
        <v>3262</v>
      </c>
      <c r="E828" t="s">
        <v>3271</v>
      </c>
      <c r="F828" t="s">
        <v>27</v>
      </c>
      <c r="G828">
        <v>1</v>
      </c>
      <c r="H828" t="s">
        <v>3420</v>
      </c>
      <c r="I828" t="s">
        <v>3421</v>
      </c>
      <c r="J828" t="s">
        <v>3422</v>
      </c>
      <c r="K828" t="s">
        <v>3423</v>
      </c>
      <c r="L828" t="s">
        <v>83</v>
      </c>
      <c r="M828" s="1" t="str">
        <f t="shared" si="84"/>
        <v>06H262</v>
      </c>
      <c r="N828" s="1" t="str">
        <f t="shared" si="85"/>
        <v>C/O</v>
      </c>
      <c r="O828" s="1" t="str">
        <f t="shared" si="86"/>
        <v>Main P/Drive Transmission</v>
      </c>
      <c r="P828" s="1" t="str">
        <f t="shared" si="87"/>
        <v>SSP0</v>
      </c>
      <c r="Q828" s="2" t="str">
        <f t="shared" si="88"/>
        <v>SSP0Main P/Drive Transmission</v>
      </c>
      <c r="R828" s="2" t="str">
        <f>New_Xref[[#This Row],[Serial Prefix]]&amp;IF(New_Xref[[#This Row],[Func Loc]]&lt;&gt;"",New_Xref[[#This Row],[Func Loc]],"NO MATCH")</f>
        <v>SSP0NO MATCH</v>
      </c>
      <c r="S828" s="3" t="str">
        <f t="shared" si="89"/>
        <v>SSP03864902XMain P/Drive Transmission</v>
      </c>
      <c r="T828" s="3" t="s">
        <v>1234</v>
      </c>
      <c r="U828" s="3" t="s">
        <v>34</v>
      </c>
      <c r="V828" t="str">
        <f t="shared" si="90"/>
        <v>310800</v>
      </c>
    </row>
    <row r="829" spans="1:22">
      <c r="A829" t="s">
        <v>3333</v>
      </c>
      <c r="B829" t="s">
        <v>3377</v>
      </c>
      <c r="C829" t="s">
        <v>3270</v>
      </c>
      <c r="D829" t="s">
        <v>3262</v>
      </c>
      <c r="E829" t="s">
        <v>3271</v>
      </c>
      <c r="F829" t="s">
        <v>27</v>
      </c>
      <c r="G829">
        <v>1</v>
      </c>
      <c r="H829" t="s">
        <v>3420</v>
      </c>
      <c r="I829" t="s">
        <v>3421</v>
      </c>
      <c r="J829" t="s">
        <v>3422</v>
      </c>
      <c r="K829" t="s">
        <v>3421</v>
      </c>
      <c r="L829" t="s">
        <v>83</v>
      </c>
      <c r="M829" s="1" t="str">
        <f t="shared" si="84"/>
        <v>06H262</v>
      </c>
      <c r="N829" s="1" t="str">
        <f t="shared" si="85"/>
        <v>C/O</v>
      </c>
      <c r="O829" s="1" t="str">
        <f t="shared" si="86"/>
        <v>Main Pump Drive</v>
      </c>
      <c r="P829" s="1" t="str">
        <f t="shared" si="87"/>
        <v>SSP0</v>
      </c>
      <c r="Q829" s="2" t="str">
        <f t="shared" si="88"/>
        <v>SSP0Main Pump Drive</v>
      </c>
      <c r="R829" s="2" t="str">
        <f>New_Xref[[#This Row],[Serial Prefix]]&amp;IF(New_Xref[[#This Row],[Func Loc]]&lt;&gt;"",New_Xref[[#This Row],[Func Loc]],"NO MATCH")</f>
        <v>SSP0NO MATCH</v>
      </c>
      <c r="S829" s="3" t="str">
        <f t="shared" si="89"/>
        <v>SSP03864902XMain Pump Drive</v>
      </c>
      <c r="T829" s="3" t="s">
        <v>1234</v>
      </c>
      <c r="U829" s="3" t="s">
        <v>34</v>
      </c>
      <c r="V829" t="str">
        <f t="shared" si="90"/>
        <v>310800</v>
      </c>
    </row>
    <row r="830" spans="1:22">
      <c r="A830" t="s">
        <v>3333</v>
      </c>
      <c r="B830" t="s">
        <v>3334</v>
      </c>
      <c r="C830" t="s">
        <v>3424</v>
      </c>
      <c r="D830" t="s">
        <v>3425</v>
      </c>
      <c r="E830" t="s">
        <v>3426</v>
      </c>
      <c r="F830" t="s">
        <v>27</v>
      </c>
      <c r="G830">
        <v>1</v>
      </c>
      <c r="H830" t="s">
        <v>3427</v>
      </c>
      <c r="I830" t="s">
        <v>3428</v>
      </c>
      <c r="J830" t="s">
        <v>3429</v>
      </c>
      <c r="K830" t="s">
        <v>3430</v>
      </c>
      <c r="L830" t="s">
        <v>83</v>
      </c>
      <c r="M830" s="1" t="str">
        <f t="shared" si="84"/>
        <v>06B352</v>
      </c>
      <c r="N830" s="1" t="str">
        <f t="shared" si="85"/>
        <v>C/O</v>
      </c>
      <c r="O830" s="1" t="str">
        <f t="shared" si="86"/>
        <v>Driveshaft Main</v>
      </c>
      <c r="P830" s="1" t="str">
        <f t="shared" si="87"/>
        <v>RBT0</v>
      </c>
      <c r="Q830" s="2" t="str">
        <f t="shared" si="88"/>
        <v>RBT0Driveshaft Main</v>
      </c>
      <c r="R830" s="2" t="str">
        <f>New_Xref[[#This Row],[Serial Prefix]]&amp;IF(New_Xref[[#This Row],[Func Loc]]&lt;&gt;"",New_Xref[[#This Row],[Func Loc]],"NO MATCH")</f>
        <v>RBT0NO MATCH</v>
      </c>
      <c r="S830" s="3" t="str">
        <f t="shared" si="89"/>
        <v>RBT03032504Driveshaft Main</v>
      </c>
      <c r="T830" s="3" t="s">
        <v>674</v>
      </c>
      <c r="U830" s="3" t="s">
        <v>34</v>
      </c>
      <c r="V830" t="str">
        <f t="shared" si="90"/>
        <v>325300</v>
      </c>
    </row>
    <row r="831" spans="1:22">
      <c r="A831" t="s">
        <v>3333</v>
      </c>
      <c r="B831" t="s">
        <v>3334</v>
      </c>
      <c r="C831" t="s">
        <v>3431</v>
      </c>
      <c r="D831" t="s">
        <v>3432</v>
      </c>
      <c r="E831" t="s">
        <v>3433</v>
      </c>
      <c r="F831" t="s">
        <v>27</v>
      </c>
      <c r="G831">
        <v>1</v>
      </c>
      <c r="H831" t="s">
        <v>3434</v>
      </c>
      <c r="I831" t="s">
        <v>3435</v>
      </c>
      <c r="J831" t="s">
        <v>3436</v>
      </c>
      <c r="K831" t="s">
        <v>3435</v>
      </c>
      <c r="L831" t="s">
        <v>463</v>
      </c>
      <c r="M831" s="1" t="str">
        <f t="shared" si="84"/>
        <v>06B352</v>
      </c>
      <c r="N831" s="1" t="str">
        <f t="shared" si="85"/>
        <v>C/O</v>
      </c>
      <c r="O831" s="1" t="str">
        <f t="shared" si="86"/>
        <v>Differential</v>
      </c>
      <c r="P831" s="1" t="str">
        <f t="shared" si="87"/>
        <v>RBT0</v>
      </c>
      <c r="Q831" s="2" t="str">
        <f t="shared" si="88"/>
        <v>RBT0Differential</v>
      </c>
      <c r="R831" s="2" t="str">
        <f>New_Xref[[#This Row],[Serial Prefix]]&amp;IF(New_Xref[[#This Row],[Func Loc]]&lt;&gt;"",New_Xref[[#This Row],[Func Loc]],"NO MATCH")</f>
        <v>RBT0FDRV .AXAR.DIFF</v>
      </c>
      <c r="S831" s="3" t="str">
        <f t="shared" si="89"/>
        <v>RBT04667422XDifferential</v>
      </c>
      <c r="T831" s="3" t="s">
        <v>464</v>
      </c>
      <c r="U831" s="3" t="s">
        <v>34</v>
      </c>
      <c r="V831" t="str">
        <f t="shared" si="90"/>
        <v>325800</v>
      </c>
    </row>
    <row r="832" spans="1:22">
      <c r="A832" t="s">
        <v>3333</v>
      </c>
      <c r="B832" t="s">
        <v>3437</v>
      </c>
      <c r="C832" t="s">
        <v>3431</v>
      </c>
      <c r="D832" t="s">
        <v>3432</v>
      </c>
      <c r="E832" t="s">
        <v>3433</v>
      </c>
      <c r="F832" t="s">
        <v>27</v>
      </c>
      <c r="G832">
        <v>1</v>
      </c>
      <c r="H832" t="s">
        <v>3438</v>
      </c>
      <c r="I832" t="s">
        <v>3439</v>
      </c>
      <c r="J832" t="s">
        <v>3440</v>
      </c>
      <c r="K832" t="s">
        <v>3439</v>
      </c>
      <c r="L832" t="s">
        <v>463</v>
      </c>
      <c r="M832" s="1" t="str">
        <f t="shared" si="84"/>
        <v>06H550</v>
      </c>
      <c r="N832" s="1" t="str">
        <f t="shared" si="85"/>
        <v>C/O</v>
      </c>
      <c r="O832" s="1" t="str">
        <f t="shared" si="86"/>
        <v>Differential</v>
      </c>
      <c r="P832" s="1" t="str">
        <f t="shared" si="87"/>
        <v>SSP0</v>
      </c>
      <c r="Q832" s="2" t="str">
        <f t="shared" si="88"/>
        <v>SSP0Differential</v>
      </c>
      <c r="R832" s="2" t="str">
        <f>New_Xref[[#This Row],[Serial Prefix]]&amp;IF(New_Xref[[#This Row],[Func Loc]]&lt;&gt;"",New_Xref[[#This Row],[Func Loc]],"NO MATCH")</f>
        <v>SSP0FDRV .AXAR.DIFF</v>
      </c>
      <c r="S832" s="3" t="str">
        <f t="shared" si="89"/>
        <v>SSP04667422XDifferential</v>
      </c>
      <c r="T832" s="3" t="s">
        <v>464</v>
      </c>
      <c r="U832" s="3" t="s">
        <v>34</v>
      </c>
      <c r="V832" t="str">
        <f t="shared" si="90"/>
        <v>325800</v>
      </c>
    </row>
    <row r="833" spans="1:22">
      <c r="A833" t="s">
        <v>3333</v>
      </c>
      <c r="B833" t="s">
        <v>3441</v>
      </c>
      <c r="C833" t="s">
        <v>3442</v>
      </c>
      <c r="D833" t="s">
        <v>3443</v>
      </c>
      <c r="E833" t="s">
        <v>3444</v>
      </c>
      <c r="F833" t="s">
        <v>27</v>
      </c>
      <c r="G833">
        <v>1</v>
      </c>
      <c r="H833" t="s">
        <v>3445</v>
      </c>
      <c r="I833" t="s">
        <v>3446</v>
      </c>
      <c r="J833" t="s">
        <v>3447</v>
      </c>
      <c r="K833" t="s">
        <v>3448</v>
      </c>
      <c r="L833" t="s">
        <v>3449</v>
      </c>
      <c r="M833" s="1" t="str">
        <f t="shared" si="84"/>
        <v>06H112</v>
      </c>
      <c r="N833" s="1" t="str">
        <f t="shared" si="85"/>
        <v>C/O</v>
      </c>
      <c r="O833" s="1" t="str">
        <f t="shared" si="86"/>
        <v>Final Drive LH</v>
      </c>
      <c r="P833" s="1" t="str">
        <f t="shared" si="87"/>
        <v>RBT0</v>
      </c>
      <c r="Q833" s="2" t="str">
        <f t="shared" si="88"/>
        <v>RBT0Final Drive LH</v>
      </c>
      <c r="R833" s="2" t="str">
        <f>New_Xref[[#This Row],[Serial Prefix]]&amp;IF(New_Xref[[#This Row],[Func Loc]]&lt;&gt;"",New_Xref[[#This Row],[Func Loc]],"NO MATCH")</f>
        <v>RBT0FDRV .AXAR.FIDL</v>
      </c>
      <c r="S833" s="3" t="str">
        <f t="shared" si="89"/>
        <v>RBT03345493XFinal Drive LH</v>
      </c>
      <c r="T833" s="3" t="s">
        <v>2105</v>
      </c>
      <c r="U833" s="3" t="s">
        <v>96</v>
      </c>
      <c r="V833" t="str">
        <f t="shared" si="90"/>
        <v>4008LR</v>
      </c>
    </row>
    <row r="834" spans="1:22">
      <c r="A834" t="s">
        <v>3333</v>
      </c>
      <c r="B834" t="s">
        <v>3441</v>
      </c>
      <c r="C834" t="s">
        <v>3442</v>
      </c>
      <c r="D834" t="s">
        <v>3443</v>
      </c>
      <c r="E834" t="s">
        <v>3444</v>
      </c>
      <c r="F834" t="s">
        <v>27</v>
      </c>
      <c r="G834">
        <v>1</v>
      </c>
      <c r="H834" t="s">
        <v>3445</v>
      </c>
      <c r="I834" t="s">
        <v>3450</v>
      </c>
      <c r="J834" t="s">
        <v>3451</v>
      </c>
      <c r="K834" t="s">
        <v>3452</v>
      </c>
      <c r="L834" t="s">
        <v>3453</v>
      </c>
      <c r="M834" s="1" t="str">
        <f t="shared" si="84"/>
        <v>06H112</v>
      </c>
      <c r="N834" s="1" t="str">
        <f t="shared" si="85"/>
        <v>C/O</v>
      </c>
      <c r="O834" s="1" t="str">
        <f t="shared" si="86"/>
        <v>Final Drive RH</v>
      </c>
      <c r="P834" s="1" t="str">
        <f t="shared" si="87"/>
        <v>RBT0</v>
      </c>
      <c r="Q834" s="2" t="str">
        <f t="shared" si="88"/>
        <v>RBT0Final Drive RH</v>
      </c>
      <c r="R834" s="2" t="str">
        <f>New_Xref[[#This Row],[Serial Prefix]]&amp;IF(New_Xref[[#This Row],[Func Loc]]&lt;&gt;"",New_Xref[[#This Row],[Func Loc]],"NO MATCH")</f>
        <v>RBT0FDRV .AXAR.FIDR</v>
      </c>
      <c r="S834" s="3" t="str">
        <f t="shared" si="89"/>
        <v>RBT03345493XFinal Drive RH</v>
      </c>
      <c r="T834" s="3" t="s">
        <v>2105</v>
      </c>
      <c r="U834" s="3" t="s">
        <v>99</v>
      </c>
      <c r="V834" t="str">
        <f t="shared" si="90"/>
        <v>4008RR</v>
      </c>
    </row>
    <row r="835" spans="1:22">
      <c r="A835" t="s">
        <v>3333</v>
      </c>
      <c r="B835" t="s">
        <v>3334</v>
      </c>
      <c r="C835" t="s">
        <v>3442</v>
      </c>
      <c r="D835" t="s">
        <v>3443</v>
      </c>
      <c r="E835" t="s">
        <v>3444</v>
      </c>
      <c r="F835" t="s">
        <v>27</v>
      </c>
      <c r="G835">
        <v>1</v>
      </c>
      <c r="H835" t="s">
        <v>3445</v>
      </c>
      <c r="I835" t="s">
        <v>3454</v>
      </c>
      <c r="J835" t="s">
        <v>3455</v>
      </c>
      <c r="K835" t="s">
        <v>3454</v>
      </c>
      <c r="L835" t="s">
        <v>83</v>
      </c>
      <c r="M835" s="1" t="str">
        <f t="shared" ref="M835:M898" si="91">LEFT(K835,FIND(" ",K835,1)-1)</f>
        <v>06B352</v>
      </c>
      <c r="N835" s="1" t="str">
        <f t="shared" ref="N835:N898" si="92">MID(K835,LEN(M835)+2,FIND(" ",K835,LEN(M835)+2)-LEN(M835)-2)</f>
        <v>C/O</v>
      </c>
      <c r="O835" s="1" t="str">
        <f t="shared" ref="O835:O898" si="93">MID(K835,FIND(N835,K835,1)+LEN(N835)+1, 150)</f>
        <v>Wheel Group LH</v>
      </c>
      <c r="P835" s="1" t="str">
        <f t="shared" ref="P835:P898" si="94">LEFT(B835,4)</f>
        <v>RBT0</v>
      </c>
      <c r="Q835" s="2" t="str">
        <f t="shared" ref="Q835:Q898" si="95">P835&amp;O835</f>
        <v>RBT0Wheel Group LH</v>
      </c>
      <c r="R835" s="2" t="str">
        <f>New_Xref[[#This Row],[Serial Prefix]]&amp;IF(New_Xref[[#This Row],[Func Loc]]&lt;&gt;"",New_Xref[[#This Row],[Func Loc]],"NO MATCH")</f>
        <v>RBT0NO MATCH</v>
      </c>
      <c r="S835" s="3" t="str">
        <f t="shared" ref="S835:S898" si="96">P835&amp;D835&amp;O835</f>
        <v>RBT03345493XWheel Group LH</v>
      </c>
      <c r="T835" s="3" t="s">
        <v>2105</v>
      </c>
      <c r="U835" s="3" t="s">
        <v>96</v>
      </c>
      <c r="V835" t="str">
        <f t="shared" ref="V835:V898" si="97">LEFT(T835,FIND(" -",T835,1)-1)&amp;LEFT(U835,FIND(" -",U835,1)-1)</f>
        <v>4008LR</v>
      </c>
    </row>
    <row r="836" spans="1:22">
      <c r="A836" t="s">
        <v>3333</v>
      </c>
      <c r="B836" t="s">
        <v>3334</v>
      </c>
      <c r="C836" t="s">
        <v>3442</v>
      </c>
      <c r="D836" t="s">
        <v>3443</v>
      </c>
      <c r="E836" t="s">
        <v>3444</v>
      </c>
      <c r="F836" t="s">
        <v>27</v>
      </c>
      <c r="G836">
        <v>1</v>
      </c>
      <c r="H836" t="s">
        <v>3445</v>
      </c>
      <c r="I836" t="s">
        <v>3456</v>
      </c>
      <c r="J836" t="s">
        <v>3457</v>
      </c>
      <c r="K836" t="s">
        <v>3456</v>
      </c>
      <c r="L836" t="s">
        <v>83</v>
      </c>
      <c r="M836" s="1" t="str">
        <f t="shared" si="91"/>
        <v>06B352</v>
      </c>
      <c r="N836" s="1" t="str">
        <f t="shared" si="92"/>
        <v>C/O</v>
      </c>
      <c r="O836" s="1" t="str">
        <f t="shared" si="93"/>
        <v>Wheel Group RH</v>
      </c>
      <c r="P836" s="1" t="str">
        <f t="shared" si="94"/>
        <v>RBT0</v>
      </c>
      <c r="Q836" s="2" t="str">
        <f t="shared" si="95"/>
        <v>RBT0Wheel Group RH</v>
      </c>
      <c r="R836" s="2" t="str">
        <f>New_Xref[[#This Row],[Serial Prefix]]&amp;IF(New_Xref[[#This Row],[Func Loc]]&lt;&gt;"",New_Xref[[#This Row],[Func Loc]],"NO MATCH")</f>
        <v>RBT0NO MATCH</v>
      </c>
      <c r="S836" s="3" t="str">
        <f t="shared" si="96"/>
        <v>RBT03345493XWheel Group RH</v>
      </c>
      <c r="T836" s="3" t="s">
        <v>2105</v>
      </c>
      <c r="U836" s="3" t="s">
        <v>99</v>
      </c>
      <c r="V836" t="str">
        <f t="shared" si="97"/>
        <v>4008RR</v>
      </c>
    </row>
    <row r="837" spans="1:22">
      <c r="A837" t="s">
        <v>3333</v>
      </c>
      <c r="B837" t="s">
        <v>3377</v>
      </c>
      <c r="C837" t="s">
        <v>3442</v>
      </c>
      <c r="D837" t="s">
        <v>3443</v>
      </c>
      <c r="E837" t="s">
        <v>3444</v>
      </c>
      <c r="F837" t="s">
        <v>27</v>
      </c>
      <c r="G837">
        <v>1</v>
      </c>
      <c r="H837" t="s">
        <v>3458</v>
      </c>
      <c r="I837" t="s">
        <v>3459</v>
      </c>
      <c r="J837" t="s">
        <v>3460</v>
      </c>
      <c r="K837" t="s">
        <v>3461</v>
      </c>
      <c r="L837" t="s">
        <v>3449</v>
      </c>
      <c r="M837" s="1" t="str">
        <f t="shared" si="91"/>
        <v>06H262</v>
      </c>
      <c r="N837" s="1" t="str">
        <f t="shared" si="92"/>
        <v>C/O</v>
      </c>
      <c r="O837" s="1" t="str">
        <f t="shared" si="93"/>
        <v>Final Drive LH</v>
      </c>
      <c r="P837" s="1" t="str">
        <f t="shared" si="94"/>
        <v>SSP0</v>
      </c>
      <c r="Q837" s="2" t="str">
        <f t="shared" si="95"/>
        <v>SSP0Final Drive LH</v>
      </c>
      <c r="R837" s="2" t="str">
        <f>New_Xref[[#This Row],[Serial Prefix]]&amp;IF(New_Xref[[#This Row],[Func Loc]]&lt;&gt;"",New_Xref[[#This Row],[Func Loc]],"NO MATCH")</f>
        <v>SSP0FDRV .AXAR.FIDL</v>
      </c>
      <c r="S837" s="3" t="str">
        <f t="shared" si="96"/>
        <v>SSP03345493XFinal Drive LH</v>
      </c>
      <c r="T837" s="3" t="s">
        <v>2105</v>
      </c>
      <c r="U837" s="3" t="s">
        <v>96</v>
      </c>
      <c r="V837" t="str">
        <f t="shared" si="97"/>
        <v>4008LR</v>
      </c>
    </row>
    <row r="838" spans="1:22">
      <c r="A838" t="s">
        <v>3333</v>
      </c>
      <c r="B838" t="s">
        <v>3377</v>
      </c>
      <c r="C838" t="s">
        <v>3442</v>
      </c>
      <c r="D838" t="s">
        <v>3443</v>
      </c>
      <c r="E838" t="s">
        <v>3444</v>
      </c>
      <c r="F838" t="s">
        <v>27</v>
      </c>
      <c r="G838">
        <v>1</v>
      </c>
      <c r="H838" t="s">
        <v>3458</v>
      </c>
      <c r="I838" t="s">
        <v>3459</v>
      </c>
      <c r="J838" t="s">
        <v>3460</v>
      </c>
      <c r="K838" t="s">
        <v>3459</v>
      </c>
      <c r="L838" t="s">
        <v>83</v>
      </c>
      <c r="M838" s="1" t="str">
        <f t="shared" si="91"/>
        <v>06H262</v>
      </c>
      <c r="N838" s="1" t="str">
        <f t="shared" si="92"/>
        <v>C/O</v>
      </c>
      <c r="O838" s="1" t="str">
        <f t="shared" si="93"/>
        <v>Wheel Group LH</v>
      </c>
      <c r="P838" s="1" t="str">
        <f t="shared" si="94"/>
        <v>SSP0</v>
      </c>
      <c r="Q838" s="2" t="str">
        <f t="shared" si="95"/>
        <v>SSP0Wheel Group LH</v>
      </c>
      <c r="R838" s="2" t="str">
        <f>New_Xref[[#This Row],[Serial Prefix]]&amp;IF(New_Xref[[#This Row],[Func Loc]]&lt;&gt;"",New_Xref[[#This Row],[Func Loc]],"NO MATCH")</f>
        <v>SSP0NO MATCH</v>
      </c>
      <c r="S838" s="3" t="str">
        <f t="shared" si="96"/>
        <v>SSP03345493XWheel Group LH</v>
      </c>
      <c r="T838" s="3" t="s">
        <v>2105</v>
      </c>
      <c r="U838" s="3" t="s">
        <v>96</v>
      </c>
      <c r="V838" t="str">
        <f t="shared" si="97"/>
        <v>4008LR</v>
      </c>
    </row>
    <row r="839" spans="1:22">
      <c r="A839" t="s">
        <v>3333</v>
      </c>
      <c r="B839" t="s">
        <v>3377</v>
      </c>
      <c r="C839" t="s">
        <v>3442</v>
      </c>
      <c r="D839" t="s">
        <v>3443</v>
      </c>
      <c r="E839" t="s">
        <v>3444</v>
      </c>
      <c r="F839" t="s">
        <v>27</v>
      </c>
      <c r="G839">
        <v>1</v>
      </c>
      <c r="H839" t="s">
        <v>3458</v>
      </c>
      <c r="I839" t="s">
        <v>3462</v>
      </c>
      <c r="J839" t="s">
        <v>3463</v>
      </c>
      <c r="K839" t="s">
        <v>3462</v>
      </c>
      <c r="L839" t="s">
        <v>83</v>
      </c>
      <c r="M839" s="1" t="str">
        <f t="shared" si="91"/>
        <v>06H262</v>
      </c>
      <c r="N839" s="1" t="str">
        <f t="shared" si="92"/>
        <v>C/O</v>
      </c>
      <c r="O839" s="1" t="str">
        <f t="shared" si="93"/>
        <v>Wheel Group RH</v>
      </c>
      <c r="P839" s="1" t="str">
        <f t="shared" si="94"/>
        <v>SSP0</v>
      </c>
      <c r="Q839" s="2" t="str">
        <f t="shared" si="95"/>
        <v>SSP0Wheel Group RH</v>
      </c>
      <c r="R839" s="2" t="str">
        <f>New_Xref[[#This Row],[Serial Prefix]]&amp;IF(New_Xref[[#This Row],[Func Loc]]&lt;&gt;"",New_Xref[[#This Row],[Func Loc]],"NO MATCH")</f>
        <v>SSP0NO MATCH</v>
      </c>
      <c r="S839" s="3" t="str">
        <f t="shared" si="96"/>
        <v>SSP03345493XWheel Group RH</v>
      </c>
      <c r="T839" s="3" t="s">
        <v>2105</v>
      </c>
      <c r="U839" s="3" t="s">
        <v>99</v>
      </c>
      <c r="V839" t="str">
        <f t="shared" si="97"/>
        <v>4008RR</v>
      </c>
    </row>
    <row r="840" spans="1:22">
      <c r="A840" t="s">
        <v>3333</v>
      </c>
      <c r="B840" t="s">
        <v>3377</v>
      </c>
      <c r="C840" t="s">
        <v>3442</v>
      </c>
      <c r="D840" t="s">
        <v>3443</v>
      </c>
      <c r="E840" t="s">
        <v>3444</v>
      </c>
      <c r="F840" t="s">
        <v>27</v>
      </c>
      <c r="G840">
        <v>1</v>
      </c>
      <c r="H840" t="s">
        <v>3458</v>
      </c>
      <c r="I840" t="s">
        <v>3462</v>
      </c>
      <c r="J840" t="s">
        <v>3463</v>
      </c>
      <c r="K840" t="s">
        <v>3464</v>
      </c>
      <c r="L840" t="s">
        <v>3453</v>
      </c>
      <c r="M840" s="1" t="str">
        <f t="shared" si="91"/>
        <v>06H262</v>
      </c>
      <c r="N840" s="1" t="str">
        <f t="shared" si="92"/>
        <v>C/O</v>
      </c>
      <c r="O840" s="1" t="str">
        <f t="shared" si="93"/>
        <v>Final Drive RH</v>
      </c>
      <c r="P840" s="1" t="str">
        <f t="shared" si="94"/>
        <v>SSP0</v>
      </c>
      <c r="Q840" s="2" t="str">
        <f t="shared" si="95"/>
        <v>SSP0Final Drive RH</v>
      </c>
      <c r="R840" s="2" t="str">
        <f>New_Xref[[#This Row],[Serial Prefix]]&amp;IF(New_Xref[[#This Row],[Func Loc]]&lt;&gt;"",New_Xref[[#This Row],[Func Loc]],"NO MATCH")</f>
        <v>SSP0FDRV .AXAR.FIDR</v>
      </c>
      <c r="S840" s="3" t="str">
        <f t="shared" si="96"/>
        <v>SSP03345493XFinal Drive RH</v>
      </c>
      <c r="T840" s="3" t="s">
        <v>2105</v>
      </c>
      <c r="U840" s="3" t="s">
        <v>99</v>
      </c>
      <c r="V840" t="str">
        <f t="shared" si="97"/>
        <v>4008RR</v>
      </c>
    </row>
    <row r="841" spans="1:22">
      <c r="A841" t="s">
        <v>3333</v>
      </c>
      <c r="B841" t="s">
        <v>3465</v>
      </c>
      <c r="C841" t="s">
        <v>3466</v>
      </c>
      <c r="D841" t="s">
        <v>3467</v>
      </c>
      <c r="E841" t="s">
        <v>3468</v>
      </c>
      <c r="F841" t="s">
        <v>27</v>
      </c>
      <c r="G841">
        <v>1</v>
      </c>
      <c r="H841" t="s">
        <v>3469</v>
      </c>
      <c r="I841" t="s">
        <v>3470</v>
      </c>
      <c r="J841" t="s">
        <v>3471</v>
      </c>
      <c r="K841" t="s">
        <v>3472</v>
      </c>
      <c r="L841" t="s">
        <v>83</v>
      </c>
      <c r="M841" s="1" t="str">
        <f t="shared" si="91"/>
        <v>06H315</v>
      </c>
      <c r="N841" s="1" t="str">
        <f t="shared" si="92"/>
        <v>C/O</v>
      </c>
      <c r="O841" s="1" t="str">
        <f t="shared" si="93"/>
        <v>Corner Group LHF</v>
      </c>
      <c r="P841" s="1" t="str">
        <f t="shared" si="94"/>
        <v>RBT0</v>
      </c>
      <c r="Q841" s="2" t="str">
        <f t="shared" si="95"/>
        <v>RBT0Corner Group LHF</v>
      </c>
      <c r="R841" s="2" t="str">
        <f>New_Xref[[#This Row],[Serial Prefix]]&amp;IF(New_Xref[[#This Row],[Func Loc]]&lt;&gt;"",New_Xref[[#This Row],[Func Loc]],"NO MATCH")</f>
        <v>RBT0NO MATCH</v>
      </c>
      <c r="S841" s="3" t="str">
        <f t="shared" si="96"/>
        <v>RBT03377950XFSLCorner Group LHF</v>
      </c>
      <c r="T841" s="3" t="s">
        <v>2441</v>
      </c>
      <c r="U841" s="3" t="s">
        <v>89</v>
      </c>
      <c r="V841" t="str">
        <f t="shared" si="97"/>
        <v>4016LF</v>
      </c>
    </row>
    <row r="842" spans="1:22">
      <c r="A842" t="s">
        <v>3333</v>
      </c>
      <c r="B842" t="s">
        <v>3465</v>
      </c>
      <c r="C842" t="s">
        <v>3473</v>
      </c>
      <c r="D842" t="s">
        <v>3474</v>
      </c>
      <c r="E842" t="s">
        <v>3468</v>
      </c>
      <c r="F842" t="s">
        <v>27</v>
      </c>
      <c r="G842">
        <v>1</v>
      </c>
      <c r="H842" t="s">
        <v>3475</v>
      </c>
      <c r="I842" t="s">
        <v>3476</v>
      </c>
      <c r="J842" t="s">
        <v>3477</v>
      </c>
      <c r="K842" t="s">
        <v>3478</v>
      </c>
      <c r="L842" t="s">
        <v>83</v>
      </c>
      <c r="M842" s="1" t="str">
        <f t="shared" si="91"/>
        <v>06H315</v>
      </c>
      <c r="N842" s="1" t="str">
        <f t="shared" si="92"/>
        <v>C/O</v>
      </c>
      <c r="O842" s="1" t="str">
        <f t="shared" si="93"/>
        <v>Corner Group RHF</v>
      </c>
      <c r="P842" s="1" t="str">
        <f t="shared" si="94"/>
        <v>RBT0</v>
      </c>
      <c r="Q842" s="2" t="str">
        <f t="shared" si="95"/>
        <v>RBT0Corner Group RHF</v>
      </c>
      <c r="R842" s="2" t="str">
        <f>New_Xref[[#This Row],[Serial Prefix]]&amp;IF(New_Xref[[#This Row],[Func Loc]]&lt;&gt;"",New_Xref[[#This Row],[Func Loc]],"NO MATCH")</f>
        <v>RBT0NO MATCH</v>
      </c>
      <c r="S842" s="3" t="str">
        <f t="shared" si="96"/>
        <v>RBT03377950XFSRCorner Group RHF</v>
      </c>
      <c r="T842" s="3" t="s">
        <v>2441</v>
      </c>
      <c r="U842" s="3" t="s">
        <v>92</v>
      </c>
      <c r="V842" t="str">
        <f t="shared" si="97"/>
        <v>4016RF</v>
      </c>
    </row>
    <row r="843" spans="1:22">
      <c r="A843" t="s">
        <v>3333</v>
      </c>
      <c r="B843" t="s">
        <v>3334</v>
      </c>
      <c r="C843" t="s">
        <v>3479</v>
      </c>
      <c r="D843" t="s">
        <v>3480</v>
      </c>
      <c r="E843" t="s">
        <v>3481</v>
      </c>
      <c r="F843" t="s">
        <v>27</v>
      </c>
      <c r="G843">
        <v>1</v>
      </c>
      <c r="H843" t="s">
        <v>3469</v>
      </c>
      <c r="I843" t="s">
        <v>3482</v>
      </c>
      <c r="J843" t="s">
        <v>3483</v>
      </c>
      <c r="K843" t="s">
        <v>3484</v>
      </c>
      <c r="L843" t="s">
        <v>83</v>
      </c>
      <c r="M843" s="1" t="str">
        <f t="shared" si="91"/>
        <v>06B352</v>
      </c>
      <c r="N843" s="1" t="str">
        <f t="shared" si="92"/>
        <v>C/O</v>
      </c>
      <c r="O843" s="1" t="str">
        <f t="shared" si="93"/>
        <v>Corner Group LHF</v>
      </c>
      <c r="P843" s="1" t="str">
        <f t="shared" si="94"/>
        <v>RBT0</v>
      </c>
      <c r="Q843" s="2" t="str">
        <f t="shared" si="95"/>
        <v>RBT0Corner Group LHF</v>
      </c>
      <c r="R843" s="2" t="str">
        <f>New_Xref[[#This Row],[Serial Prefix]]&amp;IF(New_Xref[[#This Row],[Func Loc]]&lt;&gt;"",New_Xref[[#This Row],[Func Loc]],"NO MATCH")</f>
        <v>RBT0NO MATCH</v>
      </c>
      <c r="S843" s="3" t="str">
        <f t="shared" si="96"/>
        <v>RBT03377950XFSL-SHORTCorner Group LHF</v>
      </c>
      <c r="T843" s="3" t="s">
        <v>2441</v>
      </c>
      <c r="U843" s="3" t="s">
        <v>89</v>
      </c>
      <c r="V843" t="str">
        <f t="shared" si="97"/>
        <v>4016LF</v>
      </c>
    </row>
    <row r="844" spans="1:22">
      <c r="A844" t="s">
        <v>3333</v>
      </c>
      <c r="B844" t="s">
        <v>3334</v>
      </c>
      <c r="C844" t="s">
        <v>3466</v>
      </c>
      <c r="D844" t="s">
        <v>3467</v>
      </c>
      <c r="E844" t="s">
        <v>3468</v>
      </c>
      <c r="F844" t="s">
        <v>27</v>
      </c>
      <c r="G844">
        <v>1</v>
      </c>
      <c r="H844" t="s">
        <v>3469</v>
      </c>
      <c r="I844" t="s">
        <v>3485</v>
      </c>
      <c r="J844" t="s">
        <v>3483</v>
      </c>
      <c r="K844" t="s">
        <v>3485</v>
      </c>
      <c r="L844" t="s">
        <v>3486</v>
      </c>
      <c r="M844" s="1" t="str">
        <f t="shared" si="91"/>
        <v>06B352</v>
      </c>
      <c r="N844" s="1" t="str">
        <f t="shared" si="92"/>
        <v>C/O</v>
      </c>
      <c r="O844" s="1" t="str">
        <f t="shared" si="93"/>
        <v>Axle Group LHF</v>
      </c>
      <c r="P844" s="1" t="str">
        <f t="shared" si="94"/>
        <v>RBT0</v>
      </c>
      <c r="Q844" s="2" t="str">
        <f t="shared" si="95"/>
        <v>RBT0Axle Group LHF</v>
      </c>
      <c r="R844" s="2" t="str">
        <f>New_Xref[[#This Row],[Serial Prefix]]&amp;IF(New_Xref[[#This Row],[Func Loc]]&lt;&gt;"",New_Xref[[#This Row],[Func Loc]],"NO MATCH")</f>
        <v>RBT0FDRV .AXAF.COGL</v>
      </c>
      <c r="S844" s="3" t="str">
        <f t="shared" si="96"/>
        <v>RBT03377950XFSLAxle Group LHF</v>
      </c>
      <c r="T844" s="3" t="s">
        <v>2441</v>
      </c>
      <c r="U844" s="3" t="s">
        <v>89</v>
      </c>
      <c r="V844" t="str">
        <f t="shared" si="97"/>
        <v>4016LF</v>
      </c>
    </row>
    <row r="845" spans="1:22">
      <c r="A845" t="s">
        <v>3333</v>
      </c>
      <c r="B845" t="s">
        <v>3334</v>
      </c>
      <c r="C845" t="s">
        <v>3473</v>
      </c>
      <c r="D845" t="s">
        <v>3474</v>
      </c>
      <c r="E845" t="s">
        <v>3468</v>
      </c>
      <c r="F845" t="s">
        <v>27</v>
      </c>
      <c r="G845">
        <v>1</v>
      </c>
      <c r="H845" t="s">
        <v>3475</v>
      </c>
      <c r="I845" t="s">
        <v>3487</v>
      </c>
      <c r="J845" t="s">
        <v>3488</v>
      </c>
      <c r="K845" t="s">
        <v>3487</v>
      </c>
      <c r="L845" t="s">
        <v>3489</v>
      </c>
      <c r="M845" s="1" t="str">
        <f t="shared" si="91"/>
        <v>06B352</v>
      </c>
      <c r="N845" s="1" t="str">
        <f t="shared" si="92"/>
        <v>C/O</v>
      </c>
      <c r="O845" s="1" t="str">
        <f t="shared" si="93"/>
        <v>Axle Group RHF</v>
      </c>
      <c r="P845" s="1" t="str">
        <f t="shared" si="94"/>
        <v>RBT0</v>
      </c>
      <c r="Q845" s="2" t="str">
        <f t="shared" si="95"/>
        <v>RBT0Axle Group RHF</v>
      </c>
      <c r="R845" s="2" t="str">
        <f>New_Xref[[#This Row],[Serial Prefix]]&amp;IF(New_Xref[[#This Row],[Func Loc]]&lt;&gt;"",New_Xref[[#This Row],[Func Loc]],"NO MATCH")</f>
        <v>RBT0FDRV .AXAF.COGR</v>
      </c>
      <c r="S845" s="3" t="str">
        <f t="shared" si="96"/>
        <v>RBT03377950XFSRAxle Group RHF</v>
      </c>
      <c r="T845" s="3" t="s">
        <v>2441</v>
      </c>
      <c r="U845" s="3" t="s">
        <v>92</v>
      </c>
      <c r="V845" t="str">
        <f t="shared" si="97"/>
        <v>4016RF</v>
      </c>
    </row>
    <row r="846" spans="1:22">
      <c r="A846" t="s">
        <v>3333</v>
      </c>
      <c r="B846" t="s">
        <v>3377</v>
      </c>
      <c r="C846" t="s">
        <v>3473</v>
      </c>
      <c r="D846" t="s">
        <v>3474</v>
      </c>
      <c r="E846" t="s">
        <v>3468</v>
      </c>
      <c r="F846" t="s">
        <v>27</v>
      </c>
      <c r="G846">
        <v>1</v>
      </c>
      <c r="H846" t="s">
        <v>3490</v>
      </c>
      <c r="I846" t="s">
        <v>3491</v>
      </c>
      <c r="J846" t="s">
        <v>3492</v>
      </c>
      <c r="K846" t="s">
        <v>3491</v>
      </c>
      <c r="L846" t="s">
        <v>3489</v>
      </c>
      <c r="M846" s="1" t="str">
        <f t="shared" si="91"/>
        <v>06H262</v>
      </c>
      <c r="N846" s="1" t="str">
        <f t="shared" si="92"/>
        <v>C/O</v>
      </c>
      <c r="O846" s="1" t="str">
        <f t="shared" si="93"/>
        <v>Axle Group RHF</v>
      </c>
      <c r="P846" s="1" t="str">
        <f t="shared" si="94"/>
        <v>SSP0</v>
      </c>
      <c r="Q846" s="2" t="str">
        <f t="shared" si="95"/>
        <v>SSP0Axle Group RHF</v>
      </c>
      <c r="R846" s="2" t="str">
        <f>New_Xref[[#This Row],[Serial Prefix]]&amp;IF(New_Xref[[#This Row],[Func Loc]]&lt;&gt;"",New_Xref[[#This Row],[Func Loc]],"NO MATCH")</f>
        <v>SSP0FDRV .AXAF.COGR</v>
      </c>
      <c r="S846" s="3" t="str">
        <f t="shared" si="96"/>
        <v>SSP03377950XFSRAxle Group RHF</v>
      </c>
      <c r="T846" s="3" t="s">
        <v>2441</v>
      </c>
      <c r="U846" s="3" t="s">
        <v>92</v>
      </c>
      <c r="V846" t="str">
        <f t="shared" si="97"/>
        <v>4016RF</v>
      </c>
    </row>
    <row r="847" spans="1:22">
      <c r="A847" t="s">
        <v>3333</v>
      </c>
      <c r="B847" t="s">
        <v>3377</v>
      </c>
      <c r="C847" t="s">
        <v>3473</v>
      </c>
      <c r="D847" t="s">
        <v>3474</v>
      </c>
      <c r="E847" t="s">
        <v>3468</v>
      </c>
      <c r="F847" t="s">
        <v>27</v>
      </c>
      <c r="G847">
        <v>1</v>
      </c>
      <c r="H847" t="s">
        <v>3490</v>
      </c>
      <c r="I847" t="s">
        <v>3493</v>
      </c>
      <c r="J847" t="s">
        <v>3492</v>
      </c>
      <c r="K847" t="s">
        <v>3494</v>
      </c>
      <c r="L847" t="s">
        <v>83</v>
      </c>
      <c r="M847" s="1" t="str">
        <f t="shared" si="91"/>
        <v>06H262</v>
      </c>
      <c r="N847" s="1" t="str">
        <f t="shared" si="92"/>
        <v>C/O</v>
      </c>
      <c r="O847" s="1" t="str">
        <f t="shared" si="93"/>
        <v>Corner Group RHF</v>
      </c>
      <c r="P847" s="1" t="str">
        <f t="shared" si="94"/>
        <v>SSP0</v>
      </c>
      <c r="Q847" s="2" t="str">
        <f t="shared" si="95"/>
        <v>SSP0Corner Group RHF</v>
      </c>
      <c r="R847" s="2" t="str">
        <f>New_Xref[[#This Row],[Serial Prefix]]&amp;IF(New_Xref[[#This Row],[Func Loc]]&lt;&gt;"",New_Xref[[#This Row],[Func Loc]],"NO MATCH")</f>
        <v>SSP0NO MATCH</v>
      </c>
      <c r="S847" s="3" t="str">
        <f t="shared" si="96"/>
        <v>SSP03377950XFSRCorner Group RHF</v>
      </c>
      <c r="T847" s="3" t="s">
        <v>2441</v>
      </c>
      <c r="U847" s="3" t="s">
        <v>92</v>
      </c>
      <c r="V847" t="str">
        <f t="shared" si="97"/>
        <v>4016RF</v>
      </c>
    </row>
    <row r="848" spans="1:22">
      <c r="A848" t="s">
        <v>3333</v>
      </c>
      <c r="B848" t="s">
        <v>3495</v>
      </c>
      <c r="C848" t="s">
        <v>3466</v>
      </c>
      <c r="D848" t="s">
        <v>3467</v>
      </c>
      <c r="E848" t="s">
        <v>3468</v>
      </c>
      <c r="F848" t="s">
        <v>27</v>
      </c>
      <c r="G848">
        <v>1</v>
      </c>
      <c r="H848" t="s">
        <v>3496</v>
      </c>
      <c r="I848" t="s">
        <v>3497</v>
      </c>
      <c r="J848" t="s">
        <v>3498</v>
      </c>
      <c r="K848" t="s">
        <v>3497</v>
      </c>
      <c r="L848" t="s">
        <v>3486</v>
      </c>
      <c r="M848" s="1" t="str">
        <f t="shared" si="91"/>
        <v>06H262</v>
      </c>
      <c r="N848" s="1" t="str">
        <f t="shared" si="92"/>
        <v>C/O</v>
      </c>
      <c r="O848" s="1" t="str">
        <f t="shared" si="93"/>
        <v>Axle Group LHF</v>
      </c>
      <c r="P848" s="1" t="str">
        <f t="shared" si="94"/>
        <v>SSP0</v>
      </c>
      <c r="Q848" s="2" t="str">
        <f t="shared" si="95"/>
        <v>SSP0Axle Group LHF</v>
      </c>
      <c r="R848" s="2" t="str">
        <f>New_Xref[[#This Row],[Serial Prefix]]&amp;IF(New_Xref[[#This Row],[Func Loc]]&lt;&gt;"",New_Xref[[#This Row],[Func Loc]],"NO MATCH")</f>
        <v>SSP0FDRV .AXAF.COGL</v>
      </c>
      <c r="S848" s="3" t="str">
        <f t="shared" si="96"/>
        <v>SSP03377950XFSLAxle Group LHF</v>
      </c>
      <c r="T848" s="3" t="s">
        <v>2441</v>
      </c>
      <c r="U848" s="3" t="s">
        <v>89</v>
      </c>
      <c r="V848" t="str">
        <f t="shared" si="97"/>
        <v>4016LF</v>
      </c>
    </row>
    <row r="849" spans="1:22">
      <c r="A849" t="s">
        <v>3333</v>
      </c>
      <c r="B849" t="s">
        <v>3495</v>
      </c>
      <c r="C849" t="s">
        <v>3466</v>
      </c>
      <c r="D849" t="s">
        <v>3467</v>
      </c>
      <c r="E849" t="s">
        <v>3468</v>
      </c>
      <c r="F849" t="s">
        <v>27</v>
      </c>
      <c r="G849">
        <v>1</v>
      </c>
      <c r="H849" t="s">
        <v>3496</v>
      </c>
      <c r="I849" t="s">
        <v>3499</v>
      </c>
      <c r="J849" t="s">
        <v>3500</v>
      </c>
      <c r="K849" t="s">
        <v>3501</v>
      </c>
      <c r="L849" t="s">
        <v>83</v>
      </c>
      <c r="M849" s="1" t="str">
        <f t="shared" si="91"/>
        <v>06H265</v>
      </c>
      <c r="N849" s="1" t="str">
        <f t="shared" si="92"/>
        <v>C/O</v>
      </c>
      <c r="O849" s="1" t="str">
        <f t="shared" si="93"/>
        <v>Corner Group LHF</v>
      </c>
      <c r="P849" s="1" t="str">
        <f t="shared" si="94"/>
        <v>SSP0</v>
      </c>
      <c r="Q849" s="2" t="str">
        <f t="shared" si="95"/>
        <v>SSP0Corner Group LHF</v>
      </c>
      <c r="R849" s="2" t="str">
        <f>New_Xref[[#This Row],[Serial Prefix]]&amp;IF(New_Xref[[#This Row],[Func Loc]]&lt;&gt;"",New_Xref[[#This Row],[Func Loc]],"NO MATCH")</f>
        <v>SSP0NO MATCH</v>
      </c>
      <c r="S849" s="3" t="str">
        <f t="shared" si="96"/>
        <v>SSP03377950XFSLCorner Group LHF</v>
      </c>
      <c r="T849" s="3" t="s">
        <v>2441</v>
      </c>
      <c r="U849" s="3" t="s">
        <v>89</v>
      </c>
      <c r="V849" t="str">
        <f t="shared" si="97"/>
        <v>4016LF</v>
      </c>
    </row>
    <row r="850" spans="1:22">
      <c r="A850" t="s">
        <v>3333</v>
      </c>
      <c r="B850" t="s">
        <v>3334</v>
      </c>
      <c r="C850" t="s">
        <v>3309</v>
      </c>
      <c r="D850" t="s">
        <v>3310</v>
      </c>
      <c r="E850" t="s">
        <v>3311</v>
      </c>
      <c r="F850" t="s">
        <v>27</v>
      </c>
      <c r="G850">
        <v>1</v>
      </c>
      <c r="H850" t="s">
        <v>3502</v>
      </c>
      <c r="I850" t="s">
        <v>3503</v>
      </c>
      <c r="J850" t="s">
        <v>3504</v>
      </c>
      <c r="K850" t="s">
        <v>3503</v>
      </c>
      <c r="L850" t="s">
        <v>83</v>
      </c>
      <c r="M850" s="1" t="str">
        <f t="shared" si="91"/>
        <v>06B352</v>
      </c>
      <c r="N850" s="1" t="str">
        <f t="shared" si="92"/>
        <v>C/O</v>
      </c>
      <c r="O850" s="1" t="str">
        <f t="shared" si="93"/>
        <v>Brake Oil Cooler Pump</v>
      </c>
      <c r="P850" s="1" t="str">
        <f t="shared" si="94"/>
        <v>RBT0</v>
      </c>
      <c r="Q850" s="2" t="str">
        <f t="shared" si="95"/>
        <v>RBT0Brake Oil Cooler Pump</v>
      </c>
      <c r="R850" s="2" t="str">
        <f>New_Xref[[#This Row],[Serial Prefix]]&amp;IF(New_Xref[[#This Row],[Func Loc]]&lt;&gt;"",New_Xref[[#This Row],[Func Loc]],"NO MATCH")</f>
        <v>RBT0NO MATCH</v>
      </c>
      <c r="S850" s="3" t="str">
        <f t="shared" si="96"/>
        <v>RBT020R7440Brake Oil Cooler Pump</v>
      </c>
      <c r="T850" s="3" t="s">
        <v>689</v>
      </c>
      <c r="U850" s="3" t="s">
        <v>34</v>
      </c>
      <c r="V850" t="str">
        <f t="shared" si="97"/>
        <v>426800</v>
      </c>
    </row>
    <row r="851" spans="1:22">
      <c r="A851" t="s">
        <v>3333</v>
      </c>
      <c r="B851" t="s">
        <v>3377</v>
      </c>
      <c r="C851" t="s">
        <v>3309</v>
      </c>
      <c r="D851" t="s">
        <v>3310</v>
      </c>
      <c r="E851" t="s">
        <v>3311</v>
      </c>
      <c r="F851" t="s">
        <v>27</v>
      </c>
      <c r="G851">
        <v>1</v>
      </c>
      <c r="H851" t="s">
        <v>3505</v>
      </c>
      <c r="I851" t="s">
        <v>3506</v>
      </c>
      <c r="J851" t="s">
        <v>3507</v>
      </c>
      <c r="K851" t="s">
        <v>3506</v>
      </c>
      <c r="L851" t="s">
        <v>83</v>
      </c>
      <c r="M851" s="1" t="str">
        <f t="shared" si="91"/>
        <v>06H262</v>
      </c>
      <c r="N851" s="1" t="str">
        <f t="shared" si="92"/>
        <v>C/O</v>
      </c>
      <c r="O851" s="1" t="str">
        <f t="shared" si="93"/>
        <v>Brake Oil Cooler Pump</v>
      </c>
      <c r="P851" s="1" t="str">
        <f t="shared" si="94"/>
        <v>SSP0</v>
      </c>
      <c r="Q851" s="2" t="str">
        <f t="shared" si="95"/>
        <v>SSP0Brake Oil Cooler Pump</v>
      </c>
      <c r="R851" s="2" t="str">
        <f>New_Xref[[#This Row],[Serial Prefix]]&amp;IF(New_Xref[[#This Row],[Func Loc]]&lt;&gt;"",New_Xref[[#This Row],[Func Loc]],"NO MATCH")</f>
        <v>SSP0NO MATCH</v>
      </c>
      <c r="S851" s="3" t="str">
        <f t="shared" si="96"/>
        <v>SSP020R7440Brake Oil Cooler Pump</v>
      </c>
      <c r="T851" s="3" t="s">
        <v>689</v>
      </c>
      <c r="U851" s="3" t="s">
        <v>34</v>
      </c>
      <c r="V851" t="str">
        <f t="shared" si="97"/>
        <v>426800</v>
      </c>
    </row>
    <row r="852" spans="1:22">
      <c r="A852" t="s">
        <v>3333</v>
      </c>
      <c r="B852" t="s">
        <v>3334</v>
      </c>
      <c r="C852" t="s">
        <v>3142</v>
      </c>
      <c r="D852" t="s">
        <v>3143</v>
      </c>
      <c r="E852" t="s">
        <v>3144</v>
      </c>
      <c r="F852" t="s">
        <v>27</v>
      </c>
      <c r="G852">
        <v>1</v>
      </c>
      <c r="H852" t="s">
        <v>3508</v>
      </c>
      <c r="I852" t="s">
        <v>3509</v>
      </c>
      <c r="J852" t="s">
        <v>3510</v>
      </c>
      <c r="K852" t="s">
        <v>3509</v>
      </c>
      <c r="L852" t="s">
        <v>597</v>
      </c>
      <c r="M852" s="1" t="str">
        <f t="shared" si="91"/>
        <v>06B352</v>
      </c>
      <c r="N852" s="1" t="str">
        <f t="shared" si="92"/>
        <v>C/O</v>
      </c>
      <c r="O852" s="1" t="str">
        <f t="shared" si="93"/>
        <v>Steering Cylinder LH</v>
      </c>
      <c r="P852" s="1" t="str">
        <f t="shared" si="94"/>
        <v>RBT0</v>
      </c>
      <c r="Q852" s="2" t="str">
        <f t="shared" si="95"/>
        <v>RBT0Steering Cylinder LH</v>
      </c>
      <c r="R852" s="2" t="str">
        <f>New_Xref[[#This Row],[Serial Prefix]]&amp;IF(New_Xref[[#This Row],[Func Loc]]&lt;&gt;"",New_Xref[[#This Row],[Func Loc]],"NO MATCH")</f>
        <v>RBT0STRG .CYLI.STCL</v>
      </c>
      <c r="S852" s="3" t="str">
        <f t="shared" si="96"/>
        <v>RBT06239954XSteering Cylinder LH</v>
      </c>
      <c r="T852" s="3" t="s">
        <v>107</v>
      </c>
      <c r="U852" s="3" t="s">
        <v>108</v>
      </c>
      <c r="V852" t="str">
        <f t="shared" si="97"/>
        <v>4303LT</v>
      </c>
    </row>
    <row r="853" spans="1:22">
      <c r="A853" t="s">
        <v>3333</v>
      </c>
      <c r="B853" t="s">
        <v>3334</v>
      </c>
      <c r="C853" t="s">
        <v>3148</v>
      </c>
      <c r="D853" t="s">
        <v>3149</v>
      </c>
      <c r="E853" t="s">
        <v>3144</v>
      </c>
      <c r="F853" t="s">
        <v>27</v>
      </c>
      <c r="G853">
        <v>1</v>
      </c>
      <c r="H853" t="s">
        <v>3511</v>
      </c>
      <c r="I853" t="s">
        <v>3512</v>
      </c>
      <c r="J853" t="s">
        <v>3513</v>
      </c>
      <c r="K853" t="s">
        <v>3512</v>
      </c>
      <c r="L853" t="s">
        <v>600</v>
      </c>
      <c r="M853" s="1" t="str">
        <f t="shared" si="91"/>
        <v>06B352</v>
      </c>
      <c r="N853" s="1" t="str">
        <f t="shared" si="92"/>
        <v>C/O</v>
      </c>
      <c r="O853" s="1" t="str">
        <f t="shared" si="93"/>
        <v>Steering Cylinder RH</v>
      </c>
      <c r="P853" s="1" t="str">
        <f t="shared" si="94"/>
        <v>RBT0</v>
      </c>
      <c r="Q853" s="2" t="str">
        <f t="shared" si="95"/>
        <v>RBT0Steering Cylinder RH</v>
      </c>
      <c r="R853" s="2" t="str">
        <f>New_Xref[[#This Row],[Serial Prefix]]&amp;IF(New_Xref[[#This Row],[Func Loc]]&lt;&gt;"",New_Xref[[#This Row],[Func Loc]],"NO MATCH")</f>
        <v>RBT0STRG .CYLI.STCR</v>
      </c>
      <c r="S853" s="3" t="str">
        <f t="shared" si="96"/>
        <v>RBT06239953XSteering Cylinder RH</v>
      </c>
      <c r="T853" s="3" t="s">
        <v>107</v>
      </c>
      <c r="U853" s="3" t="s">
        <v>115</v>
      </c>
      <c r="V853" t="str">
        <f t="shared" si="97"/>
        <v>4303RI</v>
      </c>
    </row>
    <row r="854" spans="1:22">
      <c r="A854" t="s">
        <v>3333</v>
      </c>
      <c r="B854" t="s">
        <v>3377</v>
      </c>
      <c r="C854" t="s">
        <v>3142</v>
      </c>
      <c r="D854" t="s">
        <v>3143</v>
      </c>
      <c r="E854" t="s">
        <v>3144</v>
      </c>
      <c r="F854" t="s">
        <v>27</v>
      </c>
      <c r="G854">
        <v>1</v>
      </c>
      <c r="H854" t="s">
        <v>3514</v>
      </c>
      <c r="I854" t="s">
        <v>3515</v>
      </c>
      <c r="J854" t="s">
        <v>3516</v>
      </c>
      <c r="K854" t="s">
        <v>3515</v>
      </c>
      <c r="L854" t="s">
        <v>597</v>
      </c>
      <c r="M854" s="1" t="str">
        <f t="shared" si="91"/>
        <v>06H262</v>
      </c>
      <c r="N854" s="1" t="str">
        <f t="shared" si="92"/>
        <v>C/O</v>
      </c>
      <c r="O854" s="1" t="str">
        <f t="shared" si="93"/>
        <v>Steering Cylinder LH</v>
      </c>
      <c r="P854" s="1" t="str">
        <f t="shared" si="94"/>
        <v>SSP0</v>
      </c>
      <c r="Q854" s="2" t="str">
        <f t="shared" si="95"/>
        <v>SSP0Steering Cylinder LH</v>
      </c>
      <c r="R854" s="2" t="str">
        <f>New_Xref[[#This Row],[Serial Prefix]]&amp;IF(New_Xref[[#This Row],[Func Loc]]&lt;&gt;"",New_Xref[[#This Row],[Func Loc]],"NO MATCH")</f>
        <v>SSP0STRG .CYLI.STCL</v>
      </c>
      <c r="S854" s="3" t="str">
        <f t="shared" si="96"/>
        <v>SSP06239954XSteering Cylinder LH</v>
      </c>
      <c r="T854" s="3" t="s">
        <v>107</v>
      </c>
      <c r="U854" s="3" t="s">
        <v>108</v>
      </c>
      <c r="V854" t="str">
        <f t="shared" si="97"/>
        <v>4303LT</v>
      </c>
    </row>
    <row r="855" spans="1:22">
      <c r="A855" t="s">
        <v>3333</v>
      </c>
      <c r="B855" t="s">
        <v>3377</v>
      </c>
      <c r="C855" t="s">
        <v>3148</v>
      </c>
      <c r="D855" t="s">
        <v>3149</v>
      </c>
      <c r="E855" t="s">
        <v>3144</v>
      </c>
      <c r="F855" t="s">
        <v>27</v>
      </c>
      <c r="G855">
        <v>1</v>
      </c>
      <c r="H855" t="s">
        <v>3517</v>
      </c>
      <c r="I855" t="s">
        <v>3518</v>
      </c>
      <c r="J855" t="s">
        <v>3519</v>
      </c>
      <c r="K855" t="s">
        <v>3518</v>
      </c>
      <c r="L855" t="s">
        <v>600</v>
      </c>
      <c r="M855" s="1" t="str">
        <f t="shared" si="91"/>
        <v>06H262</v>
      </c>
      <c r="N855" s="1" t="str">
        <f t="shared" si="92"/>
        <v>C/O</v>
      </c>
      <c r="O855" s="1" t="str">
        <f t="shared" si="93"/>
        <v>Steering Cylinder RH</v>
      </c>
      <c r="P855" s="1" t="str">
        <f t="shared" si="94"/>
        <v>SSP0</v>
      </c>
      <c r="Q855" s="2" t="str">
        <f t="shared" si="95"/>
        <v>SSP0Steering Cylinder RH</v>
      </c>
      <c r="R855" s="2" t="str">
        <f>New_Xref[[#This Row],[Serial Prefix]]&amp;IF(New_Xref[[#This Row],[Func Loc]]&lt;&gt;"",New_Xref[[#This Row],[Func Loc]],"NO MATCH")</f>
        <v>SSP0STRG .CYLI.STCR</v>
      </c>
      <c r="S855" s="3" t="str">
        <f t="shared" si="96"/>
        <v>SSP06239953XSteering Cylinder RH</v>
      </c>
      <c r="T855" s="3" t="s">
        <v>107</v>
      </c>
      <c r="U855" s="3" t="s">
        <v>115</v>
      </c>
      <c r="V855" t="str">
        <f t="shared" si="97"/>
        <v>4303RI</v>
      </c>
    </row>
    <row r="856" spans="1:22">
      <c r="A856" t="s">
        <v>3333</v>
      </c>
      <c r="B856" t="s">
        <v>3334</v>
      </c>
      <c r="C856" t="s">
        <v>3520</v>
      </c>
      <c r="D856" t="s">
        <v>3521</v>
      </c>
      <c r="E856" t="s">
        <v>3522</v>
      </c>
      <c r="F856" t="s">
        <v>27</v>
      </c>
      <c r="G856">
        <v>1</v>
      </c>
      <c r="H856" t="s">
        <v>3523</v>
      </c>
      <c r="I856" t="s">
        <v>3524</v>
      </c>
      <c r="J856" t="s">
        <v>3525</v>
      </c>
      <c r="K856" t="s">
        <v>3524</v>
      </c>
      <c r="L856" t="s">
        <v>3526</v>
      </c>
      <c r="M856" s="1" t="str">
        <f t="shared" si="91"/>
        <v>06B352</v>
      </c>
      <c r="N856" s="1" t="str">
        <f t="shared" si="92"/>
        <v>C/O</v>
      </c>
      <c r="O856" s="1" t="str">
        <f t="shared" si="93"/>
        <v>Steering &amp; Cooling Fan Pump</v>
      </c>
      <c r="P856" s="1" t="str">
        <f t="shared" si="94"/>
        <v>RBT0</v>
      </c>
      <c r="Q856" s="2" t="str">
        <f t="shared" si="95"/>
        <v>RBT0Steering &amp; Cooling Fan Pump</v>
      </c>
      <c r="R856" s="2" t="str">
        <f>New_Xref[[#This Row],[Serial Prefix]]&amp;IF(New_Xref[[#This Row],[Func Loc]]&lt;&gt;"",New_Xref[[#This Row],[Func Loc]],"NO MATCH")</f>
        <v>RBT0STRG .PUMP.STCF</v>
      </c>
      <c r="S856" s="3" t="str">
        <f t="shared" si="96"/>
        <v>RBT020R0936Steering &amp; Cooling Fan Pump</v>
      </c>
      <c r="T856" s="3" t="s">
        <v>220</v>
      </c>
      <c r="U856" s="3" t="s">
        <v>34</v>
      </c>
      <c r="V856" t="str">
        <f t="shared" si="97"/>
        <v>507000</v>
      </c>
    </row>
    <row r="857" spans="1:22">
      <c r="A857" t="s">
        <v>3333</v>
      </c>
      <c r="B857" t="s">
        <v>3377</v>
      </c>
      <c r="C857" t="s">
        <v>3520</v>
      </c>
      <c r="D857" t="s">
        <v>3521</v>
      </c>
      <c r="E857" t="s">
        <v>3522</v>
      </c>
      <c r="F857" t="s">
        <v>27</v>
      </c>
      <c r="G857">
        <v>1</v>
      </c>
      <c r="H857" t="s">
        <v>3527</v>
      </c>
      <c r="I857" t="s">
        <v>3528</v>
      </c>
      <c r="J857" t="s">
        <v>3529</v>
      </c>
      <c r="K857" t="s">
        <v>3528</v>
      </c>
      <c r="L857" t="s">
        <v>3526</v>
      </c>
      <c r="M857" s="1" t="str">
        <f t="shared" si="91"/>
        <v>06H262</v>
      </c>
      <c r="N857" s="1" t="str">
        <f t="shared" si="92"/>
        <v>C/O</v>
      </c>
      <c r="O857" s="1" t="str">
        <f t="shared" si="93"/>
        <v>Steering &amp; Cooling Fan Pump</v>
      </c>
      <c r="P857" s="1" t="str">
        <f t="shared" si="94"/>
        <v>SSP0</v>
      </c>
      <c r="Q857" s="2" t="str">
        <f t="shared" si="95"/>
        <v>SSP0Steering &amp; Cooling Fan Pump</v>
      </c>
      <c r="R857" s="2" t="str">
        <f>New_Xref[[#This Row],[Serial Prefix]]&amp;IF(New_Xref[[#This Row],[Func Loc]]&lt;&gt;"",New_Xref[[#This Row],[Func Loc]],"NO MATCH")</f>
        <v>SSP0STRG .PUMP.STCF</v>
      </c>
      <c r="S857" s="3" t="str">
        <f t="shared" si="96"/>
        <v>SSP020R0936Steering &amp; Cooling Fan Pump</v>
      </c>
      <c r="T857" s="3" t="s">
        <v>220</v>
      </c>
      <c r="U857" s="3" t="s">
        <v>34</v>
      </c>
      <c r="V857" t="str">
        <f t="shared" si="97"/>
        <v>507000</v>
      </c>
    </row>
    <row r="858" spans="1:22">
      <c r="A858" t="s">
        <v>3333</v>
      </c>
      <c r="B858" t="s">
        <v>3334</v>
      </c>
      <c r="C858" t="s">
        <v>3530</v>
      </c>
      <c r="D858" t="s">
        <v>3531</v>
      </c>
      <c r="E858" t="s">
        <v>3532</v>
      </c>
      <c r="F858" t="s">
        <v>27</v>
      </c>
      <c r="G858">
        <v>1</v>
      </c>
      <c r="H858" t="s">
        <v>3533</v>
      </c>
      <c r="I858" t="s">
        <v>3534</v>
      </c>
      <c r="J858" t="s">
        <v>3535</v>
      </c>
      <c r="K858" t="s">
        <v>3534</v>
      </c>
      <c r="L858" t="s">
        <v>3536</v>
      </c>
      <c r="M858" s="1" t="str">
        <f t="shared" si="91"/>
        <v>06B352</v>
      </c>
      <c r="N858" s="1" t="str">
        <f t="shared" si="92"/>
        <v>C/O</v>
      </c>
      <c r="O858" s="1" t="str">
        <f t="shared" si="93"/>
        <v>Hoist &amp; Brake Cooling Pump</v>
      </c>
      <c r="P858" s="1" t="str">
        <f t="shared" si="94"/>
        <v>RBT0</v>
      </c>
      <c r="Q858" s="2" t="str">
        <f t="shared" si="95"/>
        <v>RBT0Hoist &amp; Brake Cooling Pump</v>
      </c>
      <c r="R858" s="2" t="str">
        <f>New_Xref[[#This Row],[Serial Prefix]]&amp;IF(New_Xref[[#This Row],[Func Loc]]&lt;&gt;"",New_Xref[[#This Row],[Func Loc]],"NO MATCH")</f>
        <v>RBT0MYHD .PUMP.HBCP</v>
      </c>
      <c r="S858" s="3" t="str">
        <f t="shared" si="96"/>
        <v>RBT020R6508Hoist &amp; Brake Cooling Pump</v>
      </c>
      <c r="T858" s="3" t="s">
        <v>2607</v>
      </c>
      <c r="U858" s="3" t="s">
        <v>34</v>
      </c>
      <c r="V858" t="str">
        <f t="shared" si="97"/>
        <v>508300</v>
      </c>
    </row>
    <row r="859" spans="1:22">
      <c r="A859" t="s">
        <v>3333</v>
      </c>
      <c r="B859" t="s">
        <v>3377</v>
      </c>
      <c r="C859" t="s">
        <v>3530</v>
      </c>
      <c r="D859" t="s">
        <v>3531</v>
      </c>
      <c r="E859" t="s">
        <v>3532</v>
      </c>
      <c r="F859" t="s">
        <v>27</v>
      </c>
      <c r="G859">
        <v>1</v>
      </c>
      <c r="H859" t="s">
        <v>3537</v>
      </c>
      <c r="I859" t="s">
        <v>3538</v>
      </c>
      <c r="J859" t="s">
        <v>3539</v>
      </c>
      <c r="K859" t="s">
        <v>3538</v>
      </c>
      <c r="L859" t="s">
        <v>3536</v>
      </c>
      <c r="M859" s="1" t="str">
        <f t="shared" si="91"/>
        <v>06H262</v>
      </c>
      <c r="N859" s="1" t="str">
        <f t="shared" si="92"/>
        <v>C/O</v>
      </c>
      <c r="O859" s="1" t="str">
        <f t="shared" si="93"/>
        <v>Hoist &amp; Brake Cooling Pump</v>
      </c>
      <c r="P859" s="1" t="str">
        <f t="shared" si="94"/>
        <v>SSP0</v>
      </c>
      <c r="Q859" s="2" t="str">
        <f t="shared" si="95"/>
        <v>SSP0Hoist &amp; Brake Cooling Pump</v>
      </c>
      <c r="R859" s="2" t="str">
        <f>New_Xref[[#This Row],[Serial Prefix]]&amp;IF(New_Xref[[#This Row],[Func Loc]]&lt;&gt;"",New_Xref[[#This Row],[Func Loc]],"NO MATCH")</f>
        <v>SSP0MYHD .PUMP.HBCP</v>
      </c>
      <c r="S859" s="3" t="str">
        <f t="shared" si="96"/>
        <v>SSP020R6508Hoist &amp; Brake Cooling Pump</v>
      </c>
      <c r="T859" s="3" t="s">
        <v>2607</v>
      </c>
      <c r="U859" s="3" t="s">
        <v>34</v>
      </c>
      <c r="V859" t="str">
        <f t="shared" si="97"/>
        <v>508300</v>
      </c>
    </row>
    <row r="860" spans="1:22">
      <c r="A860" t="s">
        <v>3333</v>
      </c>
      <c r="B860" t="s">
        <v>3334</v>
      </c>
      <c r="C860" t="s">
        <v>3540</v>
      </c>
      <c r="D860" t="s">
        <v>3541</v>
      </c>
      <c r="E860" t="s">
        <v>3542</v>
      </c>
      <c r="F860" t="s">
        <v>27</v>
      </c>
      <c r="G860">
        <v>1</v>
      </c>
      <c r="H860" t="s">
        <v>3543</v>
      </c>
      <c r="I860" t="s">
        <v>3544</v>
      </c>
      <c r="J860" t="s">
        <v>3545</v>
      </c>
      <c r="K860" t="s">
        <v>3544</v>
      </c>
      <c r="L860" t="s">
        <v>2995</v>
      </c>
      <c r="M860" s="1" t="str">
        <f t="shared" si="91"/>
        <v>06B352</v>
      </c>
      <c r="N860" s="1" t="str">
        <f t="shared" si="92"/>
        <v>C/O</v>
      </c>
      <c r="O860" s="1" t="str">
        <f t="shared" si="93"/>
        <v>Hoist Cylinder LH</v>
      </c>
      <c r="P860" s="1" t="str">
        <f t="shared" si="94"/>
        <v>RBT0</v>
      </c>
      <c r="Q860" s="2" t="str">
        <f t="shared" si="95"/>
        <v>RBT0Hoist Cylinder LH</v>
      </c>
      <c r="R860" s="2" t="str">
        <f>New_Xref[[#This Row],[Serial Prefix]]&amp;IF(New_Xref[[#This Row],[Func Loc]]&lt;&gt;"",New_Xref[[#This Row],[Func Loc]],"NO MATCH")</f>
        <v>RBT0MYHD .CYLI.HOIL</v>
      </c>
      <c r="S860" s="3" t="str">
        <f t="shared" si="96"/>
        <v>RBT02955708XHoist Cylinder LH</v>
      </c>
      <c r="T860" s="3" t="s">
        <v>130</v>
      </c>
      <c r="U860" s="3" t="s">
        <v>108</v>
      </c>
      <c r="V860" t="str">
        <f t="shared" si="97"/>
        <v>5102LT</v>
      </c>
    </row>
    <row r="861" spans="1:22">
      <c r="A861" t="s">
        <v>3333</v>
      </c>
      <c r="B861" t="s">
        <v>3334</v>
      </c>
      <c r="C861" t="s">
        <v>3540</v>
      </c>
      <c r="D861" t="s">
        <v>3541</v>
      </c>
      <c r="E861" t="s">
        <v>3542</v>
      </c>
      <c r="F861" t="s">
        <v>27</v>
      </c>
      <c r="G861">
        <v>1</v>
      </c>
      <c r="H861" t="s">
        <v>3543</v>
      </c>
      <c r="I861" t="s">
        <v>3546</v>
      </c>
      <c r="J861" t="s">
        <v>3547</v>
      </c>
      <c r="K861" t="s">
        <v>3546</v>
      </c>
      <c r="L861" t="s">
        <v>2998</v>
      </c>
      <c r="M861" s="1" t="str">
        <f t="shared" si="91"/>
        <v>06B352</v>
      </c>
      <c r="N861" s="1" t="str">
        <f t="shared" si="92"/>
        <v>C/O</v>
      </c>
      <c r="O861" s="1" t="str">
        <f t="shared" si="93"/>
        <v>Hoist Cylinder RH</v>
      </c>
      <c r="P861" s="1" t="str">
        <f t="shared" si="94"/>
        <v>RBT0</v>
      </c>
      <c r="Q861" s="2" t="str">
        <f t="shared" si="95"/>
        <v>RBT0Hoist Cylinder RH</v>
      </c>
      <c r="R861" s="2" t="str">
        <f>New_Xref[[#This Row],[Serial Prefix]]&amp;IF(New_Xref[[#This Row],[Func Loc]]&lt;&gt;"",New_Xref[[#This Row],[Func Loc]],"NO MATCH")</f>
        <v>RBT0MYHD .CYLI.HOIR</v>
      </c>
      <c r="S861" s="3" t="str">
        <f t="shared" si="96"/>
        <v>RBT02955708XHoist Cylinder RH</v>
      </c>
      <c r="T861" s="3" t="s">
        <v>130</v>
      </c>
      <c r="U861" s="3" t="s">
        <v>115</v>
      </c>
      <c r="V861" t="str">
        <f t="shared" si="97"/>
        <v>5102RI</v>
      </c>
    </row>
    <row r="862" spans="1:22">
      <c r="A862" t="s">
        <v>3333</v>
      </c>
      <c r="B862" t="s">
        <v>3377</v>
      </c>
      <c r="C862" t="s">
        <v>3540</v>
      </c>
      <c r="D862" t="s">
        <v>3541</v>
      </c>
      <c r="E862" t="s">
        <v>3542</v>
      </c>
      <c r="F862" t="s">
        <v>27</v>
      </c>
      <c r="G862">
        <v>1</v>
      </c>
      <c r="H862" t="s">
        <v>3548</v>
      </c>
      <c r="I862" t="s">
        <v>3549</v>
      </c>
      <c r="J862" t="s">
        <v>3550</v>
      </c>
      <c r="K862" t="s">
        <v>3549</v>
      </c>
      <c r="L862" t="s">
        <v>2995</v>
      </c>
      <c r="M862" s="1" t="str">
        <f t="shared" si="91"/>
        <v>06H262</v>
      </c>
      <c r="N862" s="1" t="str">
        <f t="shared" si="92"/>
        <v>C/O</v>
      </c>
      <c r="O862" s="1" t="str">
        <f t="shared" si="93"/>
        <v>Hoist Cylinder LH</v>
      </c>
      <c r="P862" s="1" t="str">
        <f t="shared" si="94"/>
        <v>SSP0</v>
      </c>
      <c r="Q862" s="2" t="str">
        <f t="shared" si="95"/>
        <v>SSP0Hoist Cylinder LH</v>
      </c>
      <c r="R862" s="2" t="str">
        <f>New_Xref[[#This Row],[Serial Prefix]]&amp;IF(New_Xref[[#This Row],[Func Loc]]&lt;&gt;"",New_Xref[[#This Row],[Func Loc]],"NO MATCH")</f>
        <v>SSP0MYHD .CYLI.HOIL</v>
      </c>
      <c r="S862" s="3" t="str">
        <f t="shared" si="96"/>
        <v>SSP02955708XHoist Cylinder LH</v>
      </c>
      <c r="T862" s="3" t="s">
        <v>130</v>
      </c>
      <c r="U862" s="3" t="s">
        <v>108</v>
      </c>
      <c r="V862" t="str">
        <f t="shared" si="97"/>
        <v>5102LT</v>
      </c>
    </row>
    <row r="863" spans="1:22">
      <c r="A863" t="s">
        <v>3333</v>
      </c>
      <c r="B863" t="s">
        <v>3377</v>
      </c>
      <c r="C863" t="s">
        <v>3540</v>
      </c>
      <c r="D863" t="s">
        <v>3541</v>
      </c>
      <c r="E863" t="s">
        <v>3542</v>
      </c>
      <c r="F863" t="s">
        <v>27</v>
      </c>
      <c r="G863">
        <v>1</v>
      </c>
      <c r="H863" t="s">
        <v>3548</v>
      </c>
      <c r="I863" t="s">
        <v>3551</v>
      </c>
      <c r="J863" t="s">
        <v>3552</v>
      </c>
      <c r="K863" t="s">
        <v>3551</v>
      </c>
      <c r="L863" t="s">
        <v>2998</v>
      </c>
      <c r="M863" s="1" t="str">
        <f t="shared" si="91"/>
        <v>06H262</v>
      </c>
      <c r="N863" s="1" t="str">
        <f t="shared" si="92"/>
        <v>C/O</v>
      </c>
      <c r="O863" s="1" t="str">
        <f t="shared" si="93"/>
        <v>Hoist Cylinder RH</v>
      </c>
      <c r="P863" s="1" t="str">
        <f t="shared" si="94"/>
        <v>SSP0</v>
      </c>
      <c r="Q863" s="2" t="str">
        <f t="shared" si="95"/>
        <v>SSP0Hoist Cylinder RH</v>
      </c>
      <c r="R863" s="2" t="str">
        <f>New_Xref[[#This Row],[Serial Prefix]]&amp;IF(New_Xref[[#This Row],[Func Loc]]&lt;&gt;"",New_Xref[[#This Row],[Func Loc]],"NO MATCH")</f>
        <v>SSP0MYHD .CYLI.HOIR</v>
      </c>
      <c r="S863" s="3" t="str">
        <f t="shared" si="96"/>
        <v>SSP02955708XHoist Cylinder RH</v>
      </c>
      <c r="T863" s="3" t="s">
        <v>130</v>
      </c>
      <c r="U863" s="3" t="s">
        <v>115</v>
      </c>
      <c r="V863" t="str">
        <f t="shared" si="97"/>
        <v>5102RI</v>
      </c>
    </row>
    <row r="864" spans="1:22">
      <c r="A864" t="s">
        <v>3333</v>
      </c>
      <c r="B864" t="s">
        <v>3334</v>
      </c>
      <c r="H864" t="s">
        <v>3553</v>
      </c>
      <c r="I864" t="s">
        <v>3554</v>
      </c>
      <c r="J864" t="s">
        <v>3555</v>
      </c>
      <c r="K864" t="s">
        <v>3554</v>
      </c>
      <c r="L864" t="s">
        <v>520</v>
      </c>
      <c r="M864" s="1" t="str">
        <f t="shared" si="91"/>
        <v>06B352</v>
      </c>
      <c r="N864" s="1" t="str">
        <f t="shared" si="92"/>
        <v>C/O</v>
      </c>
      <c r="O864" s="1" t="str">
        <f t="shared" si="93"/>
        <v>Suspension LHR</v>
      </c>
      <c r="P864" s="1" t="str">
        <f t="shared" si="94"/>
        <v>RBT0</v>
      </c>
      <c r="Q864" s="2" t="str">
        <f t="shared" si="95"/>
        <v>RBT0Suspension LHR</v>
      </c>
      <c r="R864" s="2" t="str">
        <f>New_Xref[[#This Row],[Serial Prefix]]&amp;IF(New_Xref[[#This Row],[Func Loc]]&lt;&gt;"",New_Xref[[#This Row],[Func Loc]],"NO MATCH")</f>
        <v>RBT0STRU .SUGR.SULB</v>
      </c>
      <c r="S864" s="3" t="str">
        <f t="shared" si="96"/>
        <v>RBT0Suspension LHR</v>
      </c>
      <c r="T864" s="3" t="s">
        <v>521</v>
      </c>
      <c r="U864" s="3" t="s">
        <v>96</v>
      </c>
      <c r="V864" t="str">
        <f t="shared" si="97"/>
        <v>7213LR</v>
      </c>
    </row>
    <row r="865" spans="1:22">
      <c r="A865" t="s">
        <v>3333</v>
      </c>
      <c r="B865" t="s">
        <v>3334</v>
      </c>
      <c r="H865" t="s">
        <v>3553</v>
      </c>
      <c r="I865" t="s">
        <v>3556</v>
      </c>
      <c r="J865" t="s">
        <v>3557</v>
      </c>
      <c r="K865" t="s">
        <v>3556</v>
      </c>
      <c r="L865" t="s">
        <v>525</v>
      </c>
      <c r="M865" s="1" t="str">
        <f t="shared" si="91"/>
        <v>06B352</v>
      </c>
      <c r="N865" s="1" t="str">
        <f t="shared" si="92"/>
        <v>C/O</v>
      </c>
      <c r="O865" s="1" t="str">
        <f t="shared" si="93"/>
        <v>Suspension RHR</v>
      </c>
      <c r="P865" s="1" t="str">
        <f t="shared" si="94"/>
        <v>RBT0</v>
      </c>
      <c r="Q865" s="2" t="str">
        <f t="shared" si="95"/>
        <v>RBT0Suspension RHR</v>
      </c>
      <c r="R865" s="2" t="str">
        <f>New_Xref[[#This Row],[Serial Prefix]]&amp;IF(New_Xref[[#This Row],[Func Loc]]&lt;&gt;"",New_Xref[[#This Row],[Func Loc]],"NO MATCH")</f>
        <v>RBT0STRU .SUGR.SURB</v>
      </c>
      <c r="S865" s="3" t="str">
        <f t="shared" si="96"/>
        <v>RBT0Suspension RHR</v>
      </c>
      <c r="T865" s="3" t="s">
        <v>521</v>
      </c>
      <c r="U865" s="3" t="s">
        <v>99</v>
      </c>
      <c r="V865" t="str">
        <f t="shared" si="97"/>
        <v>7213RR</v>
      </c>
    </row>
    <row r="866" spans="1:22">
      <c r="A866" t="s">
        <v>3558</v>
      </c>
      <c r="B866" t="s">
        <v>3559</v>
      </c>
      <c r="C866" t="s">
        <v>3560</v>
      </c>
      <c r="D866" t="s">
        <v>3561</v>
      </c>
      <c r="E866" t="s">
        <v>3562</v>
      </c>
      <c r="F866" t="s">
        <v>27</v>
      </c>
      <c r="G866">
        <v>1</v>
      </c>
      <c r="H866" t="s">
        <v>3563</v>
      </c>
      <c r="I866" t="s">
        <v>3564</v>
      </c>
      <c r="J866" t="s">
        <v>3565</v>
      </c>
      <c r="K866" t="s">
        <v>3566</v>
      </c>
      <c r="L866" t="s">
        <v>32</v>
      </c>
      <c r="M866" s="1" t="str">
        <f t="shared" si="91"/>
        <v>08H107</v>
      </c>
      <c r="N866" s="1" t="str">
        <f t="shared" si="92"/>
        <v>C/O</v>
      </c>
      <c r="O866" s="1" t="str">
        <f t="shared" si="93"/>
        <v>Engine</v>
      </c>
      <c r="P866" s="1" t="str">
        <f t="shared" si="94"/>
        <v>2210</v>
      </c>
      <c r="Q866" s="2" t="str">
        <f t="shared" si="95"/>
        <v>2210Engine</v>
      </c>
      <c r="R866" s="2" t="str">
        <f>New_Xref[[#This Row],[Serial Prefix]]&amp;IF(New_Xref[[#This Row],[Func Loc]]&lt;&gt;"",New_Xref[[#This Row],[Func Loc]],"NO MATCH")</f>
        <v>2210ENGD</v>
      </c>
      <c r="S866" s="3" t="str">
        <f t="shared" si="96"/>
        <v>221010R8915Engine</v>
      </c>
      <c r="T866" s="3" t="s">
        <v>33</v>
      </c>
      <c r="U866" s="3" t="s">
        <v>34</v>
      </c>
      <c r="V866" t="str">
        <f t="shared" si="97"/>
        <v>100000</v>
      </c>
    </row>
    <row r="867" spans="1:22">
      <c r="A867" t="s">
        <v>3558</v>
      </c>
      <c r="B867" t="s">
        <v>3567</v>
      </c>
      <c r="C867" t="s">
        <v>3568</v>
      </c>
      <c r="D867" t="s">
        <v>3569</v>
      </c>
      <c r="E867" t="s">
        <v>3570</v>
      </c>
      <c r="F867" t="s">
        <v>27</v>
      </c>
      <c r="G867">
        <v>1</v>
      </c>
      <c r="H867" t="s">
        <v>3563</v>
      </c>
      <c r="I867" t="s">
        <v>3571</v>
      </c>
      <c r="J867" t="s">
        <v>3572</v>
      </c>
      <c r="K867" t="s">
        <v>3573</v>
      </c>
      <c r="L867" t="s">
        <v>32</v>
      </c>
      <c r="M867" s="1" t="str">
        <f t="shared" si="91"/>
        <v>08D09</v>
      </c>
      <c r="N867" s="1" t="str">
        <f t="shared" si="92"/>
        <v>C/O</v>
      </c>
      <c r="O867" s="1" t="str">
        <f t="shared" si="93"/>
        <v>Engine</v>
      </c>
      <c r="P867" s="1" t="str">
        <f t="shared" si="94"/>
        <v>2210</v>
      </c>
      <c r="Q867" s="2" t="str">
        <f t="shared" si="95"/>
        <v>2210Engine</v>
      </c>
      <c r="R867" s="2" t="str">
        <f>New_Xref[[#This Row],[Serial Prefix]]&amp;IF(New_Xref[[#This Row],[Func Loc]]&lt;&gt;"",New_Xref[[#This Row],[Func Loc]],"NO MATCH")</f>
        <v>2210ENGD</v>
      </c>
      <c r="S867" s="3" t="str">
        <f t="shared" si="96"/>
        <v>22102593142XEngine</v>
      </c>
      <c r="T867" s="3" t="s">
        <v>33</v>
      </c>
      <c r="U867" s="3" t="s">
        <v>34</v>
      </c>
      <c r="V867" t="str">
        <f t="shared" si="97"/>
        <v>100000</v>
      </c>
    </row>
    <row r="868" spans="1:22">
      <c r="A868" t="s">
        <v>3558</v>
      </c>
      <c r="B868" t="s">
        <v>3574</v>
      </c>
      <c r="C868" t="s">
        <v>3575</v>
      </c>
      <c r="D868" t="s">
        <v>3576</v>
      </c>
      <c r="E868" t="s">
        <v>3577</v>
      </c>
      <c r="F868" t="s">
        <v>27</v>
      </c>
      <c r="G868">
        <v>1</v>
      </c>
      <c r="H868" t="s">
        <v>3578</v>
      </c>
      <c r="I868" t="s">
        <v>3579</v>
      </c>
      <c r="J868" t="s">
        <v>3580</v>
      </c>
      <c r="K868" t="s">
        <v>3581</v>
      </c>
      <c r="L868" t="s">
        <v>32</v>
      </c>
      <c r="M868" s="1" t="str">
        <f t="shared" si="91"/>
        <v>08D226</v>
      </c>
      <c r="N868" s="1" t="str">
        <f t="shared" si="92"/>
        <v>C/O</v>
      </c>
      <c r="O868" s="1" t="str">
        <f t="shared" si="93"/>
        <v>Engine</v>
      </c>
      <c r="P868" s="1" t="str">
        <f t="shared" si="94"/>
        <v>H9K0</v>
      </c>
      <c r="Q868" s="2" t="str">
        <f t="shared" si="95"/>
        <v>H9K0Engine</v>
      </c>
      <c r="R868" s="2" t="str">
        <f>New_Xref[[#This Row],[Serial Prefix]]&amp;IF(New_Xref[[#This Row],[Func Loc]]&lt;&gt;"",New_Xref[[#This Row],[Func Loc]],"NO MATCH")</f>
        <v>H9K0ENGD</v>
      </c>
      <c r="S868" s="3" t="str">
        <f t="shared" si="96"/>
        <v>H9K03331169XEngine</v>
      </c>
      <c r="T868" s="3" t="s">
        <v>33</v>
      </c>
      <c r="U868" s="3" t="s">
        <v>34</v>
      </c>
      <c r="V868" t="str">
        <f t="shared" si="97"/>
        <v>100000</v>
      </c>
    </row>
    <row r="869" spans="1:22">
      <c r="A869" t="s">
        <v>3558</v>
      </c>
      <c r="B869" t="s">
        <v>3582</v>
      </c>
      <c r="C869" t="s">
        <v>3583</v>
      </c>
      <c r="D869" t="s">
        <v>3584</v>
      </c>
      <c r="E869" t="s">
        <v>3585</v>
      </c>
      <c r="F869" t="s">
        <v>27</v>
      </c>
      <c r="G869">
        <v>1</v>
      </c>
      <c r="H869" t="s">
        <v>3586</v>
      </c>
      <c r="I869" t="s">
        <v>3587</v>
      </c>
      <c r="J869" t="s">
        <v>3588</v>
      </c>
      <c r="K869" t="s">
        <v>3589</v>
      </c>
      <c r="L869" t="s">
        <v>32</v>
      </c>
      <c r="M869" s="1" t="str">
        <f t="shared" si="91"/>
        <v>08H209</v>
      </c>
      <c r="N869" s="1" t="str">
        <f t="shared" si="92"/>
        <v>C/O</v>
      </c>
      <c r="O869" s="1" t="str">
        <f t="shared" si="93"/>
        <v>Engine</v>
      </c>
      <c r="P869" s="1" t="str">
        <f t="shared" si="94"/>
        <v>RM30</v>
      </c>
      <c r="Q869" s="2" t="str">
        <f t="shared" si="95"/>
        <v>RM30Engine</v>
      </c>
      <c r="R869" s="2" t="str">
        <f>New_Xref[[#This Row],[Serial Prefix]]&amp;IF(New_Xref[[#This Row],[Func Loc]]&lt;&gt;"",New_Xref[[#This Row],[Func Loc]],"NO MATCH")</f>
        <v>RM30ENGD</v>
      </c>
      <c r="S869" s="3" t="str">
        <f t="shared" si="96"/>
        <v>RM3020R4346Engine</v>
      </c>
      <c r="T869" s="3" t="s">
        <v>33</v>
      </c>
      <c r="U869" s="3" t="s">
        <v>34</v>
      </c>
      <c r="V869" t="str">
        <f t="shared" si="97"/>
        <v>100000</v>
      </c>
    </row>
    <row r="870" spans="1:22">
      <c r="A870" t="s">
        <v>3558</v>
      </c>
      <c r="B870" t="s">
        <v>3590</v>
      </c>
      <c r="C870" t="s">
        <v>3575</v>
      </c>
      <c r="D870" t="s">
        <v>3576</v>
      </c>
      <c r="E870" t="s">
        <v>3577</v>
      </c>
      <c r="F870" t="s">
        <v>27</v>
      </c>
      <c r="G870">
        <v>1</v>
      </c>
      <c r="H870" t="s">
        <v>3586</v>
      </c>
      <c r="I870" t="s">
        <v>3591</v>
      </c>
      <c r="J870" t="s">
        <v>3592</v>
      </c>
      <c r="K870" t="s">
        <v>3593</v>
      </c>
      <c r="L870" t="s">
        <v>32</v>
      </c>
      <c r="M870" s="1" t="str">
        <f t="shared" si="91"/>
        <v>08H208</v>
      </c>
      <c r="N870" s="1" t="str">
        <f t="shared" si="92"/>
        <v>C/O</v>
      </c>
      <c r="O870" s="1" t="str">
        <f t="shared" si="93"/>
        <v>Engine</v>
      </c>
      <c r="P870" s="1" t="str">
        <f t="shared" si="94"/>
        <v>RM30</v>
      </c>
      <c r="Q870" s="2" t="str">
        <f t="shared" si="95"/>
        <v>RM30Engine</v>
      </c>
      <c r="R870" s="2" t="str">
        <f>New_Xref[[#This Row],[Serial Prefix]]&amp;IF(New_Xref[[#This Row],[Func Loc]]&lt;&gt;"",New_Xref[[#This Row],[Func Loc]],"NO MATCH")</f>
        <v>RM30ENGD</v>
      </c>
      <c r="S870" s="3" t="str">
        <f t="shared" si="96"/>
        <v>RM303331169XEngine</v>
      </c>
      <c r="T870" s="3" t="s">
        <v>33</v>
      </c>
      <c r="U870" s="3" t="s">
        <v>34</v>
      </c>
      <c r="V870" t="str">
        <f t="shared" si="97"/>
        <v>100000</v>
      </c>
    </row>
    <row r="871" spans="1:22">
      <c r="A871" t="s">
        <v>3558</v>
      </c>
      <c r="B871" t="s">
        <v>3594</v>
      </c>
      <c r="C871" t="s">
        <v>3595</v>
      </c>
      <c r="D871" t="s">
        <v>3596</v>
      </c>
      <c r="E871" t="s">
        <v>803</v>
      </c>
      <c r="F871" t="s">
        <v>27</v>
      </c>
      <c r="G871">
        <v>1</v>
      </c>
      <c r="H871" t="s">
        <v>3597</v>
      </c>
      <c r="I871" t="s">
        <v>3598</v>
      </c>
      <c r="J871" t="s">
        <v>3599</v>
      </c>
      <c r="K871" t="s">
        <v>3600</v>
      </c>
      <c r="L871" t="s">
        <v>32</v>
      </c>
      <c r="M871" s="1" t="str">
        <f t="shared" si="91"/>
        <v>08B223</v>
      </c>
      <c r="N871" s="1" t="str">
        <f t="shared" si="92"/>
        <v>C/O</v>
      </c>
      <c r="O871" s="1" t="str">
        <f t="shared" si="93"/>
        <v>Engine</v>
      </c>
      <c r="P871" s="1" t="str">
        <f t="shared" si="94"/>
        <v>RM60</v>
      </c>
      <c r="Q871" s="2" t="str">
        <f t="shared" si="95"/>
        <v>RM60Engine</v>
      </c>
      <c r="R871" s="2" t="str">
        <f>New_Xref[[#This Row],[Serial Prefix]]&amp;IF(New_Xref[[#This Row],[Func Loc]]&lt;&gt;"",New_Xref[[#This Row],[Func Loc]],"NO MATCH")</f>
        <v>RM60ENGD</v>
      </c>
      <c r="S871" s="3" t="str">
        <f t="shared" si="96"/>
        <v>RM603402665XEngine</v>
      </c>
      <c r="T871" s="3" t="s">
        <v>33</v>
      </c>
      <c r="U871" s="3" t="s">
        <v>34</v>
      </c>
      <c r="V871" t="str">
        <f t="shared" si="97"/>
        <v>100000</v>
      </c>
    </row>
    <row r="872" spans="1:22">
      <c r="A872" t="s">
        <v>3558</v>
      </c>
      <c r="B872" t="s">
        <v>3567</v>
      </c>
      <c r="C872" t="s">
        <v>3601</v>
      </c>
      <c r="D872" t="s">
        <v>3602</v>
      </c>
      <c r="E872" t="s">
        <v>263</v>
      </c>
      <c r="F872" t="s">
        <v>27</v>
      </c>
      <c r="G872">
        <v>1</v>
      </c>
      <c r="H872" t="s">
        <v>3603</v>
      </c>
      <c r="I872" t="s">
        <v>3571</v>
      </c>
      <c r="J872" t="s">
        <v>3604</v>
      </c>
      <c r="K872" t="s">
        <v>3605</v>
      </c>
      <c r="L872" t="s">
        <v>719</v>
      </c>
      <c r="M872" s="1" t="str">
        <f t="shared" si="91"/>
        <v>08D09</v>
      </c>
      <c r="N872" s="1" t="str">
        <f t="shared" si="92"/>
        <v>C/O</v>
      </c>
      <c r="O872" s="1" t="str">
        <f t="shared" si="93"/>
        <v>Turbocharger LH</v>
      </c>
      <c r="P872" s="1" t="str">
        <f t="shared" si="94"/>
        <v>2210</v>
      </c>
      <c r="Q872" s="2" t="str">
        <f t="shared" si="95"/>
        <v>2210Turbocharger LH</v>
      </c>
      <c r="R872" s="2" t="str">
        <f>New_Xref[[#This Row],[Serial Prefix]]&amp;IF(New_Xref[[#This Row],[Func Loc]]&lt;&gt;"",New_Xref[[#This Row],[Func Loc]],"NO MATCH")</f>
        <v>2210ENGD .TURB.TC01</v>
      </c>
      <c r="S872" s="3" t="str">
        <f t="shared" si="96"/>
        <v>221010R7295Turbocharger LH</v>
      </c>
      <c r="T872" s="3" t="s">
        <v>47</v>
      </c>
      <c r="U872" s="3" t="s">
        <v>108</v>
      </c>
      <c r="V872" t="str">
        <f t="shared" si="97"/>
        <v>1052LT</v>
      </c>
    </row>
    <row r="873" spans="1:22">
      <c r="A873" t="s">
        <v>3558</v>
      </c>
      <c r="B873" t="s">
        <v>3567</v>
      </c>
      <c r="C873" t="s">
        <v>3606</v>
      </c>
      <c r="D873" t="s">
        <v>3607</v>
      </c>
      <c r="E873" t="s">
        <v>263</v>
      </c>
      <c r="F873" t="s">
        <v>27</v>
      </c>
      <c r="G873">
        <v>1</v>
      </c>
      <c r="H873" t="s">
        <v>3608</v>
      </c>
      <c r="I873" t="s">
        <v>3571</v>
      </c>
      <c r="J873" t="s">
        <v>3609</v>
      </c>
      <c r="K873" t="s">
        <v>3610</v>
      </c>
      <c r="L873" t="s">
        <v>722</v>
      </c>
      <c r="M873" s="1" t="str">
        <f t="shared" si="91"/>
        <v>08D09</v>
      </c>
      <c r="N873" s="1" t="str">
        <f t="shared" si="92"/>
        <v>C/O</v>
      </c>
      <c r="O873" s="1" t="str">
        <f t="shared" si="93"/>
        <v>Turbocharger RH</v>
      </c>
      <c r="P873" s="1" t="str">
        <f t="shared" si="94"/>
        <v>2210</v>
      </c>
      <c r="Q873" s="2" t="str">
        <f t="shared" si="95"/>
        <v>2210Turbocharger RH</v>
      </c>
      <c r="R873" s="2" t="str">
        <f>New_Xref[[#This Row],[Serial Prefix]]&amp;IF(New_Xref[[#This Row],[Func Loc]]&lt;&gt;"",New_Xref[[#This Row],[Func Loc]],"NO MATCH")</f>
        <v>2210ENGD .TURB.TC02</v>
      </c>
      <c r="S873" s="3" t="str">
        <f t="shared" si="96"/>
        <v>221010R8956Turbocharger RH</v>
      </c>
      <c r="T873" s="3" t="s">
        <v>47</v>
      </c>
      <c r="U873" s="3" t="s">
        <v>115</v>
      </c>
      <c r="V873" t="str">
        <f t="shared" si="97"/>
        <v>1052RI</v>
      </c>
    </row>
    <row r="874" spans="1:22">
      <c r="A874" t="s">
        <v>3558</v>
      </c>
      <c r="B874" t="s">
        <v>3574</v>
      </c>
      <c r="C874" t="s">
        <v>3611</v>
      </c>
      <c r="D874" t="s">
        <v>3612</v>
      </c>
      <c r="E874" t="s">
        <v>3613</v>
      </c>
      <c r="F874" t="s">
        <v>27</v>
      </c>
      <c r="G874">
        <v>1</v>
      </c>
      <c r="H874" t="s">
        <v>3614</v>
      </c>
      <c r="I874" t="s">
        <v>3579</v>
      </c>
      <c r="J874" t="s">
        <v>3615</v>
      </c>
      <c r="K874" t="s">
        <v>3616</v>
      </c>
      <c r="L874" t="s">
        <v>719</v>
      </c>
      <c r="M874" s="1" t="str">
        <f t="shared" si="91"/>
        <v>08D226</v>
      </c>
      <c r="N874" s="1" t="str">
        <f t="shared" si="92"/>
        <v>C/O</v>
      </c>
      <c r="O874" s="1" t="str">
        <f t="shared" si="93"/>
        <v>Turbocharger LH</v>
      </c>
      <c r="P874" s="1" t="str">
        <f t="shared" si="94"/>
        <v>H9K0</v>
      </c>
      <c r="Q874" s="2" t="str">
        <f t="shared" si="95"/>
        <v>H9K0Turbocharger LH</v>
      </c>
      <c r="R874" s="2" t="str">
        <f>New_Xref[[#This Row],[Serial Prefix]]&amp;IF(New_Xref[[#This Row],[Func Loc]]&lt;&gt;"",New_Xref[[#This Row],[Func Loc]],"NO MATCH")</f>
        <v>H9K0ENGD .TURB.TC01</v>
      </c>
      <c r="S874" s="3" t="str">
        <f t="shared" si="96"/>
        <v>H9K03750823Turbocharger LH</v>
      </c>
      <c r="T874" s="3" t="s">
        <v>47</v>
      </c>
      <c r="U874" s="3" t="s">
        <v>108</v>
      </c>
      <c r="V874" t="str">
        <f t="shared" si="97"/>
        <v>1052LT</v>
      </c>
    </row>
    <row r="875" spans="1:22">
      <c r="A875" t="s">
        <v>3558</v>
      </c>
      <c r="B875" t="s">
        <v>3574</v>
      </c>
      <c r="C875" t="s">
        <v>3617</v>
      </c>
      <c r="D875" t="s">
        <v>3618</v>
      </c>
      <c r="E875" t="s">
        <v>3613</v>
      </c>
      <c r="F875" t="s">
        <v>27</v>
      </c>
      <c r="G875">
        <v>1</v>
      </c>
      <c r="H875" t="s">
        <v>3619</v>
      </c>
      <c r="I875" t="s">
        <v>3579</v>
      </c>
      <c r="J875" t="s">
        <v>3620</v>
      </c>
      <c r="K875" t="s">
        <v>3621</v>
      </c>
      <c r="L875" t="s">
        <v>722</v>
      </c>
      <c r="M875" s="1" t="str">
        <f t="shared" si="91"/>
        <v>08D226</v>
      </c>
      <c r="N875" s="1" t="str">
        <f t="shared" si="92"/>
        <v>C/O</v>
      </c>
      <c r="O875" s="1" t="str">
        <f t="shared" si="93"/>
        <v>Turbocharger RH</v>
      </c>
      <c r="P875" s="1" t="str">
        <f t="shared" si="94"/>
        <v>H9K0</v>
      </c>
      <c r="Q875" s="2" t="str">
        <f t="shared" si="95"/>
        <v>H9K0Turbocharger RH</v>
      </c>
      <c r="R875" s="2" t="str">
        <f>New_Xref[[#This Row],[Serial Prefix]]&amp;IF(New_Xref[[#This Row],[Func Loc]]&lt;&gt;"",New_Xref[[#This Row],[Func Loc]],"NO MATCH")</f>
        <v>H9K0ENGD .TURB.TC02</v>
      </c>
      <c r="S875" s="3" t="str">
        <f t="shared" si="96"/>
        <v>H9K03759396Turbocharger RH</v>
      </c>
      <c r="T875" s="3" t="s">
        <v>47</v>
      </c>
      <c r="U875" s="3" t="s">
        <v>115</v>
      </c>
      <c r="V875" t="str">
        <f t="shared" si="97"/>
        <v>1052RI</v>
      </c>
    </row>
    <row r="876" spans="1:22">
      <c r="A876" t="s">
        <v>3558</v>
      </c>
      <c r="B876" t="s">
        <v>3590</v>
      </c>
      <c r="C876" t="s">
        <v>532</v>
      </c>
      <c r="D876" t="s">
        <v>533</v>
      </c>
      <c r="E876" t="s">
        <v>263</v>
      </c>
      <c r="F876" t="s">
        <v>27</v>
      </c>
      <c r="G876">
        <v>1</v>
      </c>
      <c r="H876" t="s">
        <v>3622</v>
      </c>
      <c r="I876" t="s">
        <v>3591</v>
      </c>
      <c r="J876" t="s">
        <v>3623</v>
      </c>
      <c r="K876" t="s">
        <v>3624</v>
      </c>
      <c r="L876" t="s">
        <v>719</v>
      </c>
      <c r="M876" s="1" t="str">
        <f t="shared" si="91"/>
        <v>08H208</v>
      </c>
      <c r="N876" s="1" t="str">
        <f t="shared" si="92"/>
        <v>C/O</v>
      </c>
      <c r="O876" s="1" t="str">
        <f t="shared" si="93"/>
        <v>Turbocharger LH</v>
      </c>
      <c r="P876" s="1" t="str">
        <f t="shared" si="94"/>
        <v>RM30</v>
      </c>
      <c r="Q876" s="2" t="str">
        <f t="shared" si="95"/>
        <v>RM30Turbocharger LH</v>
      </c>
      <c r="R876" s="2" t="str">
        <f>New_Xref[[#This Row],[Serial Prefix]]&amp;IF(New_Xref[[#This Row],[Func Loc]]&lt;&gt;"",New_Xref[[#This Row],[Func Loc]],"NO MATCH")</f>
        <v>RM30ENGD .TURB.TC01</v>
      </c>
      <c r="S876" s="3" t="str">
        <f t="shared" si="96"/>
        <v>RM3020R3687Turbocharger LH</v>
      </c>
      <c r="T876" s="3" t="s">
        <v>47</v>
      </c>
      <c r="U876" s="3" t="s">
        <v>108</v>
      </c>
      <c r="V876" t="str">
        <f t="shared" si="97"/>
        <v>1052LT</v>
      </c>
    </row>
    <row r="877" spans="1:22">
      <c r="A877" t="s">
        <v>3558</v>
      </c>
      <c r="B877" t="s">
        <v>3590</v>
      </c>
      <c r="C877" t="s">
        <v>537</v>
      </c>
      <c r="D877" t="s">
        <v>538</v>
      </c>
      <c r="E877" t="s">
        <v>263</v>
      </c>
      <c r="F877" t="s">
        <v>27</v>
      </c>
      <c r="G877">
        <v>1</v>
      </c>
      <c r="H877" t="s">
        <v>3625</v>
      </c>
      <c r="I877" t="s">
        <v>3591</v>
      </c>
      <c r="J877" t="s">
        <v>3626</v>
      </c>
      <c r="K877" t="s">
        <v>3627</v>
      </c>
      <c r="L877" t="s">
        <v>722</v>
      </c>
      <c r="M877" s="1" t="str">
        <f t="shared" si="91"/>
        <v>08H208</v>
      </c>
      <c r="N877" s="1" t="str">
        <f t="shared" si="92"/>
        <v>C/O</v>
      </c>
      <c r="O877" s="1" t="str">
        <f t="shared" si="93"/>
        <v>Turbocharger RH</v>
      </c>
      <c r="P877" s="1" t="str">
        <f t="shared" si="94"/>
        <v>RM30</v>
      </c>
      <c r="Q877" s="2" t="str">
        <f t="shared" si="95"/>
        <v>RM30Turbocharger RH</v>
      </c>
      <c r="R877" s="2" t="str">
        <f>New_Xref[[#This Row],[Serial Prefix]]&amp;IF(New_Xref[[#This Row],[Func Loc]]&lt;&gt;"",New_Xref[[#This Row],[Func Loc]],"NO MATCH")</f>
        <v>RM30ENGD .TURB.TC02</v>
      </c>
      <c r="S877" s="3" t="str">
        <f t="shared" si="96"/>
        <v>RM3020R3692Turbocharger RH</v>
      </c>
      <c r="T877" s="3" t="s">
        <v>47</v>
      </c>
      <c r="U877" s="3" t="s">
        <v>115</v>
      </c>
      <c r="V877" t="str">
        <f t="shared" si="97"/>
        <v>1052RI</v>
      </c>
    </row>
    <row r="878" spans="1:22">
      <c r="A878" t="s">
        <v>3558</v>
      </c>
      <c r="B878" t="s">
        <v>3594</v>
      </c>
      <c r="C878" t="s">
        <v>532</v>
      </c>
      <c r="D878" t="s">
        <v>533</v>
      </c>
      <c r="E878" t="s">
        <v>263</v>
      </c>
      <c r="F878" t="s">
        <v>27</v>
      </c>
      <c r="G878">
        <v>1</v>
      </c>
      <c r="H878" t="s">
        <v>3628</v>
      </c>
      <c r="I878" t="s">
        <v>3598</v>
      </c>
      <c r="J878" t="s">
        <v>3629</v>
      </c>
      <c r="K878" t="s">
        <v>3630</v>
      </c>
      <c r="L878" t="s">
        <v>719</v>
      </c>
      <c r="M878" s="1" t="str">
        <f t="shared" si="91"/>
        <v>08B223</v>
      </c>
      <c r="N878" s="1" t="str">
        <f t="shared" si="92"/>
        <v>C/O</v>
      </c>
      <c r="O878" s="1" t="str">
        <f t="shared" si="93"/>
        <v>Turbocharger LH</v>
      </c>
      <c r="P878" s="1" t="str">
        <f t="shared" si="94"/>
        <v>RM60</v>
      </c>
      <c r="Q878" s="2" t="str">
        <f t="shared" si="95"/>
        <v>RM60Turbocharger LH</v>
      </c>
      <c r="R878" s="2" t="str">
        <f>New_Xref[[#This Row],[Serial Prefix]]&amp;IF(New_Xref[[#This Row],[Func Loc]]&lt;&gt;"",New_Xref[[#This Row],[Func Loc]],"NO MATCH")</f>
        <v>RM60ENGD .TURB.TC01</v>
      </c>
      <c r="S878" s="3" t="str">
        <f t="shared" si="96"/>
        <v>RM6020R3687Turbocharger LH</v>
      </c>
      <c r="T878" s="3" t="s">
        <v>47</v>
      </c>
      <c r="U878" s="3" t="s">
        <v>108</v>
      </c>
      <c r="V878" t="str">
        <f t="shared" si="97"/>
        <v>1052LT</v>
      </c>
    </row>
    <row r="879" spans="1:22">
      <c r="A879" t="s">
        <v>3558</v>
      </c>
      <c r="B879" t="s">
        <v>3594</v>
      </c>
      <c r="C879" t="s">
        <v>537</v>
      </c>
      <c r="D879" t="s">
        <v>538</v>
      </c>
      <c r="E879" t="s">
        <v>263</v>
      </c>
      <c r="F879" t="s">
        <v>27</v>
      </c>
      <c r="G879">
        <v>1</v>
      </c>
      <c r="H879" t="s">
        <v>3631</v>
      </c>
      <c r="I879" t="s">
        <v>3598</v>
      </c>
      <c r="J879" t="s">
        <v>3632</v>
      </c>
      <c r="K879" t="s">
        <v>3633</v>
      </c>
      <c r="L879" t="s">
        <v>722</v>
      </c>
      <c r="M879" s="1" t="str">
        <f t="shared" si="91"/>
        <v>08B223</v>
      </c>
      <c r="N879" s="1" t="str">
        <f t="shared" si="92"/>
        <v>C/O</v>
      </c>
      <c r="O879" s="1" t="str">
        <f t="shared" si="93"/>
        <v>Turbocharger RH</v>
      </c>
      <c r="P879" s="1" t="str">
        <f t="shared" si="94"/>
        <v>RM60</v>
      </c>
      <c r="Q879" s="2" t="str">
        <f t="shared" si="95"/>
        <v>RM60Turbocharger RH</v>
      </c>
      <c r="R879" s="2" t="str">
        <f>New_Xref[[#This Row],[Serial Prefix]]&amp;IF(New_Xref[[#This Row],[Func Loc]]&lt;&gt;"",New_Xref[[#This Row],[Func Loc]],"NO MATCH")</f>
        <v>RM60ENGD .TURB.TC02</v>
      </c>
      <c r="S879" s="3" t="str">
        <f t="shared" si="96"/>
        <v>RM6020R3692Turbocharger RH</v>
      </c>
      <c r="T879" s="3" t="s">
        <v>47</v>
      </c>
      <c r="U879" s="3" t="s">
        <v>115</v>
      </c>
      <c r="V879" t="str">
        <f t="shared" si="97"/>
        <v>1052RI</v>
      </c>
    </row>
    <row r="880" spans="1:22">
      <c r="A880" t="s">
        <v>3558</v>
      </c>
      <c r="B880" t="s">
        <v>3567</v>
      </c>
      <c r="C880" t="s">
        <v>431</v>
      </c>
      <c r="D880" t="s">
        <v>432</v>
      </c>
      <c r="E880" t="s">
        <v>276</v>
      </c>
      <c r="F880" t="s">
        <v>27</v>
      </c>
      <c r="G880">
        <v>12</v>
      </c>
      <c r="H880" t="s">
        <v>3634</v>
      </c>
      <c r="I880" t="s">
        <v>3571</v>
      </c>
      <c r="J880" t="s">
        <v>3635</v>
      </c>
      <c r="K880" t="s">
        <v>3636</v>
      </c>
      <c r="L880" t="s">
        <v>62</v>
      </c>
      <c r="M880" s="1" t="str">
        <f t="shared" si="91"/>
        <v>08D09</v>
      </c>
      <c r="N880" s="1" t="str">
        <f t="shared" si="92"/>
        <v>C/O</v>
      </c>
      <c r="O880" s="1" t="str">
        <f t="shared" si="93"/>
        <v>Fuel Injectors</v>
      </c>
      <c r="P880" s="1" t="str">
        <f t="shared" si="94"/>
        <v>2210</v>
      </c>
      <c r="Q880" s="2" t="str">
        <f t="shared" si="95"/>
        <v>2210Fuel Injectors</v>
      </c>
      <c r="R880" s="2" t="str">
        <f>New_Xref[[#This Row],[Serial Prefix]]&amp;IF(New_Xref[[#This Row],[Func Loc]]&lt;&gt;"",New_Xref[[#This Row],[Func Loc]],"NO MATCH")</f>
        <v>2210ENGD .FUEL.INJE</v>
      </c>
      <c r="S880" s="3" t="str">
        <f t="shared" si="96"/>
        <v>22106470750Fuel Injectors</v>
      </c>
      <c r="T880" s="3" t="s">
        <v>63</v>
      </c>
      <c r="U880" s="3" t="s">
        <v>34</v>
      </c>
      <c r="V880" t="str">
        <f t="shared" si="97"/>
        <v>125100</v>
      </c>
    </row>
    <row r="881" spans="1:22">
      <c r="A881" t="s">
        <v>3558</v>
      </c>
      <c r="B881" t="s">
        <v>3574</v>
      </c>
      <c r="C881" t="s">
        <v>431</v>
      </c>
      <c r="D881" t="s">
        <v>432</v>
      </c>
      <c r="E881" t="s">
        <v>276</v>
      </c>
      <c r="F881" t="s">
        <v>27</v>
      </c>
      <c r="G881">
        <v>12</v>
      </c>
      <c r="H881" t="s">
        <v>3637</v>
      </c>
      <c r="I881" t="s">
        <v>3579</v>
      </c>
      <c r="J881" t="s">
        <v>3638</v>
      </c>
      <c r="K881" t="s">
        <v>3639</v>
      </c>
      <c r="L881" t="s">
        <v>62</v>
      </c>
      <c r="M881" s="1" t="str">
        <f t="shared" si="91"/>
        <v>08D226</v>
      </c>
      <c r="N881" s="1" t="str">
        <f t="shared" si="92"/>
        <v>C/O</v>
      </c>
      <c r="O881" s="1" t="str">
        <f t="shared" si="93"/>
        <v>Fuel Injectors</v>
      </c>
      <c r="P881" s="1" t="str">
        <f t="shared" si="94"/>
        <v>H9K0</v>
      </c>
      <c r="Q881" s="2" t="str">
        <f t="shared" si="95"/>
        <v>H9K0Fuel Injectors</v>
      </c>
      <c r="R881" s="2" t="str">
        <f>New_Xref[[#This Row],[Serial Prefix]]&amp;IF(New_Xref[[#This Row],[Func Loc]]&lt;&gt;"",New_Xref[[#This Row],[Func Loc]],"NO MATCH")</f>
        <v>H9K0ENGD .FUEL.INJE</v>
      </c>
      <c r="S881" s="3" t="str">
        <f t="shared" si="96"/>
        <v>H9K06470750Fuel Injectors</v>
      </c>
      <c r="T881" s="3" t="s">
        <v>63</v>
      </c>
      <c r="U881" s="3" t="s">
        <v>34</v>
      </c>
      <c r="V881" t="str">
        <f t="shared" si="97"/>
        <v>125100</v>
      </c>
    </row>
    <row r="882" spans="1:22">
      <c r="A882" t="s">
        <v>3558</v>
      </c>
      <c r="B882" t="s">
        <v>3590</v>
      </c>
      <c r="C882" t="s">
        <v>431</v>
      </c>
      <c r="D882" t="s">
        <v>432</v>
      </c>
      <c r="E882" t="s">
        <v>276</v>
      </c>
      <c r="F882" t="s">
        <v>27</v>
      </c>
      <c r="G882">
        <v>12</v>
      </c>
      <c r="H882" t="s">
        <v>3640</v>
      </c>
      <c r="I882" t="s">
        <v>3591</v>
      </c>
      <c r="J882" t="s">
        <v>3641</v>
      </c>
      <c r="K882" t="s">
        <v>3642</v>
      </c>
      <c r="L882" t="s">
        <v>62</v>
      </c>
      <c r="M882" s="1" t="str">
        <f t="shared" si="91"/>
        <v>08H208</v>
      </c>
      <c r="N882" s="1" t="str">
        <f t="shared" si="92"/>
        <v>C/O</v>
      </c>
      <c r="O882" s="1" t="str">
        <f t="shared" si="93"/>
        <v>Fuel Injectors</v>
      </c>
      <c r="P882" s="1" t="str">
        <f t="shared" si="94"/>
        <v>RM30</v>
      </c>
      <c r="Q882" s="2" t="str">
        <f t="shared" si="95"/>
        <v>RM30Fuel Injectors</v>
      </c>
      <c r="R882" s="2" t="str">
        <f>New_Xref[[#This Row],[Serial Prefix]]&amp;IF(New_Xref[[#This Row],[Func Loc]]&lt;&gt;"",New_Xref[[#This Row],[Func Loc]],"NO MATCH")</f>
        <v>RM30ENGD .FUEL.INJE</v>
      </c>
      <c r="S882" s="3" t="str">
        <f t="shared" si="96"/>
        <v>RM306470750Fuel Injectors</v>
      </c>
      <c r="T882" s="3" t="s">
        <v>63</v>
      </c>
      <c r="U882" s="3" t="s">
        <v>34</v>
      </c>
      <c r="V882" t="str">
        <f t="shared" si="97"/>
        <v>125100</v>
      </c>
    </row>
    <row r="883" spans="1:22">
      <c r="A883" t="s">
        <v>3558</v>
      </c>
      <c r="B883" t="s">
        <v>3594</v>
      </c>
      <c r="C883" t="s">
        <v>431</v>
      </c>
      <c r="D883" t="s">
        <v>432</v>
      </c>
      <c r="E883" t="s">
        <v>276</v>
      </c>
      <c r="F883" t="s">
        <v>27</v>
      </c>
      <c r="G883">
        <v>12</v>
      </c>
      <c r="H883" t="s">
        <v>3643</v>
      </c>
      <c r="I883" t="s">
        <v>3598</v>
      </c>
      <c r="J883" t="s">
        <v>3644</v>
      </c>
      <c r="K883" t="s">
        <v>3645</v>
      </c>
      <c r="L883" t="s">
        <v>62</v>
      </c>
      <c r="M883" s="1" t="str">
        <f t="shared" si="91"/>
        <v>08B223</v>
      </c>
      <c r="N883" s="1" t="str">
        <f t="shared" si="92"/>
        <v>C/O</v>
      </c>
      <c r="O883" s="1" t="str">
        <f t="shared" si="93"/>
        <v>Fuel Injectors</v>
      </c>
      <c r="P883" s="1" t="str">
        <f t="shared" si="94"/>
        <v>RM60</v>
      </c>
      <c r="Q883" s="2" t="str">
        <f t="shared" si="95"/>
        <v>RM60Fuel Injectors</v>
      </c>
      <c r="R883" s="2" t="str">
        <f>New_Xref[[#This Row],[Serial Prefix]]&amp;IF(New_Xref[[#This Row],[Func Loc]]&lt;&gt;"",New_Xref[[#This Row],[Func Loc]],"NO MATCH")</f>
        <v>RM60ENGD .FUEL.INJE</v>
      </c>
      <c r="S883" s="3" t="str">
        <f t="shared" si="96"/>
        <v>RM606470750Fuel Injectors</v>
      </c>
      <c r="T883" s="3" t="s">
        <v>63</v>
      </c>
      <c r="U883" s="3" t="s">
        <v>34</v>
      </c>
      <c r="V883" t="str">
        <f t="shared" si="97"/>
        <v>125100</v>
      </c>
    </row>
    <row r="884" spans="1:22">
      <c r="A884" t="s">
        <v>3558</v>
      </c>
      <c r="B884" t="s">
        <v>3567</v>
      </c>
      <c r="C884" t="s">
        <v>830</v>
      </c>
      <c r="D884" t="s">
        <v>831</v>
      </c>
      <c r="E884" t="s">
        <v>832</v>
      </c>
      <c r="F884" t="s">
        <v>27</v>
      </c>
      <c r="G884">
        <v>1</v>
      </c>
      <c r="H884" t="s">
        <v>3646</v>
      </c>
      <c r="I884" t="s">
        <v>3571</v>
      </c>
      <c r="J884" t="s">
        <v>3647</v>
      </c>
      <c r="K884" t="s">
        <v>3648</v>
      </c>
      <c r="L884" t="s">
        <v>739</v>
      </c>
      <c r="M884" s="1" t="str">
        <f t="shared" si="91"/>
        <v>08D09</v>
      </c>
      <c r="N884" s="1" t="str">
        <f t="shared" si="92"/>
        <v>C/O</v>
      </c>
      <c r="O884" s="1" t="str">
        <f t="shared" si="93"/>
        <v>Water Pump Main</v>
      </c>
      <c r="P884" s="1" t="str">
        <f t="shared" si="94"/>
        <v>2210</v>
      </c>
      <c r="Q884" s="2" t="str">
        <f t="shared" si="95"/>
        <v>2210Water Pump Main</v>
      </c>
      <c r="R884" s="2" t="str">
        <f>New_Xref[[#This Row],[Serial Prefix]]&amp;IF(New_Xref[[#This Row],[Func Loc]]&lt;&gt;"",New_Xref[[#This Row],[Func Loc]],"NO MATCH")</f>
        <v>2210ENGD .WAPU.WP01</v>
      </c>
      <c r="S884" s="3" t="str">
        <f t="shared" si="96"/>
        <v>221010R6400Water Pump Main</v>
      </c>
      <c r="T884" s="3" t="s">
        <v>183</v>
      </c>
      <c r="U884" s="3" t="s">
        <v>34</v>
      </c>
      <c r="V884" t="str">
        <f t="shared" si="97"/>
        <v>136100</v>
      </c>
    </row>
    <row r="885" spans="1:22">
      <c r="A885" t="s">
        <v>3558</v>
      </c>
      <c r="B885" t="s">
        <v>3574</v>
      </c>
      <c r="C885" t="s">
        <v>3649</v>
      </c>
      <c r="D885" t="s">
        <v>3650</v>
      </c>
      <c r="E885" t="s">
        <v>3651</v>
      </c>
      <c r="F885" t="s">
        <v>27</v>
      </c>
      <c r="G885">
        <v>1</v>
      </c>
      <c r="H885" t="s">
        <v>3652</v>
      </c>
      <c r="I885" t="s">
        <v>3579</v>
      </c>
      <c r="J885" t="s">
        <v>3653</v>
      </c>
      <c r="K885" t="s">
        <v>3654</v>
      </c>
      <c r="L885" t="s">
        <v>739</v>
      </c>
      <c r="M885" s="1" t="str">
        <f t="shared" si="91"/>
        <v>08D226</v>
      </c>
      <c r="N885" s="1" t="str">
        <f t="shared" si="92"/>
        <v>C/O</v>
      </c>
      <c r="O885" s="1" t="str">
        <f t="shared" si="93"/>
        <v>Water Pump Main</v>
      </c>
      <c r="P885" s="1" t="str">
        <f t="shared" si="94"/>
        <v>H9K0</v>
      </c>
      <c r="Q885" s="2" t="str">
        <f t="shared" si="95"/>
        <v>H9K0Water Pump Main</v>
      </c>
      <c r="R885" s="2" t="str">
        <f>New_Xref[[#This Row],[Serial Prefix]]&amp;IF(New_Xref[[#This Row],[Func Loc]]&lt;&gt;"",New_Xref[[#This Row],[Func Loc]],"NO MATCH")</f>
        <v>H9K0ENGD .WAPU.WP01</v>
      </c>
      <c r="S885" s="3" t="str">
        <f t="shared" si="96"/>
        <v>H9K03557389Water Pump Main</v>
      </c>
      <c r="T885" s="3" t="s">
        <v>183</v>
      </c>
      <c r="U885" s="3" t="s">
        <v>34</v>
      </c>
      <c r="V885" t="str">
        <f t="shared" si="97"/>
        <v>136100</v>
      </c>
    </row>
    <row r="886" spans="1:22">
      <c r="A886" t="s">
        <v>3558</v>
      </c>
      <c r="B886" t="s">
        <v>3590</v>
      </c>
      <c r="C886" t="s">
        <v>286</v>
      </c>
      <c r="D886" t="s">
        <v>287</v>
      </c>
      <c r="E886" t="s">
        <v>288</v>
      </c>
      <c r="F886" t="s">
        <v>27</v>
      </c>
      <c r="G886">
        <v>1</v>
      </c>
      <c r="H886" t="s">
        <v>3655</v>
      </c>
      <c r="I886" t="s">
        <v>3591</v>
      </c>
      <c r="J886" t="s">
        <v>3656</v>
      </c>
      <c r="K886" t="s">
        <v>3657</v>
      </c>
      <c r="L886" t="s">
        <v>739</v>
      </c>
      <c r="M886" s="1" t="str">
        <f t="shared" si="91"/>
        <v>08H208</v>
      </c>
      <c r="N886" s="1" t="str">
        <f t="shared" si="92"/>
        <v>C/O</v>
      </c>
      <c r="O886" s="1" t="str">
        <f t="shared" si="93"/>
        <v>Water Pump Main</v>
      </c>
      <c r="P886" s="1" t="str">
        <f t="shared" si="94"/>
        <v>RM30</v>
      </c>
      <c r="Q886" s="2" t="str">
        <f t="shared" si="95"/>
        <v>RM30Water Pump Main</v>
      </c>
      <c r="R886" s="2" t="str">
        <f>New_Xref[[#This Row],[Serial Prefix]]&amp;IF(New_Xref[[#This Row],[Func Loc]]&lt;&gt;"",New_Xref[[#This Row],[Func Loc]],"NO MATCH")</f>
        <v>RM30ENGD .WAPU.WP01</v>
      </c>
      <c r="S886" s="3" t="str">
        <f t="shared" si="96"/>
        <v>RM3020R1859Water Pump Main</v>
      </c>
      <c r="T886" s="3" t="s">
        <v>183</v>
      </c>
      <c r="U886" s="3" t="s">
        <v>34</v>
      </c>
      <c r="V886" t="str">
        <f t="shared" si="97"/>
        <v>136100</v>
      </c>
    </row>
    <row r="887" spans="1:22">
      <c r="A887" t="s">
        <v>3558</v>
      </c>
      <c r="B887" t="s">
        <v>3594</v>
      </c>
      <c r="C887" t="s">
        <v>286</v>
      </c>
      <c r="D887" t="s">
        <v>287</v>
      </c>
      <c r="E887" t="s">
        <v>288</v>
      </c>
      <c r="F887" t="s">
        <v>27</v>
      </c>
      <c r="G887">
        <v>1</v>
      </c>
      <c r="H887" t="s">
        <v>3658</v>
      </c>
      <c r="I887" t="s">
        <v>3598</v>
      </c>
      <c r="J887" t="s">
        <v>3659</v>
      </c>
      <c r="K887" t="s">
        <v>3660</v>
      </c>
      <c r="L887" t="s">
        <v>739</v>
      </c>
      <c r="M887" s="1" t="str">
        <f t="shared" si="91"/>
        <v>08B223</v>
      </c>
      <c r="N887" s="1" t="str">
        <f t="shared" si="92"/>
        <v>C/O</v>
      </c>
      <c r="O887" s="1" t="str">
        <f t="shared" si="93"/>
        <v>Water Pump Main</v>
      </c>
      <c r="P887" s="1" t="str">
        <f t="shared" si="94"/>
        <v>RM60</v>
      </c>
      <c r="Q887" s="2" t="str">
        <f t="shared" si="95"/>
        <v>RM60Water Pump Main</v>
      </c>
      <c r="R887" s="2" t="str">
        <f>New_Xref[[#This Row],[Serial Prefix]]&amp;IF(New_Xref[[#This Row],[Func Loc]]&lt;&gt;"",New_Xref[[#This Row],[Func Loc]],"NO MATCH")</f>
        <v>RM60ENGD .WAPU.WP01</v>
      </c>
      <c r="S887" s="3" t="str">
        <f t="shared" si="96"/>
        <v>RM6020R1859Water Pump Main</v>
      </c>
      <c r="T887" s="3" t="s">
        <v>183</v>
      </c>
      <c r="U887" s="3" t="s">
        <v>34</v>
      </c>
      <c r="V887" t="str">
        <f t="shared" si="97"/>
        <v>136100</v>
      </c>
    </row>
    <row r="888" spans="1:22">
      <c r="A888" t="s">
        <v>3558</v>
      </c>
      <c r="B888" t="s">
        <v>3567</v>
      </c>
      <c r="C888" t="s">
        <v>548</v>
      </c>
      <c r="D888" t="s">
        <v>549</v>
      </c>
      <c r="E888" t="s">
        <v>550</v>
      </c>
      <c r="F888" t="s">
        <v>27</v>
      </c>
      <c r="G888">
        <v>1</v>
      </c>
      <c r="H888" t="s">
        <v>3661</v>
      </c>
      <c r="I888" t="s">
        <v>3662</v>
      </c>
      <c r="J888" t="s">
        <v>3663</v>
      </c>
      <c r="K888" t="s">
        <v>3662</v>
      </c>
      <c r="L888" t="s">
        <v>2482</v>
      </c>
      <c r="M888" s="1" t="str">
        <f t="shared" si="91"/>
        <v>08D09</v>
      </c>
      <c r="N888" s="1" t="str">
        <f t="shared" si="92"/>
        <v>C/O</v>
      </c>
      <c r="O888" s="1" t="str">
        <f t="shared" si="93"/>
        <v>Engine Cooling Fan Pump</v>
      </c>
      <c r="P888" s="1" t="str">
        <f t="shared" si="94"/>
        <v>2210</v>
      </c>
      <c r="Q888" s="2" t="str">
        <f t="shared" si="95"/>
        <v>2210Engine Cooling Fan Pump</v>
      </c>
      <c r="R888" s="2" t="str">
        <f>New_Xref[[#This Row],[Serial Prefix]]&amp;IF(New_Xref[[#This Row],[Func Loc]]&lt;&gt;"",New_Xref[[#This Row],[Func Loc]],"NO MATCH")</f>
        <v>2210MYHD .PUMP.HP03</v>
      </c>
      <c r="S888" s="3" t="str">
        <f t="shared" si="96"/>
        <v>221020R0098Engine Cooling Fan Pump</v>
      </c>
      <c r="T888" s="3" t="s">
        <v>188</v>
      </c>
      <c r="U888" s="3" t="s">
        <v>34</v>
      </c>
      <c r="V888" t="str">
        <f t="shared" si="97"/>
        <v>138600</v>
      </c>
    </row>
    <row r="889" spans="1:22">
      <c r="A889" t="s">
        <v>3558</v>
      </c>
      <c r="B889" t="s">
        <v>3574</v>
      </c>
      <c r="C889" t="s">
        <v>548</v>
      </c>
      <c r="D889" t="s">
        <v>549</v>
      </c>
      <c r="E889" t="s">
        <v>3664</v>
      </c>
      <c r="F889" t="s">
        <v>27</v>
      </c>
      <c r="G889">
        <v>1</v>
      </c>
      <c r="H889" t="s">
        <v>3665</v>
      </c>
      <c r="I889" t="s">
        <v>3666</v>
      </c>
      <c r="J889" t="s">
        <v>3667</v>
      </c>
      <c r="K889" t="s">
        <v>3666</v>
      </c>
      <c r="L889" t="s">
        <v>2478</v>
      </c>
      <c r="M889" s="1" t="str">
        <f t="shared" si="91"/>
        <v>08D226</v>
      </c>
      <c r="N889" s="1" t="str">
        <f t="shared" si="92"/>
        <v>C/O</v>
      </c>
      <c r="O889" s="1" t="str">
        <f t="shared" si="93"/>
        <v>Engine Cooling Fan Pump</v>
      </c>
      <c r="P889" s="1" t="str">
        <f t="shared" si="94"/>
        <v>H9K0</v>
      </c>
      <c r="Q889" s="2" t="str">
        <f t="shared" si="95"/>
        <v>H9K0Engine Cooling Fan Pump</v>
      </c>
      <c r="R889" s="2" t="str">
        <f>New_Xref[[#This Row],[Serial Prefix]]&amp;IF(New_Xref[[#This Row],[Func Loc]]&lt;&gt;"",New_Xref[[#This Row],[Func Loc]],"NO MATCH")</f>
        <v>H9K0MYHD .PUMP.HP02</v>
      </c>
      <c r="S889" s="3" t="str">
        <f t="shared" si="96"/>
        <v>H9K020R0098Engine Cooling Fan Pump</v>
      </c>
      <c r="T889" s="3" t="s">
        <v>188</v>
      </c>
      <c r="U889" s="3" t="s">
        <v>34</v>
      </c>
      <c r="V889" t="str">
        <f t="shared" si="97"/>
        <v>138600</v>
      </c>
    </row>
    <row r="890" spans="1:22">
      <c r="A890" t="s">
        <v>3558</v>
      </c>
      <c r="B890" t="s">
        <v>3590</v>
      </c>
      <c r="C890" t="s">
        <v>548</v>
      </c>
      <c r="D890" t="s">
        <v>549</v>
      </c>
      <c r="E890" t="s">
        <v>3664</v>
      </c>
      <c r="F890" t="s">
        <v>27</v>
      </c>
      <c r="G890">
        <v>1</v>
      </c>
      <c r="H890" t="s">
        <v>3668</v>
      </c>
      <c r="I890" t="s">
        <v>3669</v>
      </c>
      <c r="J890" t="s">
        <v>3670</v>
      </c>
      <c r="K890" t="s">
        <v>3669</v>
      </c>
      <c r="L890" t="s">
        <v>2478</v>
      </c>
      <c r="M890" s="1" t="str">
        <f t="shared" si="91"/>
        <v>08H208</v>
      </c>
      <c r="N890" s="1" t="str">
        <f t="shared" si="92"/>
        <v>C/O</v>
      </c>
      <c r="O890" s="1" t="str">
        <f t="shared" si="93"/>
        <v>Engine Cooling Fan Pump</v>
      </c>
      <c r="P890" s="1" t="str">
        <f t="shared" si="94"/>
        <v>RM30</v>
      </c>
      <c r="Q890" s="2" t="str">
        <f t="shared" si="95"/>
        <v>RM30Engine Cooling Fan Pump</v>
      </c>
      <c r="R890" s="2" t="str">
        <f>New_Xref[[#This Row],[Serial Prefix]]&amp;IF(New_Xref[[#This Row],[Func Loc]]&lt;&gt;"",New_Xref[[#This Row],[Func Loc]],"NO MATCH")</f>
        <v>RM30MYHD .PUMP.HP02</v>
      </c>
      <c r="S890" s="3" t="str">
        <f t="shared" si="96"/>
        <v>RM3020R0098Engine Cooling Fan Pump</v>
      </c>
      <c r="T890" s="3" t="s">
        <v>188</v>
      </c>
      <c r="U890" s="3" t="s">
        <v>34</v>
      </c>
      <c r="V890" t="str">
        <f t="shared" si="97"/>
        <v>138600</v>
      </c>
    </row>
    <row r="891" spans="1:22">
      <c r="A891" t="s">
        <v>3558</v>
      </c>
      <c r="B891" t="s">
        <v>3671</v>
      </c>
      <c r="C891" t="s">
        <v>567</v>
      </c>
      <c r="D891" t="s">
        <v>568</v>
      </c>
      <c r="E891" t="s">
        <v>562</v>
      </c>
      <c r="F891" t="s">
        <v>27</v>
      </c>
      <c r="G891">
        <v>1</v>
      </c>
      <c r="H891" t="s">
        <v>3672</v>
      </c>
      <c r="I891" t="s">
        <v>3673</v>
      </c>
      <c r="J891" t="s">
        <v>3674</v>
      </c>
      <c r="K891" t="s">
        <v>3673</v>
      </c>
      <c r="L891" t="s">
        <v>198</v>
      </c>
      <c r="M891" s="1" t="str">
        <f t="shared" si="91"/>
        <v>08H92</v>
      </c>
      <c r="N891" s="1" t="str">
        <f t="shared" si="92"/>
        <v>C/O</v>
      </c>
      <c r="O891" s="1" t="str">
        <f t="shared" si="93"/>
        <v>Axle Assembly Rear</v>
      </c>
      <c r="P891" s="1" t="str">
        <f t="shared" si="94"/>
        <v>2210</v>
      </c>
      <c r="Q891" s="2" t="str">
        <f t="shared" si="95"/>
        <v>2210Axle Assembly Rear</v>
      </c>
      <c r="R891" s="2" t="str">
        <f>New_Xref[[#This Row],[Serial Prefix]]&amp;IF(New_Xref[[#This Row],[Func Loc]]&lt;&gt;"",New_Xref[[#This Row],[Func Loc]],"NO MATCH")</f>
        <v>2210FDRV .AXAR</v>
      </c>
      <c r="S891" s="3" t="str">
        <f t="shared" si="96"/>
        <v>22103732558FAxle Assembly Rear</v>
      </c>
      <c r="T891" s="3" t="s">
        <v>566</v>
      </c>
      <c r="U891" s="3" t="s">
        <v>317</v>
      </c>
      <c r="V891" t="str">
        <f t="shared" si="97"/>
        <v>3013RE</v>
      </c>
    </row>
    <row r="892" spans="1:22">
      <c r="A892" t="s">
        <v>3558</v>
      </c>
      <c r="B892" t="s">
        <v>3675</v>
      </c>
      <c r="C892" t="s">
        <v>560</v>
      </c>
      <c r="D892" t="s">
        <v>561</v>
      </c>
      <c r="E892" t="s">
        <v>562</v>
      </c>
      <c r="F892" t="s">
        <v>27</v>
      </c>
      <c r="G892">
        <v>1</v>
      </c>
      <c r="H892" t="s">
        <v>3676</v>
      </c>
      <c r="I892" t="s">
        <v>3677</v>
      </c>
      <c r="J892" t="s">
        <v>3678</v>
      </c>
      <c r="K892" t="s">
        <v>3677</v>
      </c>
      <c r="L892" t="s">
        <v>350</v>
      </c>
      <c r="M892" s="1" t="str">
        <f t="shared" si="91"/>
        <v>08H144</v>
      </c>
      <c r="N892" s="1" t="str">
        <f t="shared" si="92"/>
        <v>C/O</v>
      </c>
      <c r="O892" s="1" t="str">
        <f t="shared" si="93"/>
        <v>Axle Assembly Front</v>
      </c>
      <c r="P892" s="1" t="str">
        <f t="shared" si="94"/>
        <v>2210</v>
      </c>
      <c r="Q892" s="2" t="str">
        <f t="shared" si="95"/>
        <v>2210Axle Assembly Front</v>
      </c>
      <c r="R892" s="2" t="str">
        <f>New_Xref[[#This Row],[Serial Prefix]]&amp;IF(New_Xref[[#This Row],[Func Loc]]&lt;&gt;"",New_Xref[[#This Row],[Func Loc]],"NO MATCH")</f>
        <v>2210FDRV .AXAF</v>
      </c>
      <c r="S892" s="3" t="str">
        <f t="shared" si="96"/>
        <v>22103732557FAxle Assembly Front</v>
      </c>
      <c r="T892" s="3" t="s">
        <v>566</v>
      </c>
      <c r="U892" s="3" t="s">
        <v>386</v>
      </c>
      <c r="V892" t="str">
        <f t="shared" si="97"/>
        <v>3013FR</v>
      </c>
    </row>
    <row r="893" spans="1:22">
      <c r="A893" t="s">
        <v>3558</v>
      </c>
      <c r="B893" t="s">
        <v>3574</v>
      </c>
      <c r="C893" t="s">
        <v>560</v>
      </c>
      <c r="D893" t="s">
        <v>561</v>
      </c>
      <c r="E893" t="s">
        <v>562</v>
      </c>
      <c r="F893" t="s">
        <v>27</v>
      </c>
      <c r="G893">
        <v>1</v>
      </c>
      <c r="H893" t="s">
        <v>3679</v>
      </c>
      <c r="I893" t="s">
        <v>3680</v>
      </c>
      <c r="J893" t="s">
        <v>3681</v>
      </c>
      <c r="K893" t="s">
        <v>3680</v>
      </c>
      <c r="L893" t="s">
        <v>350</v>
      </c>
      <c r="M893" s="1" t="str">
        <f t="shared" si="91"/>
        <v>08D226</v>
      </c>
      <c r="N893" s="1" t="str">
        <f t="shared" si="92"/>
        <v>C/O</v>
      </c>
      <c r="O893" s="1" t="str">
        <f t="shared" si="93"/>
        <v>Axle Assembly Front</v>
      </c>
      <c r="P893" s="1" t="str">
        <f t="shared" si="94"/>
        <v>H9K0</v>
      </c>
      <c r="Q893" s="2" t="str">
        <f t="shared" si="95"/>
        <v>H9K0Axle Assembly Front</v>
      </c>
      <c r="R893" s="2" t="str">
        <f>New_Xref[[#This Row],[Serial Prefix]]&amp;IF(New_Xref[[#This Row],[Func Loc]]&lt;&gt;"",New_Xref[[#This Row],[Func Loc]],"NO MATCH")</f>
        <v>H9K0FDRV .AXAF</v>
      </c>
      <c r="S893" s="3" t="str">
        <f t="shared" si="96"/>
        <v>H9K03732557FAxle Assembly Front</v>
      </c>
      <c r="T893" s="3" t="s">
        <v>566</v>
      </c>
      <c r="U893" s="3" t="s">
        <v>386</v>
      </c>
      <c r="V893" t="str">
        <f t="shared" si="97"/>
        <v>3013FR</v>
      </c>
    </row>
    <row r="894" spans="1:22">
      <c r="A894" t="s">
        <v>3558</v>
      </c>
      <c r="B894" t="s">
        <v>3574</v>
      </c>
      <c r="C894" t="s">
        <v>567</v>
      </c>
      <c r="D894" t="s">
        <v>568</v>
      </c>
      <c r="E894" t="s">
        <v>562</v>
      </c>
      <c r="F894" t="s">
        <v>27</v>
      </c>
      <c r="G894">
        <v>1</v>
      </c>
      <c r="H894" t="s">
        <v>3682</v>
      </c>
      <c r="I894" t="s">
        <v>3683</v>
      </c>
      <c r="J894" t="s">
        <v>3684</v>
      </c>
      <c r="K894" t="s">
        <v>3683</v>
      </c>
      <c r="L894" t="s">
        <v>198</v>
      </c>
      <c r="M894" s="1" t="str">
        <f t="shared" si="91"/>
        <v>08D226</v>
      </c>
      <c r="N894" s="1" t="str">
        <f t="shared" si="92"/>
        <v>C/O</v>
      </c>
      <c r="O894" s="1" t="str">
        <f t="shared" si="93"/>
        <v>Axle Assembly Rear</v>
      </c>
      <c r="P894" s="1" t="str">
        <f t="shared" si="94"/>
        <v>H9K0</v>
      </c>
      <c r="Q894" s="2" t="str">
        <f t="shared" si="95"/>
        <v>H9K0Axle Assembly Rear</v>
      </c>
      <c r="R894" s="2" t="str">
        <f>New_Xref[[#This Row],[Serial Prefix]]&amp;IF(New_Xref[[#This Row],[Func Loc]]&lt;&gt;"",New_Xref[[#This Row],[Func Loc]],"NO MATCH")</f>
        <v>H9K0FDRV .AXAR</v>
      </c>
      <c r="S894" s="3" t="str">
        <f t="shared" si="96"/>
        <v>H9K03732558FAxle Assembly Rear</v>
      </c>
      <c r="T894" s="3" t="s">
        <v>566</v>
      </c>
      <c r="U894" s="3" t="s">
        <v>317</v>
      </c>
      <c r="V894" t="str">
        <f t="shared" si="97"/>
        <v>3013RE</v>
      </c>
    </row>
    <row r="895" spans="1:22">
      <c r="A895" t="s">
        <v>3558</v>
      </c>
      <c r="B895" t="s">
        <v>3590</v>
      </c>
      <c r="C895" t="s">
        <v>560</v>
      </c>
      <c r="D895" t="s">
        <v>561</v>
      </c>
      <c r="E895" t="s">
        <v>562</v>
      </c>
      <c r="F895" t="s">
        <v>27</v>
      </c>
      <c r="G895">
        <v>1</v>
      </c>
      <c r="H895" t="s">
        <v>3685</v>
      </c>
      <c r="I895" t="s">
        <v>3686</v>
      </c>
      <c r="J895" t="s">
        <v>3687</v>
      </c>
      <c r="K895" t="s">
        <v>3686</v>
      </c>
      <c r="L895" t="s">
        <v>350</v>
      </c>
      <c r="M895" s="1" t="str">
        <f t="shared" si="91"/>
        <v>08H208</v>
      </c>
      <c r="N895" s="1" t="str">
        <f t="shared" si="92"/>
        <v>C/O</v>
      </c>
      <c r="O895" s="1" t="str">
        <f t="shared" si="93"/>
        <v>Axle Assembly Front</v>
      </c>
      <c r="P895" s="1" t="str">
        <f t="shared" si="94"/>
        <v>RM30</v>
      </c>
      <c r="Q895" s="2" t="str">
        <f t="shared" si="95"/>
        <v>RM30Axle Assembly Front</v>
      </c>
      <c r="R895" s="2" t="str">
        <f>New_Xref[[#This Row],[Serial Prefix]]&amp;IF(New_Xref[[#This Row],[Func Loc]]&lt;&gt;"",New_Xref[[#This Row],[Func Loc]],"NO MATCH")</f>
        <v>RM30FDRV .AXAF</v>
      </c>
      <c r="S895" s="3" t="str">
        <f t="shared" si="96"/>
        <v>RM303732557FAxle Assembly Front</v>
      </c>
      <c r="T895" s="3" t="s">
        <v>566</v>
      </c>
      <c r="U895" s="3" t="s">
        <v>386</v>
      </c>
      <c r="V895" t="str">
        <f t="shared" si="97"/>
        <v>3013FR</v>
      </c>
    </row>
    <row r="896" spans="1:22">
      <c r="A896" t="s">
        <v>3558</v>
      </c>
      <c r="B896" t="s">
        <v>3590</v>
      </c>
      <c r="C896" t="s">
        <v>567</v>
      </c>
      <c r="D896" t="s">
        <v>568</v>
      </c>
      <c r="E896" t="s">
        <v>562</v>
      </c>
      <c r="F896" t="s">
        <v>27</v>
      </c>
      <c r="G896">
        <v>1</v>
      </c>
      <c r="H896" t="s">
        <v>3688</v>
      </c>
      <c r="I896" t="s">
        <v>3689</v>
      </c>
      <c r="J896" t="s">
        <v>3690</v>
      </c>
      <c r="K896" t="s">
        <v>3691</v>
      </c>
      <c r="L896" t="s">
        <v>198</v>
      </c>
      <c r="M896" s="1" t="str">
        <f t="shared" si="91"/>
        <v>08H208</v>
      </c>
      <c r="N896" s="1" t="str">
        <f t="shared" si="92"/>
        <v>C/O</v>
      </c>
      <c r="O896" s="1" t="str">
        <f t="shared" si="93"/>
        <v>Axle Assembly Rear</v>
      </c>
      <c r="P896" s="1" t="str">
        <f t="shared" si="94"/>
        <v>RM30</v>
      </c>
      <c r="Q896" s="2" t="str">
        <f t="shared" si="95"/>
        <v>RM30Axle Assembly Rear</v>
      </c>
      <c r="R896" s="2" t="str">
        <f>New_Xref[[#This Row],[Serial Prefix]]&amp;IF(New_Xref[[#This Row],[Func Loc]]&lt;&gt;"",New_Xref[[#This Row],[Func Loc]],"NO MATCH")</f>
        <v>RM30FDRV .AXAR</v>
      </c>
      <c r="S896" s="3" t="str">
        <f t="shared" si="96"/>
        <v>RM303732558FAxle Assembly Rear</v>
      </c>
      <c r="T896" s="3" t="s">
        <v>566</v>
      </c>
      <c r="U896" s="3" t="s">
        <v>317</v>
      </c>
      <c r="V896" t="str">
        <f t="shared" si="97"/>
        <v>3013RE</v>
      </c>
    </row>
    <row r="897" spans="1:22">
      <c r="A897" t="s">
        <v>3558</v>
      </c>
      <c r="B897" t="s">
        <v>3594</v>
      </c>
      <c r="C897" t="s">
        <v>560</v>
      </c>
      <c r="D897" t="s">
        <v>561</v>
      </c>
      <c r="E897" t="s">
        <v>562</v>
      </c>
      <c r="F897" t="s">
        <v>27</v>
      </c>
      <c r="G897">
        <v>1</v>
      </c>
      <c r="H897" t="s">
        <v>3692</v>
      </c>
      <c r="I897" t="s">
        <v>3693</v>
      </c>
      <c r="J897" t="s">
        <v>3694</v>
      </c>
      <c r="K897" t="s">
        <v>3693</v>
      </c>
      <c r="L897" t="s">
        <v>350</v>
      </c>
      <c r="M897" s="1" t="str">
        <f t="shared" si="91"/>
        <v>08B223</v>
      </c>
      <c r="N897" s="1" t="str">
        <f t="shared" si="92"/>
        <v>C/O</v>
      </c>
      <c r="O897" s="1" t="str">
        <f t="shared" si="93"/>
        <v>Axle Assembly Front</v>
      </c>
      <c r="P897" s="1" t="str">
        <f t="shared" si="94"/>
        <v>RM60</v>
      </c>
      <c r="Q897" s="2" t="str">
        <f t="shared" si="95"/>
        <v>RM60Axle Assembly Front</v>
      </c>
      <c r="R897" s="2" t="str">
        <f>New_Xref[[#This Row],[Serial Prefix]]&amp;IF(New_Xref[[#This Row],[Func Loc]]&lt;&gt;"",New_Xref[[#This Row],[Func Loc]],"NO MATCH")</f>
        <v>RM60FDRV .AXAF</v>
      </c>
      <c r="S897" s="3" t="str">
        <f t="shared" si="96"/>
        <v>RM603732557FAxle Assembly Front</v>
      </c>
      <c r="T897" s="3" t="s">
        <v>566</v>
      </c>
      <c r="U897" s="3" t="s">
        <v>386</v>
      </c>
      <c r="V897" t="str">
        <f t="shared" si="97"/>
        <v>3013FR</v>
      </c>
    </row>
    <row r="898" spans="1:22">
      <c r="A898" t="s">
        <v>3558</v>
      </c>
      <c r="B898" t="s">
        <v>3594</v>
      </c>
      <c r="C898" t="s">
        <v>567</v>
      </c>
      <c r="D898" t="s">
        <v>568</v>
      </c>
      <c r="E898" t="s">
        <v>562</v>
      </c>
      <c r="F898" t="s">
        <v>27</v>
      </c>
      <c r="G898">
        <v>1</v>
      </c>
      <c r="H898" t="s">
        <v>3695</v>
      </c>
      <c r="I898" t="s">
        <v>3696</v>
      </c>
      <c r="J898" t="s">
        <v>3697</v>
      </c>
      <c r="K898" t="s">
        <v>3696</v>
      </c>
      <c r="L898" t="s">
        <v>198</v>
      </c>
      <c r="M898" s="1" t="str">
        <f t="shared" si="91"/>
        <v>08B223</v>
      </c>
      <c r="N898" s="1" t="str">
        <f t="shared" si="92"/>
        <v>C/O</v>
      </c>
      <c r="O898" s="1" t="str">
        <f t="shared" si="93"/>
        <v>Axle Assembly Rear</v>
      </c>
      <c r="P898" s="1" t="str">
        <f t="shared" si="94"/>
        <v>RM60</v>
      </c>
      <c r="Q898" s="2" t="str">
        <f t="shared" si="95"/>
        <v>RM60Axle Assembly Rear</v>
      </c>
      <c r="R898" s="2" t="str">
        <f>New_Xref[[#This Row],[Serial Prefix]]&amp;IF(New_Xref[[#This Row],[Func Loc]]&lt;&gt;"",New_Xref[[#This Row],[Func Loc]],"NO MATCH")</f>
        <v>RM60FDRV .AXAR</v>
      </c>
      <c r="S898" s="3" t="str">
        <f t="shared" si="96"/>
        <v>RM603732558FAxle Assembly Rear</v>
      </c>
      <c r="T898" s="3" t="s">
        <v>566</v>
      </c>
      <c r="U898" s="3" t="s">
        <v>317</v>
      </c>
      <c r="V898" t="str">
        <f t="shared" si="97"/>
        <v>3013RE</v>
      </c>
    </row>
    <row r="899" spans="1:22">
      <c r="A899" t="s">
        <v>3558</v>
      </c>
      <c r="B899" t="s">
        <v>3567</v>
      </c>
      <c r="C899" t="s">
        <v>3698</v>
      </c>
      <c r="D899" t="s">
        <v>3699</v>
      </c>
      <c r="E899" t="s">
        <v>191</v>
      </c>
      <c r="F899" t="s">
        <v>27</v>
      </c>
      <c r="G899">
        <v>1</v>
      </c>
      <c r="H899" t="s">
        <v>3700</v>
      </c>
      <c r="I899" t="s">
        <v>3701</v>
      </c>
      <c r="J899" t="s">
        <v>3702</v>
      </c>
      <c r="K899" t="s">
        <v>3701</v>
      </c>
      <c r="L899" t="s">
        <v>72</v>
      </c>
      <c r="M899" s="1" t="str">
        <f t="shared" ref="M899:M962" si="98">LEFT(K899,FIND(" ",K899,1)-1)</f>
        <v>08D09</v>
      </c>
      <c r="N899" s="1" t="str">
        <f t="shared" ref="N899:N962" si="99">MID(K899,LEN(M899)+2,FIND(" ",K899,LEN(M899)+2)-LEN(M899)-2)</f>
        <v>C/O</v>
      </c>
      <c r="O899" s="1" t="str">
        <f t="shared" ref="O899:O962" si="100">MID(K899,FIND(N899,K899,1)+LEN(N899)+1, 150)</f>
        <v>Transmission</v>
      </c>
      <c r="P899" s="1" t="str">
        <f t="shared" ref="P899:P962" si="101">LEFT(B899,4)</f>
        <v>2210</v>
      </c>
      <c r="Q899" s="2" t="str">
        <f t="shared" ref="Q899:Q962" si="102">P899&amp;O899</f>
        <v>2210Transmission</v>
      </c>
      <c r="R899" s="2" t="str">
        <f>New_Xref[[#This Row],[Serial Prefix]]&amp;IF(New_Xref[[#This Row],[Func Loc]]&lt;&gt;"",New_Xref[[#This Row],[Func Loc]],"NO MATCH")</f>
        <v>2210TRAN .TRAN</v>
      </c>
      <c r="S899" s="3" t="str">
        <f t="shared" ref="S899:S962" si="103">P899&amp;D899&amp;O899</f>
        <v>22102837702XTransmission</v>
      </c>
      <c r="T899" s="3" t="s">
        <v>73</v>
      </c>
      <c r="U899" s="3" t="s">
        <v>34</v>
      </c>
      <c r="V899" t="str">
        <f t="shared" ref="V899:V962" si="104">LEFT(T899,FIND(" -",T899,1)-1)&amp;LEFT(U899,FIND(" -",U899,1)-1)</f>
        <v>303000</v>
      </c>
    </row>
    <row r="900" spans="1:22">
      <c r="A900" t="s">
        <v>3558</v>
      </c>
      <c r="B900" t="s">
        <v>3574</v>
      </c>
      <c r="C900" t="s">
        <v>572</v>
      </c>
      <c r="D900" t="s">
        <v>573</v>
      </c>
      <c r="E900" t="s">
        <v>191</v>
      </c>
      <c r="F900" t="s">
        <v>27</v>
      </c>
      <c r="G900">
        <v>1</v>
      </c>
      <c r="H900" t="s">
        <v>3703</v>
      </c>
      <c r="I900" t="s">
        <v>3704</v>
      </c>
      <c r="J900" t="s">
        <v>3705</v>
      </c>
      <c r="K900" t="s">
        <v>3704</v>
      </c>
      <c r="L900" t="s">
        <v>72</v>
      </c>
      <c r="M900" s="1" t="str">
        <f t="shared" si="98"/>
        <v>08D226</v>
      </c>
      <c r="N900" s="1" t="str">
        <f t="shared" si="99"/>
        <v>C/O</v>
      </c>
      <c r="O900" s="1" t="str">
        <f t="shared" si="100"/>
        <v>Transmission</v>
      </c>
      <c r="P900" s="1" t="str">
        <f t="shared" si="101"/>
        <v>H9K0</v>
      </c>
      <c r="Q900" s="2" t="str">
        <f t="shared" si="102"/>
        <v>H9K0Transmission</v>
      </c>
      <c r="R900" s="2" t="str">
        <f>New_Xref[[#This Row],[Serial Prefix]]&amp;IF(New_Xref[[#This Row],[Func Loc]]&lt;&gt;"",New_Xref[[#This Row],[Func Loc]],"NO MATCH")</f>
        <v>H9K0TRAN .TRAN</v>
      </c>
      <c r="S900" s="3" t="str">
        <f t="shared" si="103"/>
        <v>H9K03466114XTransmission</v>
      </c>
      <c r="T900" s="3" t="s">
        <v>73</v>
      </c>
      <c r="U900" s="3" t="s">
        <v>34</v>
      </c>
      <c r="V900" t="str">
        <f t="shared" si="104"/>
        <v>303000</v>
      </c>
    </row>
    <row r="901" spans="1:22">
      <c r="A901" t="s">
        <v>3558</v>
      </c>
      <c r="B901" t="s">
        <v>3590</v>
      </c>
      <c r="C901" t="s">
        <v>572</v>
      </c>
      <c r="D901" t="s">
        <v>573</v>
      </c>
      <c r="E901" t="s">
        <v>191</v>
      </c>
      <c r="F901" t="s">
        <v>27</v>
      </c>
      <c r="G901">
        <v>1</v>
      </c>
      <c r="H901" t="s">
        <v>3706</v>
      </c>
      <c r="I901" t="s">
        <v>3707</v>
      </c>
      <c r="J901" t="s">
        <v>3708</v>
      </c>
      <c r="K901" t="s">
        <v>3707</v>
      </c>
      <c r="L901" t="s">
        <v>72</v>
      </c>
      <c r="M901" s="1" t="str">
        <f t="shared" si="98"/>
        <v>08H208</v>
      </c>
      <c r="N901" s="1" t="str">
        <f t="shared" si="99"/>
        <v>C/O</v>
      </c>
      <c r="O901" s="1" t="str">
        <f t="shared" si="100"/>
        <v>Transmission</v>
      </c>
      <c r="P901" s="1" t="str">
        <f t="shared" si="101"/>
        <v>RM30</v>
      </c>
      <c r="Q901" s="2" t="str">
        <f t="shared" si="102"/>
        <v>RM30Transmission</v>
      </c>
      <c r="R901" s="2" t="str">
        <f>New_Xref[[#This Row],[Serial Prefix]]&amp;IF(New_Xref[[#This Row],[Func Loc]]&lt;&gt;"",New_Xref[[#This Row],[Func Loc]],"NO MATCH")</f>
        <v>RM30TRAN .TRAN</v>
      </c>
      <c r="S901" s="3" t="str">
        <f t="shared" si="103"/>
        <v>RM303466114XTransmission</v>
      </c>
      <c r="T901" s="3" t="s">
        <v>73</v>
      </c>
      <c r="U901" s="3" t="s">
        <v>34</v>
      </c>
      <c r="V901" t="str">
        <f t="shared" si="104"/>
        <v>303000</v>
      </c>
    </row>
    <row r="902" spans="1:22">
      <c r="A902" t="s">
        <v>3558</v>
      </c>
      <c r="B902" t="s">
        <v>3594</v>
      </c>
      <c r="C902" t="s">
        <v>572</v>
      </c>
      <c r="D902" t="s">
        <v>573</v>
      </c>
      <c r="E902" t="s">
        <v>191</v>
      </c>
      <c r="F902" t="s">
        <v>27</v>
      </c>
      <c r="G902">
        <v>1</v>
      </c>
      <c r="H902" t="s">
        <v>3709</v>
      </c>
      <c r="I902" t="s">
        <v>3710</v>
      </c>
      <c r="J902" t="s">
        <v>3711</v>
      </c>
      <c r="K902" t="s">
        <v>3710</v>
      </c>
      <c r="L902" t="s">
        <v>72</v>
      </c>
      <c r="M902" s="1" t="str">
        <f t="shared" si="98"/>
        <v>08B223</v>
      </c>
      <c r="N902" s="1" t="str">
        <f t="shared" si="99"/>
        <v>C/O</v>
      </c>
      <c r="O902" s="1" t="str">
        <f t="shared" si="100"/>
        <v>Transmission</v>
      </c>
      <c r="P902" s="1" t="str">
        <f t="shared" si="101"/>
        <v>RM60</v>
      </c>
      <c r="Q902" s="2" t="str">
        <f t="shared" si="102"/>
        <v>RM60Transmission</v>
      </c>
      <c r="R902" s="2" t="str">
        <f>New_Xref[[#This Row],[Serial Prefix]]&amp;IF(New_Xref[[#This Row],[Func Loc]]&lt;&gt;"",New_Xref[[#This Row],[Func Loc]],"NO MATCH")</f>
        <v>RM60TRAN .TRAN</v>
      </c>
      <c r="S902" s="3" t="str">
        <f t="shared" si="103"/>
        <v>RM603466114XTransmission</v>
      </c>
      <c r="T902" s="3" t="s">
        <v>73</v>
      </c>
      <c r="U902" s="3" t="s">
        <v>34</v>
      </c>
      <c r="V902" t="str">
        <f t="shared" si="104"/>
        <v>303000</v>
      </c>
    </row>
    <row r="903" spans="1:22">
      <c r="A903" t="s">
        <v>3558</v>
      </c>
      <c r="B903" t="s">
        <v>3590</v>
      </c>
      <c r="C903" t="s">
        <v>577</v>
      </c>
      <c r="D903" t="s">
        <v>578</v>
      </c>
      <c r="E903" t="s">
        <v>579</v>
      </c>
      <c r="F903" t="s">
        <v>27</v>
      </c>
      <c r="G903">
        <v>1</v>
      </c>
      <c r="H903" t="s">
        <v>3712</v>
      </c>
      <c r="I903" t="s">
        <v>3713</v>
      </c>
      <c r="J903" t="s">
        <v>3714</v>
      </c>
      <c r="K903" t="s">
        <v>3713</v>
      </c>
      <c r="L903" t="s">
        <v>2275</v>
      </c>
      <c r="M903" s="1" t="str">
        <f t="shared" si="98"/>
        <v>08H208</v>
      </c>
      <c r="N903" s="1" t="str">
        <f t="shared" si="99"/>
        <v>C/O</v>
      </c>
      <c r="O903" s="1" t="str">
        <f t="shared" si="100"/>
        <v>Transmission Charge Pump</v>
      </c>
      <c r="P903" s="1" t="str">
        <f t="shared" si="101"/>
        <v>RM30</v>
      </c>
      <c r="Q903" s="2" t="str">
        <f t="shared" si="102"/>
        <v>RM30Transmission Charge Pump</v>
      </c>
      <c r="R903" s="2" t="str">
        <f>New_Xref[[#This Row],[Serial Prefix]]&amp;IF(New_Xref[[#This Row],[Func Loc]]&lt;&gt;"",New_Xref[[#This Row],[Func Loc]],"NO MATCH")</f>
        <v>RM30TRAN .PUMP.DP01</v>
      </c>
      <c r="S903" s="3" t="str">
        <f t="shared" si="103"/>
        <v>RM3020R6497Transmission Charge Pump</v>
      </c>
      <c r="T903" s="3" t="s">
        <v>584</v>
      </c>
      <c r="U903" s="3" t="s">
        <v>34</v>
      </c>
      <c r="V903" t="str">
        <f t="shared" si="104"/>
        <v>306600</v>
      </c>
    </row>
    <row r="904" spans="1:22">
      <c r="A904" t="s">
        <v>3558</v>
      </c>
      <c r="B904" t="s">
        <v>3594</v>
      </c>
      <c r="C904" t="s">
        <v>577</v>
      </c>
      <c r="D904" t="s">
        <v>578</v>
      </c>
      <c r="E904" t="s">
        <v>579</v>
      </c>
      <c r="F904" t="s">
        <v>27</v>
      </c>
      <c r="G904">
        <v>1</v>
      </c>
      <c r="H904" t="s">
        <v>3715</v>
      </c>
      <c r="I904" t="s">
        <v>3716</v>
      </c>
      <c r="J904" t="s">
        <v>3717</v>
      </c>
      <c r="K904" t="s">
        <v>3716</v>
      </c>
      <c r="L904" t="s">
        <v>2275</v>
      </c>
      <c r="M904" s="1" t="str">
        <f t="shared" si="98"/>
        <v>08B223</v>
      </c>
      <c r="N904" s="1" t="str">
        <f t="shared" si="99"/>
        <v>C/O</v>
      </c>
      <c r="O904" s="1" t="str">
        <f t="shared" si="100"/>
        <v>Transmission Charge Pump</v>
      </c>
      <c r="P904" s="1" t="str">
        <f t="shared" si="101"/>
        <v>RM60</v>
      </c>
      <c r="Q904" s="2" t="str">
        <f t="shared" si="102"/>
        <v>RM60Transmission Charge Pump</v>
      </c>
      <c r="R904" s="2" t="str">
        <f>New_Xref[[#This Row],[Serial Prefix]]&amp;IF(New_Xref[[#This Row],[Func Loc]]&lt;&gt;"",New_Xref[[#This Row],[Func Loc]],"NO MATCH")</f>
        <v>RM60TRAN .PUMP.DP01</v>
      </c>
      <c r="S904" s="3" t="str">
        <f t="shared" si="103"/>
        <v>RM6020R6497Transmission Charge Pump</v>
      </c>
      <c r="T904" s="3" t="s">
        <v>584</v>
      </c>
      <c r="U904" s="3" t="s">
        <v>34</v>
      </c>
      <c r="V904" t="str">
        <f t="shared" si="104"/>
        <v>306600</v>
      </c>
    </row>
    <row r="905" spans="1:22">
      <c r="A905" t="s">
        <v>3558</v>
      </c>
      <c r="B905" t="s">
        <v>3671</v>
      </c>
      <c r="C905" t="s">
        <v>585</v>
      </c>
      <c r="D905" t="s">
        <v>586</v>
      </c>
      <c r="E905" t="s">
        <v>587</v>
      </c>
      <c r="F905" t="s">
        <v>27</v>
      </c>
      <c r="G905">
        <v>1</v>
      </c>
      <c r="H905" t="s">
        <v>3718</v>
      </c>
      <c r="I905" t="s">
        <v>3719</v>
      </c>
      <c r="J905" t="s">
        <v>3720</v>
      </c>
      <c r="K905" t="s">
        <v>3719</v>
      </c>
      <c r="L905" t="s">
        <v>83</v>
      </c>
      <c r="M905" s="1" t="str">
        <f t="shared" si="98"/>
        <v>08H92</v>
      </c>
      <c r="N905" s="1" t="str">
        <f t="shared" si="99"/>
        <v>C/O</v>
      </c>
      <c r="O905" s="1" t="str">
        <f t="shared" si="100"/>
        <v>Main Pump Drive Trans with TC</v>
      </c>
      <c r="P905" s="1" t="str">
        <f t="shared" si="101"/>
        <v>2210</v>
      </c>
      <c r="Q905" s="2" t="str">
        <f t="shared" si="102"/>
        <v>2210Main Pump Drive Trans with TC</v>
      </c>
      <c r="R905" s="2" t="str">
        <f>New_Xref[[#This Row],[Serial Prefix]]&amp;IF(New_Xref[[#This Row],[Func Loc]]&lt;&gt;"",New_Xref[[#This Row],[Func Loc]],"NO MATCH")</f>
        <v>2210NO MATCH</v>
      </c>
      <c r="S905" s="3" t="str">
        <f t="shared" si="103"/>
        <v>22103465837XMain Pump Drive Trans with TC</v>
      </c>
      <c r="T905" s="3" t="s">
        <v>305</v>
      </c>
      <c r="U905" s="3" t="s">
        <v>34</v>
      </c>
      <c r="V905" t="str">
        <f t="shared" si="104"/>
        <v>310100</v>
      </c>
    </row>
    <row r="906" spans="1:22">
      <c r="A906" t="s">
        <v>3558</v>
      </c>
      <c r="B906" t="s">
        <v>3574</v>
      </c>
      <c r="C906" t="s">
        <v>585</v>
      </c>
      <c r="D906" t="s">
        <v>586</v>
      </c>
      <c r="E906" t="s">
        <v>587</v>
      </c>
      <c r="F906" t="s">
        <v>27</v>
      </c>
      <c r="G906">
        <v>1</v>
      </c>
      <c r="H906" t="s">
        <v>3721</v>
      </c>
      <c r="I906" t="s">
        <v>3722</v>
      </c>
      <c r="J906" t="s">
        <v>3723</v>
      </c>
      <c r="K906" t="s">
        <v>3722</v>
      </c>
      <c r="L906" t="s">
        <v>83</v>
      </c>
      <c r="M906" s="1" t="str">
        <f t="shared" si="98"/>
        <v>08D226</v>
      </c>
      <c r="N906" s="1" t="str">
        <f t="shared" si="99"/>
        <v>C/O</v>
      </c>
      <c r="O906" s="1" t="str">
        <f t="shared" si="100"/>
        <v>Main Pump Drive Trans with TC</v>
      </c>
      <c r="P906" s="1" t="str">
        <f t="shared" si="101"/>
        <v>H9K0</v>
      </c>
      <c r="Q906" s="2" t="str">
        <f t="shared" si="102"/>
        <v>H9K0Main Pump Drive Trans with TC</v>
      </c>
      <c r="R906" s="2" t="str">
        <f>New_Xref[[#This Row],[Serial Prefix]]&amp;IF(New_Xref[[#This Row],[Func Loc]]&lt;&gt;"",New_Xref[[#This Row],[Func Loc]],"NO MATCH")</f>
        <v>H9K0NO MATCH</v>
      </c>
      <c r="S906" s="3" t="str">
        <f t="shared" si="103"/>
        <v>H9K03465837XMain Pump Drive Trans with TC</v>
      </c>
      <c r="T906" s="3" t="s">
        <v>305</v>
      </c>
      <c r="U906" s="3" t="s">
        <v>34</v>
      </c>
      <c r="V906" t="str">
        <f t="shared" si="104"/>
        <v>310100</v>
      </c>
    </row>
    <row r="907" spans="1:22">
      <c r="A907" t="s">
        <v>3558</v>
      </c>
      <c r="B907" t="s">
        <v>3590</v>
      </c>
      <c r="C907" t="s">
        <v>585</v>
      </c>
      <c r="D907" t="s">
        <v>586</v>
      </c>
      <c r="E907" t="s">
        <v>587</v>
      </c>
      <c r="F907" t="s">
        <v>27</v>
      </c>
      <c r="G907">
        <v>1</v>
      </c>
      <c r="H907" t="s">
        <v>3724</v>
      </c>
      <c r="I907" t="s">
        <v>3725</v>
      </c>
      <c r="J907" t="s">
        <v>3726</v>
      </c>
      <c r="K907" t="s">
        <v>3725</v>
      </c>
      <c r="L907" t="s">
        <v>83</v>
      </c>
      <c r="M907" s="1" t="str">
        <f t="shared" si="98"/>
        <v>08H208</v>
      </c>
      <c r="N907" s="1" t="str">
        <f t="shared" si="99"/>
        <v>C/O</v>
      </c>
      <c r="O907" s="1" t="str">
        <f t="shared" si="100"/>
        <v>Main Pump Drive Trans with TC</v>
      </c>
      <c r="P907" s="1" t="str">
        <f t="shared" si="101"/>
        <v>RM30</v>
      </c>
      <c r="Q907" s="2" t="str">
        <f t="shared" si="102"/>
        <v>RM30Main Pump Drive Trans with TC</v>
      </c>
      <c r="R907" s="2" t="str">
        <f>New_Xref[[#This Row],[Serial Prefix]]&amp;IF(New_Xref[[#This Row],[Func Loc]]&lt;&gt;"",New_Xref[[#This Row],[Func Loc]],"NO MATCH")</f>
        <v>RM30NO MATCH</v>
      </c>
      <c r="S907" s="3" t="str">
        <f t="shared" si="103"/>
        <v>RM303465837XMain Pump Drive Trans with TC</v>
      </c>
      <c r="T907" s="3" t="s">
        <v>305</v>
      </c>
      <c r="U907" s="3" t="s">
        <v>34</v>
      </c>
      <c r="V907" t="str">
        <f t="shared" si="104"/>
        <v>310100</v>
      </c>
    </row>
    <row r="908" spans="1:22">
      <c r="A908" t="s">
        <v>3558</v>
      </c>
      <c r="B908" t="s">
        <v>3594</v>
      </c>
      <c r="C908" t="s">
        <v>585</v>
      </c>
      <c r="D908" t="s">
        <v>586</v>
      </c>
      <c r="E908" t="s">
        <v>587</v>
      </c>
      <c r="F908" t="s">
        <v>27</v>
      </c>
      <c r="G908">
        <v>1</v>
      </c>
      <c r="H908" t="s">
        <v>3727</v>
      </c>
      <c r="I908" t="s">
        <v>3728</v>
      </c>
      <c r="J908" t="s">
        <v>3729</v>
      </c>
      <c r="K908" t="s">
        <v>3728</v>
      </c>
      <c r="L908" t="s">
        <v>83</v>
      </c>
      <c r="M908" s="1" t="str">
        <f t="shared" si="98"/>
        <v>08B223</v>
      </c>
      <c r="N908" s="1" t="str">
        <f t="shared" si="99"/>
        <v>C/O</v>
      </c>
      <c r="O908" s="1" t="str">
        <f t="shared" si="100"/>
        <v>Main Pump Drive Trans with TC</v>
      </c>
      <c r="P908" s="1" t="str">
        <f t="shared" si="101"/>
        <v>RM60</v>
      </c>
      <c r="Q908" s="2" t="str">
        <f t="shared" si="102"/>
        <v>RM60Main Pump Drive Trans with TC</v>
      </c>
      <c r="R908" s="2" t="str">
        <f>New_Xref[[#This Row],[Serial Prefix]]&amp;IF(New_Xref[[#This Row],[Func Loc]]&lt;&gt;"",New_Xref[[#This Row],[Func Loc]],"NO MATCH")</f>
        <v>RM60NO MATCH</v>
      </c>
      <c r="S908" s="3" t="str">
        <f t="shared" si="103"/>
        <v>RM603465837XMain Pump Drive Trans with TC</v>
      </c>
      <c r="T908" s="3" t="s">
        <v>305</v>
      </c>
      <c r="U908" s="3" t="s">
        <v>34</v>
      </c>
      <c r="V908" t="str">
        <f t="shared" si="104"/>
        <v>310100</v>
      </c>
    </row>
    <row r="909" spans="1:22">
      <c r="A909" t="s">
        <v>3558</v>
      </c>
      <c r="B909" t="s">
        <v>3594</v>
      </c>
      <c r="C909" t="s">
        <v>667</v>
      </c>
      <c r="D909" t="s">
        <v>668</v>
      </c>
      <c r="E909" t="s">
        <v>669</v>
      </c>
      <c r="F909" t="s">
        <v>125</v>
      </c>
      <c r="G909">
        <v>1</v>
      </c>
      <c r="H909" t="s">
        <v>3730</v>
      </c>
      <c r="I909" t="s">
        <v>3731</v>
      </c>
      <c r="J909" t="s">
        <v>3732</v>
      </c>
      <c r="K909" t="s">
        <v>3733</v>
      </c>
      <c r="L909" t="s">
        <v>83</v>
      </c>
      <c r="M909" s="1" t="str">
        <f t="shared" si="98"/>
        <v>08B223</v>
      </c>
      <c r="N909" s="1" t="str">
        <f t="shared" si="99"/>
        <v>C/O</v>
      </c>
      <c r="O909" s="1" t="str">
        <f t="shared" si="100"/>
        <v>Driveshaft Centre</v>
      </c>
      <c r="P909" s="1" t="str">
        <f t="shared" si="101"/>
        <v>RM60</v>
      </c>
      <c r="Q909" s="2" t="str">
        <f t="shared" si="102"/>
        <v>RM60Driveshaft Centre</v>
      </c>
      <c r="R909" s="2" t="str">
        <f>New_Xref[[#This Row],[Serial Prefix]]&amp;IF(New_Xref[[#This Row],[Func Loc]]&lt;&gt;"",New_Xref[[#This Row],[Func Loc]],"NO MATCH")</f>
        <v>RM60NO MATCH</v>
      </c>
      <c r="S909" s="3" t="str">
        <f t="shared" si="103"/>
        <v>RM601681916Driveshaft Centre</v>
      </c>
      <c r="T909" s="3" t="s">
        <v>674</v>
      </c>
      <c r="U909" s="3" t="s">
        <v>34</v>
      </c>
      <c r="V909" t="str">
        <f t="shared" si="104"/>
        <v>325300</v>
      </c>
    </row>
    <row r="910" spans="1:22">
      <c r="A910" t="s">
        <v>3558</v>
      </c>
      <c r="B910" t="s">
        <v>3567</v>
      </c>
      <c r="C910" t="s">
        <v>3734</v>
      </c>
      <c r="D910" t="s">
        <v>3735</v>
      </c>
      <c r="E910" t="s">
        <v>3736</v>
      </c>
      <c r="F910" t="s">
        <v>27</v>
      </c>
      <c r="G910">
        <v>1</v>
      </c>
      <c r="H910" t="s">
        <v>3737</v>
      </c>
      <c r="I910" t="s">
        <v>3738</v>
      </c>
      <c r="J910" t="s">
        <v>3739</v>
      </c>
      <c r="K910" t="s">
        <v>3738</v>
      </c>
      <c r="L910" t="s">
        <v>688</v>
      </c>
      <c r="M910" s="1" t="str">
        <f t="shared" si="98"/>
        <v>08D09</v>
      </c>
      <c r="N910" s="1" t="str">
        <f t="shared" si="99"/>
        <v>C/O</v>
      </c>
      <c r="O910" s="1" t="str">
        <f t="shared" si="100"/>
        <v>Primary Brake Pump</v>
      </c>
      <c r="P910" s="1" t="str">
        <f t="shared" si="101"/>
        <v>2210</v>
      </c>
      <c r="Q910" s="2" t="str">
        <f t="shared" si="102"/>
        <v>2210Primary Brake Pump</v>
      </c>
      <c r="R910" s="2" t="str">
        <f>New_Xref[[#This Row],[Serial Prefix]]&amp;IF(New_Xref[[#This Row],[Func Loc]]&lt;&gt;"",New_Xref[[#This Row],[Func Loc]],"NO MATCH")</f>
        <v>2210BRAK .PUMP.PRBP</v>
      </c>
      <c r="S910" s="3" t="str">
        <f t="shared" si="103"/>
        <v>22101645486Primary Brake Pump</v>
      </c>
      <c r="T910" s="3" t="s">
        <v>689</v>
      </c>
      <c r="U910" s="3" t="s">
        <v>34</v>
      </c>
      <c r="V910" t="str">
        <f t="shared" si="104"/>
        <v>426800</v>
      </c>
    </row>
    <row r="911" spans="1:22">
      <c r="A911" t="s">
        <v>3558</v>
      </c>
      <c r="B911" t="s">
        <v>3567</v>
      </c>
      <c r="H911" t="s">
        <v>3740</v>
      </c>
      <c r="I911" t="s">
        <v>3741</v>
      </c>
      <c r="J911" t="s">
        <v>3742</v>
      </c>
      <c r="K911" t="s">
        <v>3741</v>
      </c>
      <c r="L911" t="s">
        <v>767</v>
      </c>
      <c r="M911" s="1" t="str">
        <f t="shared" si="98"/>
        <v>08D09</v>
      </c>
      <c r="N911" s="1" t="str">
        <f t="shared" si="99"/>
        <v>C/O</v>
      </c>
      <c r="O911" s="1" t="str">
        <f t="shared" si="100"/>
        <v>Steering Cylinder LH</v>
      </c>
      <c r="P911" s="1" t="str">
        <f t="shared" si="101"/>
        <v>2210</v>
      </c>
      <c r="Q911" s="2" t="str">
        <f t="shared" si="102"/>
        <v>2210Steering Cylinder LH</v>
      </c>
      <c r="R911" s="2" t="str">
        <f>New_Xref[[#This Row],[Serial Prefix]]&amp;IF(New_Xref[[#This Row],[Func Loc]]&lt;&gt;"",New_Xref[[#This Row],[Func Loc]],"NO MATCH")</f>
        <v>2210STRG .CYLI.SC01</v>
      </c>
      <c r="S911" s="3" t="str">
        <f t="shared" si="103"/>
        <v>2210Steering Cylinder LH</v>
      </c>
      <c r="T911" s="3" t="s">
        <v>107</v>
      </c>
      <c r="U911" s="3" t="s">
        <v>108</v>
      </c>
      <c r="V911" t="str">
        <f t="shared" si="104"/>
        <v>4303LT</v>
      </c>
    </row>
    <row r="912" spans="1:22">
      <c r="A912" t="s">
        <v>3558</v>
      </c>
      <c r="B912" t="s">
        <v>3567</v>
      </c>
      <c r="H912" t="s">
        <v>3740</v>
      </c>
      <c r="I912" t="s">
        <v>3743</v>
      </c>
      <c r="J912" t="s">
        <v>3744</v>
      </c>
      <c r="K912" t="s">
        <v>3743</v>
      </c>
      <c r="L912" t="s">
        <v>770</v>
      </c>
      <c r="M912" s="1" t="str">
        <f t="shared" si="98"/>
        <v>08D09</v>
      </c>
      <c r="N912" s="1" t="str">
        <f t="shared" si="99"/>
        <v>C/O</v>
      </c>
      <c r="O912" s="1" t="str">
        <f t="shared" si="100"/>
        <v>Steering Cylinder RH</v>
      </c>
      <c r="P912" s="1" t="str">
        <f t="shared" si="101"/>
        <v>2210</v>
      </c>
      <c r="Q912" s="2" t="str">
        <f t="shared" si="102"/>
        <v>2210Steering Cylinder RH</v>
      </c>
      <c r="R912" s="2" t="str">
        <f>New_Xref[[#This Row],[Serial Prefix]]&amp;IF(New_Xref[[#This Row],[Func Loc]]&lt;&gt;"",New_Xref[[#This Row],[Func Loc]],"NO MATCH")</f>
        <v>2210STRG .CYLI.SC02</v>
      </c>
      <c r="S912" s="3" t="str">
        <f t="shared" si="103"/>
        <v>2210Steering Cylinder RH</v>
      </c>
      <c r="T912" s="3" t="s">
        <v>107</v>
      </c>
      <c r="U912" s="3" t="s">
        <v>115</v>
      </c>
      <c r="V912" t="str">
        <f t="shared" si="104"/>
        <v>4303RI</v>
      </c>
    </row>
    <row r="913" spans="1:22">
      <c r="A913" t="s">
        <v>3558</v>
      </c>
      <c r="B913" t="s">
        <v>3574</v>
      </c>
      <c r="C913" t="s">
        <v>591</v>
      </c>
      <c r="D913" t="s">
        <v>592</v>
      </c>
      <c r="E913" t="s">
        <v>593</v>
      </c>
      <c r="F913" t="s">
        <v>27</v>
      </c>
      <c r="G913">
        <v>1</v>
      </c>
      <c r="H913" t="s">
        <v>3745</v>
      </c>
      <c r="I913" t="s">
        <v>3746</v>
      </c>
      <c r="J913" t="s">
        <v>3747</v>
      </c>
      <c r="K913" t="s">
        <v>3746</v>
      </c>
      <c r="L913" t="s">
        <v>767</v>
      </c>
      <c r="M913" s="1" t="str">
        <f t="shared" si="98"/>
        <v>08D226</v>
      </c>
      <c r="N913" s="1" t="str">
        <f t="shared" si="99"/>
        <v>C/O</v>
      </c>
      <c r="O913" s="1" t="str">
        <f t="shared" si="100"/>
        <v>Steering Cylinder LH</v>
      </c>
      <c r="P913" s="1" t="str">
        <f t="shared" si="101"/>
        <v>H9K0</v>
      </c>
      <c r="Q913" s="2" t="str">
        <f t="shared" si="102"/>
        <v>H9K0Steering Cylinder LH</v>
      </c>
      <c r="R913" s="2" t="str">
        <f>New_Xref[[#This Row],[Serial Prefix]]&amp;IF(New_Xref[[#This Row],[Func Loc]]&lt;&gt;"",New_Xref[[#This Row],[Func Loc]],"NO MATCH")</f>
        <v>H9K0STRG .CYLI.SC01</v>
      </c>
      <c r="S913" s="3" t="str">
        <f t="shared" si="103"/>
        <v>H9K01571352XSteering Cylinder LH</v>
      </c>
      <c r="T913" s="3" t="s">
        <v>107</v>
      </c>
      <c r="U913" s="3" t="s">
        <v>108</v>
      </c>
      <c r="V913" t="str">
        <f t="shared" si="104"/>
        <v>4303LT</v>
      </c>
    </row>
    <row r="914" spans="1:22">
      <c r="A914" t="s">
        <v>3558</v>
      </c>
      <c r="B914" t="s">
        <v>3574</v>
      </c>
      <c r="C914" t="s">
        <v>591</v>
      </c>
      <c r="D914" t="s">
        <v>592</v>
      </c>
      <c r="E914" t="s">
        <v>593</v>
      </c>
      <c r="F914" t="s">
        <v>27</v>
      </c>
      <c r="G914">
        <v>1</v>
      </c>
      <c r="H914" t="s">
        <v>3745</v>
      </c>
      <c r="I914" t="s">
        <v>3748</v>
      </c>
      <c r="J914" t="s">
        <v>3749</v>
      </c>
      <c r="K914" t="s">
        <v>3748</v>
      </c>
      <c r="L914" t="s">
        <v>770</v>
      </c>
      <c r="M914" s="1" t="str">
        <f t="shared" si="98"/>
        <v>08D226</v>
      </c>
      <c r="N914" s="1" t="str">
        <f t="shared" si="99"/>
        <v>C/O</v>
      </c>
      <c r="O914" s="1" t="str">
        <f t="shared" si="100"/>
        <v>Steering Cylinder RH</v>
      </c>
      <c r="P914" s="1" t="str">
        <f t="shared" si="101"/>
        <v>H9K0</v>
      </c>
      <c r="Q914" s="2" t="str">
        <f t="shared" si="102"/>
        <v>H9K0Steering Cylinder RH</v>
      </c>
      <c r="R914" s="2" t="str">
        <f>New_Xref[[#This Row],[Serial Prefix]]&amp;IF(New_Xref[[#This Row],[Func Loc]]&lt;&gt;"",New_Xref[[#This Row],[Func Loc]],"NO MATCH")</f>
        <v>H9K0STRG .CYLI.SC02</v>
      </c>
      <c r="S914" s="3" t="str">
        <f t="shared" si="103"/>
        <v>H9K01571352XSteering Cylinder RH</v>
      </c>
      <c r="T914" s="3" t="s">
        <v>107</v>
      </c>
      <c r="U914" s="3" t="s">
        <v>115</v>
      </c>
      <c r="V914" t="str">
        <f t="shared" si="104"/>
        <v>4303RI</v>
      </c>
    </row>
    <row r="915" spans="1:22">
      <c r="A915" t="s">
        <v>3558</v>
      </c>
      <c r="B915" t="s">
        <v>3590</v>
      </c>
      <c r="C915" t="s">
        <v>591</v>
      </c>
      <c r="D915" t="s">
        <v>592</v>
      </c>
      <c r="E915" t="s">
        <v>593</v>
      </c>
      <c r="F915" t="s">
        <v>27</v>
      </c>
      <c r="G915">
        <v>1</v>
      </c>
      <c r="H915" t="s">
        <v>3750</v>
      </c>
      <c r="I915" t="s">
        <v>3751</v>
      </c>
      <c r="J915" t="s">
        <v>3752</v>
      </c>
      <c r="K915" t="s">
        <v>3751</v>
      </c>
      <c r="L915" t="s">
        <v>767</v>
      </c>
      <c r="M915" s="1" t="str">
        <f t="shared" si="98"/>
        <v>08H208</v>
      </c>
      <c r="N915" s="1" t="str">
        <f t="shared" si="99"/>
        <v>C/O</v>
      </c>
      <c r="O915" s="1" t="str">
        <f t="shared" si="100"/>
        <v>Steering Cylinder LH</v>
      </c>
      <c r="P915" s="1" t="str">
        <f t="shared" si="101"/>
        <v>RM30</v>
      </c>
      <c r="Q915" s="2" t="str">
        <f t="shared" si="102"/>
        <v>RM30Steering Cylinder LH</v>
      </c>
      <c r="R915" s="2" t="str">
        <f>New_Xref[[#This Row],[Serial Prefix]]&amp;IF(New_Xref[[#This Row],[Func Loc]]&lt;&gt;"",New_Xref[[#This Row],[Func Loc]],"NO MATCH")</f>
        <v>RM30STRG .CYLI.SC01</v>
      </c>
      <c r="S915" s="3" t="str">
        <f t="shared" si="103"/>
        <v>RM301571352XSteering Cylinder LH</v>
      </c>
      <c r="T915" s="3" t="s">
        <v>107</v>
      </c>
      <c r="U915" s="3" t="s">
        <v>108</v>
      </c>
      <c r="V915" t="str">
        <f t="shared" si="104"/>
        <v>4303LT</v>
      </c>
    </row>
    <row r="916" spans="1:22">
      <c r="A916" t="s">
        <v>3558</v>
      </c>
      <c r="B916" t="s">
        <v>3590</v>
      </c>
      <c r="C916" t="s">
        <v>591</v>
      </c>
      <c r="D916" t="s">
        <v>592</v>
      </c>
      <c r="E916" t="s">
        <v>593</v>
      </c>
      <c r="F916" t="s">
        <v>27</v>
      </c>
      <c r="G916">
        <v>1</v>
      </c>
      <c r="H916" t="s">
        <v>3750</v>
      </c>
      <c r="I916" t="s">
        <v>3753</v>
      </c>
      <c r="J916" t="s">
        <v>3754</v>
      </c>
      <c r="K916" t="s">
        <v>3753</v>
      </c>
      <c r="L916" t="s">
        <v>770</v>
      </c>
      <c r="M916" s="1" t="str">
        <f t="shared" si="98"/>
        <v>08H208</v>
      </c>
      <c r="N916" s="1" t="str">
        <f t="shared" si="99"/>
        <v>C/O</v>
      </c>
      <c r="O916" s="1" t="str">
        <f t="shared" si="100"/>
        <v>Steering Cylinder RH</v>
      </c>
      <c r="P916" s="1" t="str">
        <f t="shared" si="101"/>
        <v>RM30</v>
      </c>
      <c r="Q916" s="2" t="str">
        <f t="shared" si="102"/>
        <v>RM30Steering Cylinder RH</v>
      </c>
      <c r="R916" s="2" t="str">
        <f>New_Xref[[#This Row],[Serial Prefix]]&amp;IF(New_Xref[[#This Row],[Func Loc]]&lt;&gt;"",New_Xref[[#This Row],[Func Loc]],"NO MATCH")</f>
        <v>RM30STRG .CYLI.SC02</v>
      </c>
      <c r="S916" s="3" t="str">
        <f t="shared" si="103"/>
        <v>RM301571352XSteering Cylinder RH</v>
      </c>
      <c r="T916" s="3" t="s">
        <v>107</v>
      </c>
      <c r="U916" s="3" t="s">
        <v>115</v>
      </c>
      <c r="V916" t="str">
        <f t="shared" si="104"/>
        <v>4303RI</v>
      </c>
    </row>
    <row r="917" spans="1:22">
      <c r="A917" t="s">
        <v>3558</v>
      </c>
      <c r="B917" t="s">
        <v>3594</v>
      </c>
      <c r="C917" t="s">
        <v>591</v>
      </c>
      <c r="D917" t="s">
        <v>592</v>
      </c>
      <c r="E917" t="s">
        <v>593</v>
      </c>
      <c r="F917" t="s">
        <v>27</v>
      </c>
      <c r="G917">
        <v>1</v>
      </c>
      <c r="H917" t="s">
        <v>3755</v>
      </c>
      <c r="I917" t="s">
        <v>3756</v>
      </c>
      <c r="J917" t="s">
        <v>3757</v>
      </c>
      <c r="K917" t="s">
        <v>3756</v>
      </c>
      <c r="L917" t="s">
        <v>767</v>
      </c>
      <c r="M917" s="1" t="str">
        <f t="shared" si="98"/>
        <v>08B223</v>
      </c>
      <c r="N917" s="1" t="str">
        <f t="shared" si="99"/>
        <v>C/O</v>
      </c>
      <c r="O917" s="1" t="str">
        <f t="shared" si="100"/>
        <v>Steering Cylinder LH</v>
      </c>
      <c r="P917" s="1" t="str">
        <f t="shared" si="101"/>
        <v>RM60</v>
      </c>
      <c r="Q917" s="2" t="str">
        <f t="shared" si="102"/>
        <v>RM60Steering Cylinder LH</v>
      </c>
      <c r="R917" s="2" t="str">
        <f>New_Xref[[#This Row],[Serial Prefix]]&amp;IF(New_Xref[[#This Row],[Func Loc]]&lt;&gt;"",New_Xref[[#This Row],[Func Loc]],"NO MATCH")</f>
        <v>RM60STRG .CYLI.SC01</v>
      </c>
      <c r="S917" s="3" t="str">
        <f t="shared" si="103"/>
        <v>RM601571352XSteering Cylinder LH</v>
      </c>
      <c r="T917" s="3" t="s">
        <v>107</v>
      </c>
      <c r="U917" s="3" t="s">
        <v>108</v>
      </c>
      <c r="V917" t="str">
        <f t="shared" si="104"/>
        <v>4303LT</v>
      </c>
    </row>
    <row r="918" spans="1:22">
      <c r="A918" t="s">
        <v>3558</v>
      </c>
      <c r="B918" t="s">
        <v>3594</v>
      </c>
      <c r="C918" t="s">
        <v>591</v>
      </c>
      <c r="D918" t="s">
        <v>592</v>
      </c>
      <c r="E918" t="s">
        <v>593</v>
      </c>
      <c r="F918" t="s">
        <v>27</v>
      </c>
      <c r="G918">
        <v>1</v>
      </c>
      <c r="H918" t="s">
        <v>3755</v>
      </c>
      <c r="I918" t="s">
        <v>3758</v>
      </c>
      <c r="J918" t="s">
        <v>3759</v>
      </c>
      <c r="K918" t="s">
        <v>3758</v>
      </c>
      <c r="L918" t="s">
        <v>770</v>
      </c>
      <c r="M918" s="1" t="str">
        <f t="shared" si="98"/>
        <v>08B223</v>
      </c>
      <c r="N918" s="1" t="str">
        <f t="shared" si="99"/>
        <v>C/O</v>
      </c>
      <c r="O918" s="1" t="str">
        <f t="shared" si="100"/>
        <v>Steering Cylinder RH</v>
      </c>
      <c r="P918" s="1" t="str">
        <f t="shared" si="101"/>
        <v>RM60</v>
      </c>
      <c r="Q918" s="2" t="str">
        <f t="shared" si="102"/>
        <v>RM60Steering Cylinder RH</v>
      </c>
      <c r="R918" s="2" t="str">
        <f>New_Xref[[#This Row],[Serial Prefix]]&amp;IF(New_Xref[[#This Row],[Func Loc]]&lt;&gt;"",New_Xref[[#This Row],[Func Loc]],"NO MATCH")</f>
        <v>RM60STRG .CYLI.SC02</v>
      </c>
      <c r="S918" s="3" t="str">
        <f t="shared" si="103"/>
        <v>RM601571352XSteering Cylinder RH</v>
      </c>
      <c r="T918" s="3" t="s">
        <v>107</v>
      </c>
      <c r="U918" s="3" t="s">
        <v>115</v>
      </c>
      <c r="V918" t="str">
        <f t="shared" si="104"/>
        <v>4303RI</v>
      </c>
    </row>
    <row r="919" spans="1:22">
      <c r="A919" t="s">
        <v>3558</v>
      </c>
      <c r="B919" t="s">
        <v>3675</v>
      </c>
      <c r="C919" t="s">
        <v>601</v>
      </c>
      <c r="D919" t="s">
        <v>602</v>
      </c>
      <c r="E919" t="s">
        <v>603</v>
      </c>
      <c r="F919" t="s">
        <v>27</v>
      </c>
      <c r="G919">
        <v>1</v>
      </c>
      <c r="H919" t="s">
        <v>3760</v>
      </c>
      <c r="I919" t="s">
        <v>3761</v>
      </c>
      <c r="J919" t="s">
        <v>3762</v>
      </c>
      <c r="K919" t="s">
        <v>3761</v>
      </c>
      <c r="L919" t="s">
        <v>2358</v>
      </c>
      <c r="M919" s="1" t="str">
        <f t="shared" si="98"/>
        <v>08H144</v>
      </c>
      <c r="N919" s="1" t="str">
        <f t="shared" si="99"/>
        <v>C/O</v>
      </c>
      <c r="O919" s="1" t="str">
        <f t="shared" si="100"/>
        <v>Primary Steering Pump</v>
      </c>
      <c r="P919" s="1" t="str">
        <f t="shared" si="101"/>
        <v>2210</v>
      </c>
      <c r="Q919" s="2" t="str">
        <f t="shared" si="102"/>
        <v>2210Primary Steering Pump</v>
      </c>
      <c r="R919" s="2" t="str">
        <f>New_Xref[[#This Row],[Serial Prefix]]&amp;IF(New_Xref[[#This Row],[Func Loc]]&lt;&gt;"",New_Xref[[#This Row],[Func Loc]],"NO MATCH")</f>
        <v>2210STRG .PUMP.SP01</v>
      </c>
      <c r="S919" s="3" t="str">
        <f t="shared" si="103"/>
        <v>221010R3808Primary Steering Pump</v>
      </c>
      <c r="T919" s="3" t="s">
        <v>342</v>
      </c>
      <c r="U919" s="3" t="s">
        <v>34</v>
      </c>
      <c r="V919" t="str">
        <f t="shared" si="104"/>
        <v>430600</v>
      </c>
    </row>
    <row r="920" spans="1:22">
      <c r="A920" t="s">
        <v>3558</v>
      </c>
      <c r="B920" t="s">
        <v>3574</v>
      </c>
      <c r="C920" t="s">
        <v>601</v>
      </c>
      <c r="D920" t="s">
        <v>602</v>
      </c>
      <c r="E920" t="s">
        <v>603</v>
      </c>
      <c r="F920" t="s">
        <v>27</v>
      </c>
      <c r="G920">
        <v>1</v>
      </c>
      <c r="H920" t="s">
        <v>3763</v>
      </c>
      <c r="I920" t="s">
        <v>3764</v>
      </c>
      <c r="J920" t="s">
        <v>3765</v>
      </c>
      <c r="K920" t="s">
        <v>3764</v>
      </c>
      <c r="L920" t="s">
        <v>2358</v>
      </c>
      <c r="M920" s="1" t="str">
        <f t="shared" si="98"/>
        <v>08D226</v>
      </c>
      <c r="N920" s="1" t="str">
        <f t="shared" si="99"/>
        <v>C/O</v>
      </c>
      <c r="O920" s="1" t="str">
        <f t="shared" si="100"/>
        <v>Primary Steering Pump</v>
      </c>
      <c r="P920" s="1" t="str">
        <f t="shared" si="101"/>
        <v>H9K0</v>
      </c>
      <c r="Q920" s="2" t="str">
        <f t="shared" si="102"/>
        <v>H9K0Primary Steering Pump</v>
      </c>
      <c r="R920" s="2" t="str">
        <f>New_Xref[[#This Row],[Serial Prefix]]&amp;IF(New_Xref[[#This Row],[Func Loc]]&lt;&gt;"",New_Xref[[#This Row],[Func Loc]],"NO MATCH")</f>
        <v>H9K0STRG .PUMP.SP01</v>
      </c>
      <c r="S920" s="3" t="str">
        <f t="shared" si="103"/>
        <v>H9K010R3808Primary Steering Pump</v>
      </c>
      <c r="T920" s="3" t="s">
        <v>342</v>
      </c>
      <c r="U920" s="3" t="s">
        <v>34</v>
      </c>
      <c r="V920" t="str">
        <f t="shared" si="104"/>
        <v>430600</v>
      </c>
    </row>
    <row r="921" spans="1:22">
      <c r="A921" t="s">
        <v>3558</v>
      </c>
      <c r="B921" t="s">
        <v>3590</v>
      </c>
      <c r="C921" t="s">
        <v>601</v>
      </c>
      <c r="D921" t="s">
        <v>602</v>
      </c>
      <c r="E921" t="s">
        <v>603</v>
      </c>
      <c r="F921" t="s">
        <v>27</v>
      </c>
      <c r="G921">
        <v>1</v>
      </c>
      <c r="H921" t="s">
        <v>3766</v>
      </c>
      <c r="I921" t="s">
        <v>3767</v>
      </c>
      <c r="J921" t="s">
        <v>3768</v>
      </c>
      <c r="K921" t="s">
        <v>3767</v>
      </c>
      <c r="L921" t="s">
        <v>2358</v>
      </c>
      <c r="M921" s="1" t="str">
        <f t="shared" si="98"/>
        <v>08H208</v>
      </c>
      <c r="N921" s="1" t="str">
        <f t="shared" si="99"/>
        <v>C/O</v>
      </c>
      <c r="O921" s="1" t="str">
        <f t="shared" si="100"/>
        <v>Primary Steering Pump</v>
      </c>
      <c r="P921" s="1" t="str">
        <f t="shared" si="101"/>
        <v>RM30</v>
      </c>
      <c r="Q921" s="2" t="str">
        <f t="shared" si="102"/>
        <v>RM30Primary Steering Pump</v>
      </c>
      <c r="R921" s="2" t="str">
        <f>New_Xref[[#This Row],[Serial Prefix]]&amp;IF(New_Xref[[#This Row],[Func Loc]]&lt;&gt;"",New_Xref[[#This Row],[Func Loc]],"NO MATCH")</f>
        <v>RM30STRG .PUMP.SP01</v>
      </c>
      <c r="S921" s="3" t="str">
        <f t="shared" si="103"/>
        <v>RM3010R3808Primary Steering Pump</v>
      </c>
      <c r="T921" s="3" t="s">
        <v>342</v>
      </c>
      <c r="U921" s="3" t="s">
        <v>34</v>
      </c>
      <c r="V921" t="str">
        <f t="shared" si="104"/>
        <v>430600</v>
      </c>
    </row>
    <row r="922" spans="1:22">
      <c r="A922" t="s">
        <v>3558</v>
      </c>
      <c r="B922" t="s">
        <v>3594</v>
      </c>
      <c r="C922" t="s">
        <v>601</v>
      </c>
      <c r="D922" t="s">
        <v>602</v>
      </c>
      <c r="E922" t="s">
        <v>603</v>
      </c>
      <c r="F922" t="s">
        <v>27</v>
      </c>
      <c r="G922">
        <v>1</v>
      </c>
      <c r="H922" t="s">
        <v>3769</v>
      </c>
      <c r="I922" t="s">
        <v>3770</v>
      </c>
      <c r="J922" t="s">
        <v>3771</v>
      </c>
      <c r="K922" t="s">
        <v>3770</v>
      </c>
      <c r="L922" t="s">
        <v>2358</v>
      </c>
      <c r="M922" s="1" t="str">
        <f t="shared" si="98"/>
        <v>08B223</v>
      </c>
      <c r="N922" s="1" t="str">
        <f t="shared" si="99"/>
        <v>C/O</v>
      </c>
      <c r="O922" s="1" t="str">
        <f t="shared" si="100"/>
        <v>Primary Steering Pump</v>
      </c>
      <c r="P922" s="1" t="str">
        <f t="shared" si="101"/>
        <v>RM60</v>
      </c>
      <c r="Q922" s="2" t="str">
        <f t="shared" si="102"/>
        <v>RM60Primary Steering Pump</v>
      </c>
      <c r="R922" s="2" t="str">
        <f>New_Xref[[#This Row],[Serial Prefix]]&amp;IF(New_Xref[[#This Row],[Func Loc]]&lt;&gt;"",New_Xref[[#This Row],[Func Loc]],"NO MATCH")</f>
        <v>RM60STRG .PUMP.SP01</v>
      </c>
      <c r="S922" s="3" t="str">
        <f t="shared" si="103"/>
        <v>RM6010R3808Primary Steering Pump</v>
      </c>
      <c r="T922" s="3" t="s">
        <v>342</v>
      </c>
      <c r="U922" s="3" t="s">
        <v>34</v>
      </c>
      <c r="V922" t="str">
        <f t="shared" si="104"/>
        <v>430600</v>
      </c>
    </row>
    <row r="923" spans="1:22">
      <c r="A923" t="s">
        <v>3558</v>
      </c>
      <c r="B923" t="s">
        <v>3567</v>
      </c>
      <c r="C923" t="s">
        <v>607</v>
      </c>
      <c r="D923" t="s">
        <v>608</v>
      </c>
      <c r="E923" t="s">
        <v>609</v>
      </c>
      <c r="F923" t="s">
        <v>27</v>
      </c>
      <c r="G923">
        <v>1</v>
      </c>
      <c r="H923" t="s">
        <v>3772</v>
      </c>
      <c r="I923" t="s">
        <v>3773</v>
      </c>
      <c r="J923" t="s">
        <v>3774</v>
      </c>
      <c r="K923" t="s">
        <v>3773</v>
      </c>
      <c r="L923" t="s">
        <v>83</v>
      </c>
      <c r="M923" s="1" t="str">
        <f t="shared" si="98"/>
        <v>08D09</v>
      </c>
      <c r="N923" s="1" t="str">
        <f t="shared" si="99"/>
        <v>C/O</v>
      </c>
      <c r="O923" s="1" t="str">
        <f t="shared" si="100"/>
        <v>Axle Cooler Pump &amp; Motor</v>
      </c>
      <c r="P923" s="1" t="str">
        <f t="shared" si="101"/>
        <v>2210</v>
      </c>
      <c r="Q923" s="2" t="str">
        <f t="shared" si="102"/>
        <v>2210Axle Cooler Pump &amp; Motor</v>
      </c>
      <c r="R923" s="2" t="str">
        <f>New_Xref[[#This Row],[Serial Prefix]]&amp;IF(New_Xref[[#This Row],[Func Loc]]&lt;&gt;"",New_Xref[[#This Row],[Func Loc]],"NO MATCH")</f>
        <v>2210NO MATCH</v>
      </c>
      <c r="S923" s="3" t="str">
        <f t="shared" si="103"/>
        <v>22103402113Axle Cooler Pump &amp; Motor</v>
      </c>
      <c r="T923" s="3" t="s">
        <v>613</v>
      </c>
      <c r="U923" s="3" t="s">
        <v>34</v>
      </c>
      <c r="V923" t="str">
        <f t="shared" si="104"/>
        <v>506G00</v>
      </c>
    </row>
    <row r="924" spans="1:22">
      <c r="A924" t="s">
        <v>3558</v>
      </c>
      <c r="B924" t="s">
        <v>3775</v>
      </c>
      <c r="C924" t="s">
        <v>607</v>
      </c>
      <c r="D924" t="s">
        <v>608</v>
      </c>
      <c r="E924" t="s">
        <v>609</v>
      </c>
      <c r="F924" t="s">
        <v>27</v>
      </c>
      <c r="G924">
        <v>1</v>
      </c>
      <c r="H924" t="s">
        <v>3776</v>
      </c>
      <c r="I924" t="s">
        <v>3777</v>
      </c>
      <c r="J924" t="s">
        <v>3778</v>
      </c>
      <c r="K924" t="s">
        <v>3777</v>
      </c>
      <c r="L924" t="s">
        <v>83</v>
      </c>
      <c r="M924" s="1" t="str">
        <f t="shared" si="98"/>
        <v>08H135</v>
      </c>
      <c r="N924" s="1" t="str">
        <f t="shared" si="99"/>
        <v>C/O</v>
      </c>
      <c r="O924" s="1" t="str">
        <f t="shared" si="100"/>
        <v>Axle Cooler Pump &amp; Motor</v>
      </c>
      <c r="P924" s="1" t="str">
        <f t="shared" si="101"/>
        <v>H9K0</v>
      </c>
      <c r="Q924" s="2" t="str">
        <f t="shared" si="102"/>
        <v>H9K0Axle Cooler Pump &amp; Motor</v>
      </c>
      <c r="R924" s="2" t="str">
        <f>New_Xref[[#This Row],[Serial Prefix]]&amp;IF(New_Xref[[#This Row],[Func Loc]]&lt;&gt;"",New_Xref[[#This Row],[Func Loc]],"NO MATCH")</f>
        <v>H9K0NO MATCH</v>
      </c>
      <c r="S924" s="3" t="str">
        <f t="shared" si="103"/>
        <v>H9K03402113Axle Cooler Pump &amp; Motor</v>
      </c>
      <c r="T924" s="3" t="s">
        <v>613</v>
      </c>
      <c r="U924" s="3" t="s">
        <v>34</v>
      </c>
      <c r="V924" t="str">
        <f t="shared" si="104"/>
        <v>506G00</v>
      </c>
    </row>
    <row r="925" spans="1:22">
      <c r="A925" t="s">
        <v>3558</v>
      </c>
      <c r="B925" t="s">
        <v>3590</v>
      </c>
      <c r="C925" t="s">
        <v>607</v>
      </c>
      <c r="D925" t="s">
        <v>608</v>
      </c>
      <c r="E925" t="s">
        <v>609</v>
      </c>
      <c r="F925" t="s">
        <v>27</v>
      </c>
      <c r="G925">
        <v>1</v>
      </c>
      <c r="H925" t="s">
        <v>3779</v>
      </c>
      <c r="I925" t="s">
        <v>3780</v>
      </c>
      <c r="J925" t="s">
        <v>3781</v>
      </c>
      <c r="K925" t="s">
        <v>3780</v>
      </c>
      <c r="L925" t="s">
        <v>83</v>
      </c>
      <c r="M925" s="1" t="str">
        <f t="shared" si="98"/>
        <v>08H208</v>
      </c>
      <c r="N925" s="1" t="str">
        <f t="shared" si="99"/>
        <v>C/O</v>
      </c>
      <c r="O925" s="1" t="str">
        <f t="shared" si="100"/>
        <v>Axle Cooler Pump &amp; Motor</v>
      </c>
      <c r="P925" s="1" t="str">
        <f t="shared" si="101"/>
        <v>RM30</v>
      </c>
      <c r="Q925" s="2" t="str">
        <f t="shared" si="102"/>
        <v>RM30Axle Cooler Pump &amp; Motor</v>
      </c>
      <c r="R925" s="2" t="str">
        <f>New_Xref[[#This Row],[Serial Prefix]]&amp;IF(New_Xref[[#This Row],[Func Loc]]&lt;&gt;"",New_Xref[[#This Row],[Func Loc]],"NO MATCH")</f>
        <v>RM30NO MATCH</v>
      </c>
      <c r="S925" s="3" t="str">
        <f t="shared" si="103"/>
        <v>RM303402113Axle Cooler Pump &amp; Motor</v>
      </c>
      <c r="T925" s="3" t="s">
        <v>613</v>
      </c>
      <c r="U925" s="3" t="s">
        <v>34</v>
      </c>
      <c r="V925" t="str">
        <f t="shared" si="104"/>
        <v>506G00</v>
      </c>
    </row>
    <row r="926" spans="1:22">
      <c r="A926" t="s">
        <v>3558</v>
      </c>
      <c r="B926" t="s">
        <v>3675</v>
      </c>
      <c r="C926" t="s">
        <v>614</v>
      </c>
      <c r="D926" t="s">
        <v>615</v>
      </c>
      <c r="E926" t="s">
        <v>616</v>
      </c>
      <c r="F926" t="s">
        <v>27</v>
      </c>
      <c r="G926">
        <v>1</v>
      </c>
      <c r="H926" t="s">
        <v>3782</v>
      </c>
      <c r="I926" t="s">
        <v>3783</v>
      </c>
      <c r="J926" t="s">
        <v>3784</v>
      </c>
      <c r="K926" t="s">
        <v>3783</v>
      </c>
      <c r="L926" t="s">
        <v>2453</v>
      </c>
      <c r="M926" s="1" t="str">
        <f t="shared" si="98"/>
        <v>08H144</v>
      </c>
      <c r="N926" s="1" t="str">
        <f t="shared" si="99"/>
        <v>C/O</v>
      </c>
      <c r="O926" s="1" t="str">
        <f t="shared" si="100"/>
        <v>Main Hydraulic Pump</v>
      </c>
      <c r="P926" s="1" t="str">
        <f t="shared" si="101"/>
        <v>2210</v>
      </c>
      <c r="Q926" s="2" t="str">
        <f t="shared" si="102"/>
        <v>2210Main Hydraulic Pump</v>
      </c>
      <c r="R926" s="2" t="str">
        <f>New_Xref[[#This Row],[Serial Prefix]]&amp;IF(New_Xref[[#This Row],[Func Loc]]&lt;&gt;"",New_Xref[[#This Row],[Func Loc]],"NO MATCH")</f>
        <v>2210MYHD .PUMP.HP01</v>
      </c>
      <c r="S926" s="3" t="str">
        <f t="shared" si="103"/>
        <v>221010R7974Main Hydraulic Pump</v>
      </c>
      <c r="T926" s="3" t="s">
        <v>503</v>
      </c>
      <c r="U926" s="3" t="s">
        <v>34</v>
      </c>
      <c r="V926" t="str">
        <f t="shared" si="104"/>
        <v>507300</v>
      </c>
    </row>
    <row r="927" spans="1:22">
      <c r="A927" t="s">
        <v>3558</v>
      </c>
      <c r="B927" t="s">
        <v>3574</v>
      </c>
      <c r="C927" t="s">
        <v>614</v>
      </c>
      <c r="D927" t="s">
        <v>615</v>
      </c>
      <c r="E927" t="s">
        <v>616</v>
      </c>
      <c r="F927" t="s">
        <v>27</v>
      </c>
      <c r="G927">
        <v>1</v>
      </c>
      <c r="H927" t="s">
        <v>3785</v>
      </c>
      <c r="I927" t="s">
        <v>3786</v>
      </c>
      <c r="J927" t="s">
        <v>3787</v>
      </c>
      <c r="K927" t="s">
        <v>3786</v>
      </c>
      <c r="L927" t="s">
        <v>2453</v>
      </c>
      <c r="M927" s="1" t="str">
        <f t="shared" si="98"/>
        <v>08D226</v>
      </c>
      <c r="N927" s="1" t="str">
        <f t="shared" si="99"/>
        <v>C/O</v>
      </c>
      <c r="O927" s="1" t="str">
        <f t="shared" si="100"/>
        <v>Main Hydraulic Pump</v>
      </c>
      <c r="P927" s="1" t="str">
        <f t="shared" si="101"/>
        <v>H9K0</v>
      </c>
      <c r="Q927" s="2" t="str">
        <f t="shared" si="102"/>
        <v>H9K0Main Hydraulic Pump</v>
      </c>
      <c r="R927" s="2" t="str">
        <f>New_Xref[[#This Row],[Serial Prefix]]&amp;IF(New_Xref[[#This Row],[Func Loc]]&lt;&gt;"",New_Xref[[#This Row],[Func Loc]],"NO MATCH")</f>
        <v>H9K0MYHD .PUMP.HP01</v>
      </c>
      <c r="S927" s="3" t="str">
        <f t="shared" si="103"/>
        <v>H9K010R7974Main Hydraulic Pump</v>
      </c>
      <c r="T927" s="3" t="s">
        <v>503</v>
      </c>
      <c r="U927" s="3" t="s">
        <v>34</v>
      </c>
      <c r="V927" t="str">
        <f t="shared" si="104"/>
        <v>507300</v>
      </c>
    </row>
    <row r="928" spans="1:22">
      <c r="A928" t="s">
        <v>3558</v>
      </c>
      <c r="B928" t="s">
        <v>3590</v>
      </c>
      <c r="C928" t="s">
        <v>614</v>
      </c>
      <c r="D928" t="s">
        <v>615</v>
      </c>
      <c r="E928" t="s">
        <v>616</v>
      </c>
      <c r="F928" t="s">
        <v>27</v>
      </c>
      <c r="G928">
        <v>1</v>
      </c>
      <c r="H928" t="s">
        <v>3788</v>
      </c>
      <c r="I928" t="s">
        <v>3789</v>
      </c>
      <c r="J928" t="s">
        <v>3790</v>
      </c>
      <c r="K928" t="s">
        <v>3789</v>
      </c>
      <c r="L928" t="s">
        <v>2453</v>
      </c>
      <c r="M928" s="1" t="str">
        <f t="shared" si="98"/>
        <v>08H208</v>
      </c>
      <c r="N928" s="1" t="str">
        <f t="shared" si="99"/>
        <v>C/O</v>
      </c>
      <c r="O928" s="1" t="str">
        <f t="shared" si="100"/>
        <v>Main Hydraulic Pump</v>
      </c>
      <c r="P928" s="1" t="str">
        <f t="shared" si="101"/>
        <v>RM30</v>
      </c>
      <c r="Q928" s="2" t="str">
        <f t="shared" si="102"/>
        <v>RM30Main Hydraulic Pump</v>
      </c>
      <c r="R928" s="2" t="str">
        <f>New_Xref[[#This Row],[Serial Prefix]]&amp;IF(New_Xref[[#This Row],[Func Loc]]&lt;&gt;"",New_Xref[[#This Row],[Func Loc]],"NO MATCH")</f>
        <v>RM30MYHD .PUMP.HP01</v>
      </c>
      <c r="S928" s="3" t="str">
        <f t="shared" si="103"/>
        <v>RM3010R7974Main Hydraulic Pump</v>
      </c>
      <c r="T928" s="3" t="s">
        <v>503</v>
      </c>
      <c r="U928" s="3" t="s">
        <v>34</v>
      </c>
      <c r="V928" t="str">
        <f t="shared" si="104"/>
        <v>507300</v>
      </c>
    </row>
    <row r="929" spans="1:22">
      <c r="A929" t="s">
        <v>3558</v>
      </c>
      <c r="B929" t="s">
        <v>3594</v>
      </c>
      <c r="C929" t="s">
        <v>614</v>
      </c>
      <c r="D929" t="s">
        <v>615</v>
      </c>
      <c r="E929" t="s">
        <v>616</v>
      </c>
      <c r="F929" t="s">
        <v>27</v>
      </c>
      <c r="G929">
        <v>1</v>
      </c>
      <c r="H929" t="s">
        <v>3791</v>
      </c>
      <c r="I929" t="s">
        <v>3792</v>
      </c>
      <c r="J929" t="s">
        <v>3793</v>
      </c>
      <c r="K929" t="s">
        <v>3792</v>
      </c>
      <c r="L929" t="s">
        <v>2453</v>
      </c>
      <c r="M929" s="1" t="str">
        <f t="shared" si="98"/>
        <v>08B223</v>
      </c>
      <c r="N929" s="1" t="str">
        <f t="shared" si="99"/>
        <v>C/O</v>
      </c>
      <c r="O929" s="1" t="str">
        <f t="shared" si="100"/>
        <v>Main Hydraulic Pump</v>
      </c>
      <c r="P929" s="1" t="str">
        <f t="shared" si="101"/>
        <v>RM60</v>
      </c>
      <c r="Q929" s="2" t="str">
        <f t="shared" si="102"/>
        <v>RM60Main Hydraulic Pump</v>
      </c>
      <c r="R929" s="2" t="str">
        <f>New_Xref[[#This Row],[Serial Prefix]]&amp;IF(New_Xref[[#This Row],[Func Loc]]&lt;&gt;"",New_Xref[[#This Row],[Func Loc]],"NO MATCH")</f>
        <v>RM60MYHD .PUMP.HP01</v>
      </c>
      <c r="S929" s="3" t="str">
        <f t="shared" si="103"/>
        <v>RM6010R7974Main Hydraulic Pump</v>
      </c>
      <c r="T929" s="3" t="s">
        <v>503</v>
      </c>
      <c r="U929" s="3" t="s">
        <v>34</v>
      </c>
      <c r="V929" t="str">
        <f t="shared" si="104"/>
        <v>507300</v>
      </c>
    </row>
    <row r="930" spans="1:22">
      <c r="A930" t="s">
        <v>3558</v>
      </c>
      <c r="B930" t="s">
        <v>3567</v>
      </c>
      <c r="C930" t="s">
        <v>3794</v>
      </c>
      <c r="D930" t="s">
        <v>621</v>
      </c>
      <c r="E930" t="s">
        <v>3795</v>
      </c>
      <c r="F930" t="s">
        <v>27</v>
      </c>
      <c r="G930">
        <v>1</v>
      </c>
      <c r="H930" t="s">
        <v>3796</v>
      </c>
      <c r="I930" t="s">
        <v>3797</v>
      </c>
      <c r="J930" t="s">
        <v>3798</v>
      </c>
      <c r="K930" t="s">
        <v>3797</v>
      </c>
      <c r="L930" t="s">
        <v>626</v>
      </c>
      <c r="M930" s="1" t="str">
        <f t="shared" si="98"/>
        <v>08D09</v>
      </c>
      <c r="N930" s="1" t="str">
        <f t="shared" si="99"/>
        <v>C/O</v>
      </c>
      <c r="O930" s="1" t="str">
        <f t="shared" si="100"/>
        <v>Lift Cylinder LH</v>
      </c>
      <c r="P930" s="1" t="str">
        <f t="shared" si="101"/>
        <v>2210</v>
      </c>
      <c r="Q930" s="2" t="str">
        <f t="shared" si="102"/>
        <v>2210Lift Cylinder LH</v>
      </c>
      <c r="R930" s="2" t="str">
        <f>New_Xref[[#This Row],[Serial Prefix]]&amp;IF(New_Xref[[#This Row],[Func Loc]]&lt;&gt;"",New_Xref[[#This Row],[Func Loc]],"NO MATCH")</f>
        <v>2210MYHD .CYLI.LIFL</v>
      </c>
      <c r="S930" s="3" t="str">
        <f t="shared" si="103"/>
        <v>22101539939XLift Cylinder LH</v>
      </c>
      <c r="T930" s="3" t="s">
        <v>130</v>
      </c>
      <c r="U930" s="3" t="s">
        <v>108</v>
      </c>
      <c r="V930" t="str">
        <f t="shared" si="104"/>
        <v>5102LT</v>
      </c>
    </row>
    <row r="931" spans="1:22">
      <c r="A931" t="s">
        <v>3558</v>
      </c>
      <c r="B931" t="s">
        <v>3567</v>
      </c>
      <c r="C931" t="s">
        <v>627</v>
      </c>
      <c r="D931" t="s">
        <v>628</v>
      </c>
      <c r="E931" t="s">
        <v>629</v>
      </c>
      <c r="F931" t="s">
        <v>27</v>
      </c>
      <c r="G931">
        <v>1</v>
      </c>
      <c r="H931" t="s">
        <v>3799</v>
      </c>
      <c r="I931" t="s">
        <v>3800</v>
      </c>
      <c r="J931" t="s">
        <v>3801</v>
      </c>
      <c r="K931" t="s">
        <v>3800</v>
      </c>
      <c r="L931" t="s">
        <v>633</v>
      </c>
      <c r="M931" s="1" t="str">
        <f t="shared" si="98"/>
        <v>08D09</v>
      </c>
      <c r="N931" s="1" t="str">
        <f t="shared" si="99"/>
        <v>C/O</v>
      </c>
      <c r="O931" s="1" t="str">
        <f t="shared" si="100"/>
        <v>Lift Cylinder RH</v>
      </c>
      <c r="P931" s="1" t="str">
        <f t="shared" si="101"/>
        <v>2210</v>
      </c>
      <c r="Q931" s="2" t="str">
        <f t="shared" si="102"/>
        <v>2210Lift Cylinder RH</v>
      </c>
      <c r="R931" s="2" t="str">
        <f>New_Xref[[#This Row],[Serial Prefix]]&amp;IF(New_Xref[[#This Row],[Func Loc]]&lt;&gt;"",New_Xref[[#This Row],[Func Loc]],"NO MATCH")</f>
        <v>2210MYHD .CYLI.LIFR</v>
      </c>
      <c r="S931" s="3" t="str">
        <f t="shared" si="103"/>
        <v>22101539938XLift Cylinder RH</v>
      </c>
      <c r="T931" s="3" t="s">
        <v>130</v>
      </c>
      <c r="U931" s="3" t="s">
        <v>115</v>
      </c>
      <c r="V931" t="str">
        <f t="shared" si="104"/>
        <v>5102RI</v>
      </c>
    </row>
    <row r="932" spans="1:22">
      <c r="A932" t="s">
        <v>3558</v>
      </c>
      <c r="B932" t="s">
        <v>3574</v>
      </c>
      <c r="C932" t="s">
        <v>627</v>
      </c>
      <c r="D932" t="s">
        <v>628</v>
      </c>
      <c r="E932" t="s">
        <v>629</v>
      </c>
      <c r="F932" t="s">
        <v>27</v>
      </c>
      <c r="G932">
        <v>1</v>
      </c>
      <c r="H932" t="s">
        <v>3802</v>
      </c>
      <c r="I932" t="s">
        <v>3803</v>
      </c>
      <c r="J932" t="s">
        <v>3804</v>
      </c>
      <c r="K932" t="s">
        <v>3803</v>
      </c>
      <c r="L932" t="s">
        <v>633</v>
      </c>
      <c r="M932" s="1" t="str">
        <f t="shared" si="98"/>
        <v>08D226</v>
      </c>
      <c r="N932" s="1" t="str">
        <f t="shared" si="99"/>
        <v>C/O</v>
      </c>
      <c r="O932" s="1" t="str">
        <f t="shared" si="100"/>
        <v>Lift Cylinder RH</v>
      </c>
      <c r="P932" s="1" t="str">
        <f t="shared" si="101"/>
        <v>H9K0</v>
      </c>
      <c r="Q932" s="2" t="str">
        <f t="shared" si="102"/>
        <v>H9K0Lift Cylinder RH</v>
      </c>
      <c r="R932" s="2" t="str">
        <f>New_Xref[[#This Row],[Serial Prefix]]&amp;IF(New_Xref[[#This Row],[Func Loc]]&lt;&gt;"",New_Xref[[#This Row],[Func Loc]],"NO MATCH")</f>
        <v>H9K0MYHD .CYLI.LIFR</v>
      </c>
      <c r="S932" s="3" t="str">
        <f t="shared" si="103"/>
        <v>H9K01539938XLift Cylinder RH</v>
      </c>
      <c r="T932" s="3" t="s">
        <v>130</v>
      </c>
      <c r="U932" s="3" t="s">
        <v>115</v>
      </c>
      <c r="V932" t="str">
        <f t="shared" si="104"/>
        <v>5102RI</v>
      </c>
    </row>
    <row r="933" spans="1:22">
      <c r="A933" t="s">
        <v>3558</v>
      </c>
      <c r="B933" t="s">
        <v>3775</v>
      </c>
      <c r="C933" t="s">
        <v>620</v>
      </c>
      <c r="D933" t="s">
        <v>621</v>
      </c>
      <c r="E933" t="s">
        <v>622</v>
      </c>
      <c r="F933" t="s">
        <v>27</v>
      </c>
      <c r="G933">
        <v>1</v>
      </c>
      <c r="H933" t="s">
        <v>3805</v>
      </c>
      <c r="I933" t="s">
        <v>3806</v>
      </c>
      <c r="J933" t="s">
        <v>3807</v>
      </c>
      <c r="K933" t="s">
        <v>3806</v>
      </c>
      <c r="L933" t="s">
        <v>626</v>
      </c>
      <c r="M933" s="1" t="str">
        <f t="shared" si="98"/>
        <v>08H135</v>
      </c>
      <c r="N933" s="1" t="str">
        <f t="shared" si="99"/>
        <v>C/O</v>
      </c>
      <c r="O933" s="1" t="str">
        <f t="shared" si="100"/>
        <v>Lift Cylinder LH</v>
      </c>
      <c r="P933" s="1" t="str">
        <f t="shared" si="101"/>
        <v>H9K0</v>
      </c>
      <c r="Q933" s="2" t="str">
        <f t="shared" si="102"/>
        <v>H9K0Lift Cylinder LH</v>
      </c>
      <c r="R933" s="2" t="str">
        <f>New_Xref[[#This Row],[Serial Prefix]]&amp;IF(New_Xref[[#This Row],[Func Loc]]&lt;&gt;"",New_Xref[[#This Row],[Func Loc]],"NO MATCH")</f>
        <v>H9K0MYHD .CYLI.LIFL</v>
      </c>
      <c r="S933" s="3" t="str">
        <f t="shared" si="103"/>
        <v>H9K01539939XLift Cylinder LH</v>
      </c>
      <c r="T933" s="3" t="s">
        <v>130</v>
      </c>
      <c r="U933" s="3" t="s">
        <v>108</v>
      </c>
      <c r="V933" t="str">
        <f t="shared" si="104"/>
        <v>5102LT</v>
      </c>
    </row>
    <row r="934" spans="1:22">
      <c r="A934" t="s">
        <v>3558</v>
      </c>
      <c r="B934" t="s">
        <v>3590</v>
      </c>
      <c r="C934" t="s">
        <v>620</v>
      </c>
      <c r="D934" t="s">
        <v>621</v>
      </c>
      <c r="E934" t="s">
        <v>622</v>
      </c>
      <c r="F934" t="s">
        <v>27</v>
      </c>
      <c r="G934">
        <v>1</v>
      </c>
      <c r="H934" t="s">
        <v>3808</v>
      </c>
      <c r="I934" t="s">
        <v>3809</v>
      </c>
      <c r="J934" t="s">
        <v>3810</v>
      </c>
      <c r="K934" t="s">
        <v>3809</v>
      </c>
      <c r="L934" t="s">
        <v>626</v>
      </c>
      <c r="M934" s="1" t="str">
        <f t="shared" si="98"/>
        <v>08H208</v>
      </c>
      <c r="N934" s="1" t="str">
        <f t="shared" si="99"/>
        <v>C/O</v>
      </c>
      <c r="O934" s="1" t="str">
        <f t="shared" si="100"/>
        <v>Lift Cylinder LH</v>
      </c>
      <c r="P934" s="1" t="str">
        <f t="shared" si="101"/>
        <v>RM30</v>
      </c>
      <c r="Q934" s="2" t="str">
        <f t="shared" si="102"/>
        <v>RM30Lift Cylinder LH</v>
      </c>
      <c r="R934" s="2" t="str">
        <f>New_Xref[[#This Row],[Serial Prefix]]&amp;IF(New_Xref[[#This Row],[Func Loc]]&lt;&gt;"",New_Xref[[#This Row],[Func Loc]],"NO MATCH")</f>
        <v>RM30MYHD .CYLI.LIFL</v>
      </c>
      <c r="S934" s="3" t="str">
        <f t="shared" si="103"/>
        <v>RM301539939XLift Cylinder LH</v>
      </c>
      <c r="T934" s="3" t="s">
        <v>130</v>
      </c>
      <c r="U934" s="3" t="s">
        <v>108</v>
      </c>
      <c r="V934" t="str">
        <f t="shared" si="104"/>
        <v>5102LT</v>
      </c>
    </row>
    <row r="935" spans="1:22">
      <c r="A935" t="s">
        <v>3558</v>
      </c>
      <c r="B935" t="s">
        <v>3590</v>
      </c>
      <c r="C935" t="s">
        <v>627</v>
      </c>
      <c r="D935" t="s">
        <v>628</v>
      </c>
      <c r="E935" t="s">
        <v>629</v>
      </c>
      <c r="F935" t="s">
        <v>27</v>
      </c>
      <c r="G935">
        <v>1</v>
      </c>
      <c r="H935" t="s">
        <v>3811</v>
      </c>
      <c r="I935" t="s">
        <v>3812</v>
      </c>
      <c r="J935" t="s">
        <v>3813</v>
      </c>
      <c r="K935" t="s">
        <v>3812</v>
      </c>
      <c r="L935" t="s">
        <v>633</v>
      </c>
      <c r="M935" s="1" t="str">
        <f t="shared" si="98"/>
        <v>08H208</v>
      </c>
      <c r="N935" s="1" t="str">
        <f t="shared" si="99"/>
        <v>C/O</v>
      </c>
      <c r="O935" s="1" t="str">
        <f t="shared" si="100"/>
        <v>Lift Cylinder RH</v>
      </c>
      <c r="P935" s="1" t="str">
        <f t="shared" si="101"/>
        <v>RM30</v>
      </c>
      <c r="Q935" s="2" t="str">
        <f t="shared" si="102"/>
        <v>RM30Lift Cylinder RH</v>
      </c>
      <c r="R935" s="2" t="str">
        <f>New_Xref[[#This Row],[Serial Prefix]]&amp;IF(New_Xref[[#This Row],[Func Loc]]&lt;&gt;"",New_Xref[[#This Row],[Func Loc]],"NO MATCH")</f>
        <v>RM30MYHD .CYLI.LIFR</v>
      </c>
      <c r="S935" s="3" t="str">
        <f t="shared" si="103"/>
        <v>RM301539938XLift Cylinder RH</v>
      </c>
      <c r="T935" s="3" t="s">
        <v>130</v>
      </c>
      <c r="U935" s="3" t="s">
        <v>115</v>
      </c>
      <c r="V935" t="str">
        <f t="shared" si="104"/>
        <v>5102RI</v>
      </c>
    </row>
    <row r="936" spans="1:22">
      <c r="A936" t="s">
        <v>3558</v>
      </c>
      <c r="B936" t="s">
        <v>3594</v>
      </c>
      <c r="C936" t="s">
        <v>620</v>
      </c>
      <c r="D936" t="s">
        <v>621</v>
      </c>
      <c r="E936" t="s">
        <v>622</v>
      </c>
      <c r="F936" t="s">
        <v>27</v>
      </c>
      <c r="G936">
        <v>1</v>
      </c>
      <c r="H936" t="s">
        <v>3814</v>
      </c>
      <c r="I936" t="s">
        <v>3815</v>
      </c>
      <c r="J936" t="s">
        <v>3816</v>
      </c>
      <c r="K936" t="s">
        <v>3815</v>
      </c>
      <c r="L936" t="s">
        <v>626</v>
      </c>
      <c r="M936" s="1" t="str">
        <f t="shared" si="98"/>
        <v>08B223</v>
      </c>
      <c r="N936" s="1" t="str">
        <f t="shared" si="99"/>
        <v>C/O</v>
      </c>
      <c r="O936" s="1" t="str">
        <f t="shared" si="100"/>
        <v>Lift Cylinder LH</v>
      </c>
      <c r="P936" s="1" t="str">
        <f t="shared" si="101"/>
        <v>RM60</v>
      </c>
      <c r="Q936" s="2" t="str">
        <f t="shared" si="102"/>
        <v>RM60Lift Cylinder LH</v>
      </c>
      <c r="R936" s="2" t="str">
        <f>New_Xref[[#This Row],[Serial Prefix]]&amp;IF(New_Xref[[#This Row],[Func Loc]]&lt;&gt;"",New_Xref[[#This Row],[Func Loc]],"NO MATCH")</f>
        <v>RM60MYHD .CYLI.LIFL</v>
      </c>
      <c r="S936" s="3" t="str">
        <f t="shared" si="103"/>
        <v>RM601539939XLift Cylinder LH</v>
      </c>
      <c r="T936" s="3" t="s">
        <v>130</v>
      </c>
      <c r="U936" s="3" t="s">
        <v>108</v>
      </c>
      <c r="V936" t="str">
        <f t="shared" si="104"/>
        <v>5102LT</v>
      </c>
    </row>
    <row r="937" spans="1:22">
      <c r="A937" t="s">
        <v>3558</v>
      </c>
      <c r="B937" t="s">
        <v>3594</v>
      </c>
      <c r="C937" t="s">
        <v>627</v>
      </c>
      <c r="D937" t="s">
        <v>628</v>
      </c>
      <c r="E937" t="s">
        <v>629</v>
      </c>
      <c r="F937" t="s">
        <v>27</v>
      </c>
      <c r="G937">
        <v>1</v>
      </c>
      <c r="H937" t="s">
        <v>3817</v>
      </c>
      <c r="I937" t="s">
        <v>3818</v>
      </c>
      <c r="J937" t="s">
        <v>3819</v>
      </c>
      <c r="K937" t="s">
        <v>3818</v>
      </c>
      <c r="L937" t="s">
        <v>633</v>
      </c>
      <c r="M937" s="1" t="str">
        <f t="shared" si="98"/>
        <v>08B223</v>
      </c>
      <c r="N937" s="1" t="str">
        <f t="shared" si="99"/>
        <v>C/O</v>
      </c>
      <c r="O937" s="1" t="str">
        <f t="shared" si="100"/>
        <v>Lift Cylinder RH</v>
      </c>
      <c r="P937" s="1" t="str">
        <f t="shared" si="101"/>
        <v>RM60</v>
      </c>
      <c r="Q937" s="2" t="str">
        <f t="shared" si="102"/>
        <v>RM60Lift Cylinder RH</v>
      </c>
      <c r="R937" s="2" t="str">
        <f>New_Xref[[#This Row],[Serial Prefix]]&amp;IF(New_Xref[[#This Row],[Func Loc]]&lt;&gt;"",New_Xref[[#This Row],[Func Loc]],"NO MATCH")</f>
        <v>RM60MYHD .CYLI.LIFR</v>
      </c>
      <c r="S937" s="3" t="str">
        <f t="shared" si="103"/>
        <v>RM601539938XLift Cylinder RH</v>
      </c>
      <c r="T937" s="3" t="s">
        <v>130</v>
      </c>
      <c r="U937" s="3" t="s">
        <v>115</v>
      </c>
      <c r="V937" t="str">
        <f t="shared" si="104"/>
        <v>5102RI</v>
      </c>
    </row>
    <row r="938" spans="1:22">
      <c r="A938" t="s">
        <v>3558</v>
      </c>
      <c r="B938" t="s">
        <v>3567</v>
      </c>
      <c r="H938" t="s">
        <v>3820</v>
      </c>
      <c r="I938" t="s">
        <v>3821</v>
      </c>
      <c r="J938" t="s">
        <v>3822</v>
      </c>
      <c r="K938" t="s">
        <v>3821</v>
      </c>
      <c r="L938" t="s">
        <v>637</v>
      </c>
      <c r="M938" s="1" t="str">
        <f t="shared" si="98"/>
        <v>08D09</v>
      </c>
      <c r="N938" s="1" t="str">
        <f t="shared" si="99"/>
        <v>C/O</v>
      </c>
      <c r="O938" s="1" t="str">
        <f t="shared" si="100"/>
        <v>Tilt Cylinder LH</v>
      </c>
      <c r="P938" s="1" t="str">
        <f t="shared" si="101"/>
        <v>2210</v>
      </c>
      <c r="Q938" s="2" t="str">
        <f t="shared" si="102"/>
        <v>2210Tilt Cylinder LH</v>
      </c>
      <c r="R938" s="2" t="str">
        <f>New_Xref[[#This Row],[Serial Prefix]]&amp;IF(New_Xref[[#This Row],[Func Loc]]&lt;&gt;"",New_Xref[[#This Row],[Func Loc]],"NO MATCH")</f>
        <v>2210MYHD .CYLI.TILL</v>
      </c>
      <c r="S938" s="3" t="str">
        <f t="shared" si="103"/>
        <v>2210Tilt Cylinder LH</v>
      </c>
      <c r="T938" s="3" t="s">
        <v>638</v>
      </c>
      <c r="U938" s="3" t="s">
        <v>108</v>
      </c>
      <c r="V938" t="str">
        <f t="shared" si="104"/>
        <v>5104LT</v>
      </c>
    </row>
    <row r="939" spans="1:22">
      <c r="A939" t="s">
        <v>3558</v>
      </c>
      <c r="B939" t="s">
        <v>3567</v>
      </c>
      <c r="H939" t="s">
        <v>3823</v>
      </c>
      <c r="I939" t="s">
        <v>3824</v>
      </c>
      <c r="J939" t="s">
        <v>3825</v>
      </c>
      <c r="K939" t="s">
        <v>3824</v>
      </c>
      <c r="L939" t="s">
        <v>642</v>
      </c>
      <c r="M939" s="1" t="str">
        <f t="shared" si="98"/>
        <v>08D09</v>
      </c>
      <c r="N939" s="1" t="str">
        <f t="shared" si="99"/>
        <v>C/O</v>
      </c>
      <c r="O939" s="1" t="str">
        <f t="shared" si="100"/>
        <v>Tilt Cylinder RH</v>
      </c>
      <c r="P939" s="1" t="str">
        <f t="shared" si="101"/>
        <v>2210</v>
      </c>
      <c r="Q939" s="2" t="str">
        <f t="shared" si="102"/>
        <v>2210Tilt Cylinder RH</v>
      </c>
      <c r="R939" s="2" t="str">
        <f>New_Xref[[#This Row],[Serial Prefix]]&amp;IF(New_Xref[[#This Row],[Func Loc]]&lt;&gt;"",New_Xref[[#This Row],[Func Loc]],"NO MATCH")</f>
        <v>2210MYHD .CYLI.TILR</v>
      </c>
      <c r="S939" s="3" t="str">
        <f t="shared" si="103"/>
        <v>2210Tilt Cylinder RH</v>
      </c>
      <c r="T939" s="3" t="s">
        <v>638</v>
      </c>
      <c r="U939" s="3" t="s">
        <v>115</v>
      </c>
      <c r="V939" t="str">
        <f t="shared" si="104"/>
        <v>5104RI</v>
      </c>
    </row>
    <row r="940" spans="1:22">
      <c r="A940" t="s">
        <v>3558</v>
      </c>
      <c r="B940" t="s">
        <v>3574</v>
      </c>
      <c r="H940" t="s">
        <v>3826</v>
      </c>
      <c r="I940" t="s">
        <v>3827</v>
      </c>
      <c r="J940" t="s">
        <v>3828</v>
      </c>
      <c r="K940" t="s">
        <v>3827</v>
      </c>
      <c r="L940" t="s">
        <v>637</v>
      </c>
      <c r="M940" s="1" t="str">
        <f t="shared" si="98"/>
        <v>08D226</v>
      </c>
      <c r="N940" s="1" t="str">
        <f t="shared" si="99"/>
        <v>C/O</v>
      </c>
      <c r="O940" s="1" t="str">
        <f t="shared" si="100"/>
        <v>Tilt Cylinder LH</v>
      </c>
      <c r="P940" s="1" t="str">
        <f t="shared" si="101"/>
        <v>H9K0</v>
      </c>
      <c r="Q940" s="2" t="str">
        <f t="shared" si="102"/>
        <v>H9K0Tilt Cylinder LH</v>
      </c>
      <c r="R940" s="2" t="str">
        <f>New_Xref[[#This Row],[Serial Prefix]]&amp;IF(New_Xref[[#This Row],[Func Loc]]&lt;&gt;"",New_Xref[[#This Row],[Func Loc]],"NO MATCH")</f>
        <v>H9K0MYHD .CYLI.TILL</v>
      </c>
      <c r="S940" s="3" t="str">
        <f t="shared" si="103"/>
        <v>H9K0Tilt Cylinder LH</v>
      </c>
      <c r="T940" s="3" t="s">
        <v>638</v>
      </c>
      <c r="U940" s="3" t="s">
        <v>108</v>
      </c>
      <c r="V940" t="str">
        <f t="shared" si="104"/>
        <v>5104LT</v>
      </c>
    </row>
    <row r="941" spans="1:22">
      <c r="A941" t="s">
        <v>3558</v>
      </c>
      <c r="B941" t="s">
        <v>3574</v>
      </c>
      <c r="H941" t="s">
        <v>3826</v>
      </c>
      <c r="I941" t="s">
        <v>3829</v>
      </c>
      <c r="J941" t="s">
        <v>3830</v>
      </c>
      <c r="K941" t="s">
        <v>3829</v>
      </c>
      <c r="L941" t="s">
        <v>642</v>
      </c>
      <c r="M941" s="1" t="str">
        <f t="shared" si="98"/>
        <v>08D226</v>
      </c>
      <c r="N941" s="1" t="str">
        <f t="shared" si="99"/>
        <v>C/O</v>
      </c>
      <c r="O941" s="1" t="str">
        <f t="shared" si="100"/>
        <v>Tilt Cylinder RH</v>
      </c>
      <c r="P941" s="1" t="str">
        <f t="shared" si="101"/>
        <v>H9K0</v>
      </c>
      <c r="Q941" s="2" t="str">
        <f t="shared" si="102"/>
        <v>H9K0Tilt Cylinder RH</v>
      </c>
      <c r="R941" s="2" t="str">
        <f>New_Xref[[#This Row],[Serial Prefix]]&amp;IF(New_Xref[[#This Row],[Func Loc]]&lt;&gt;"",New_Xref[[#This Row],[Func Loc]],"NO MATCH")</f>
        <v>H9K0MYHD .CYLI.TILR</v>
      </c>
      <c r="S941" s="3" t="str">
        <f t="shared" si="103"/>
        <v>H9K0Tilt Cylinder RH</v>
      </c>
      <c r="T941" s="3" t="s">
        <v>638</v>
      </c>
      <c r="U941" s="3" t="s">
        <v>115</v>
      </c>
      <c r="V941" t="str">
        <f t="shared" si="104"/>
        <v>5104RI</v>
      </c>
    </row>
    <row r="942" spans="1:22">
      <c r="A942" t="s">
        <v>3558</v>
      </c>
      <c r="B942" t="s">
        <v>3590</v>
      </c>
      <c r="H942" t="s">
        <v>3831</v>
      </c>
      <c r="I942" t="s">
        <v>3832</v>
      </c>
      <c r="J942" t="s">
        <v>3833</v>
      </c>
      <c r="K942" t="s">
        <v>3832</v>
      </c>
      <c r="L942" t="s">
        <v>637</v>
      </c>
      <c r="M942" s="1" t="str">
        <f t="shared" si="98"/>
        <v>08H208</v>
      </c>
      <c r="N942" s="1" t="str">
        <f t="shared" si="99"/>
        <v>C/O</v>
      </c>
      <c r="O942" s="1" t="str">
        <f t="shared" si="100"/>
        <v>Tilt Cylinder LH</v>
      </c>
      <c r="P942" s="1" t="str">
        <f t="shared" si="101"/>
        <v>RM30</v>
      </c>
      <c r="Q942" s="2" t="str">
        <f t="shared" si="102"/>
        <v>RM30Tilt Cylinder LH</v>
      </c>
      <c r="R942" s="2" t="str">
        <f>New_Xref[[#This Row],[Serial Prefix]]&amp;IF(New_Xref[[#This Row],[Func Loc]]&lt;&gt;"",New_Xref[[#This Row],[Func Loc]],"NO MATCH")</f>
        <v>RM30MYHD .CYLI.TILL</v>
      </c>
      <c r="S942" s="3" t="str">
        <f t="shared" si="103"/>
        <v>RM30Tilt Cylinder LH</v>
      </c>
      <c r="T942" s="3" t="s">
        <v>638</v>
      </c>
      <c r="U942" s="3" t="s">
        <v>108</v>
      </c>
      <c r="V942" t="str">
        <f t="shared" si="104"/>
        <v>5104LT</v>
      </c>
    </row>
    <row r="943" spans="1:22">
      <c r="A943" t="s">
        <v>3558</v>
      </c>
      <c r="B943" t="s">
        <v>3590</v>
      </c>
      <c r="H943" t="s">
        <v>3834</v>
      </c>
      <c r="I943" t="s">
        <v>3835</v>
      </c>
      <c r="J943" t="s">
        <v>3836</v>
      </c>
      <c r="K943" t="s">
        <v>3835</v>
      </c>
      <c r="L943" t="s">
        <v>642</v>
      </c>
      <c r="M943" s="1" t="str">
        <f t="shared" si="98"/>
        <v>08H208</v>
      </c>
      <c r="N943" s="1" t="str">
        <f t="shared" si="99"/>
        <v>C/O</v>
      </c>
      <c r="O943" s="1" t="str">
        <f t="shared" si="100"/>
        <v>Tilt Cylinder RH</v>
      </c>
      <c r="P943" s="1" t="str">
        <f t="shared" si="101"/>
        <v>RM30</v>
      </c>
      <c r="Q943" s="2" t="str">
        <f t="shared" si="102"/>
        <v>RM30Tilt Cylinder RH</v>
      </c>
      <c r="R943" s="2" t="str">
        <f>New_Xref[[#This Row],[Serial Prefix]]&amp;IF(New_Xref[[#This Row],[Func Loc]]&lt;&gt;"",New_Xref[[#This Row],[Func Loc]],"NO MATCH")</f>
        <v>RM30MYHD .CYLI.TILR</v>
      </c>
      <c r="S943" s="3" t="str">
        <f t="shared" si="103"/>
        <v>RM30Tilt Cylinder RH</v>
      </c>
      <c r="T943" s="3" t="s">
        <v>638</v>
      </c>
      <c r="U943" s="3" t="s">
        <v>115</v>
      </c>
      <c r="V943" t="str">
        <f t="shared" si="104"/>
        <v>5104RI</v>
      </c>
    </row>
    <row r="944" spans="1:22">
      <c r="A944" t="s">
        <v>3558</v>
      </c>
      <c r="B944" t="s">
        <v>3594</v>
      </c>
      <c r="H944" t="s">
        <v>3837</v>
      </c>
      <c r="I944" t="s">
        <v>3838</v>
      </c>
      <c r="J944" t="s">
        <v>3839</v>
      </c>
      <c r="K944" t="s">
        <v>3838</v>
      </c>
      <c r="L944" t="s">
        <v>637</v>
      </c>
      <c r="M944" s="1" t="str">
        <f t="shared" si="98"/>
        <v>08B223</v>
      </c>
      <c r="N944" s="1" t="str">
        <f t="shared" si="99"/>
        <v>C/O</v>
      </c>
      <c r="O944" s="1" t="str">
        <f t="shared" si="100"/>
        <v>Tilt Cylinder LH</v>
      </c>
      <c r="P944" s="1" t="str">
        <f t="shared" si="101"/>
        <v>RM60</v>
      </c>
      <c r="Q944" s="2" t="str">
        <f t="shared" si="102"/>
        <v>RM60Tilt Cylinder LH</v>
      </c>
      <c r="R944" s="2" t="str">
        <f>New_Xref[[#This Row],[Serial Prefix]]&amp;IF(New_Xref[[#This Row],[Func Loc]]&lt;&gt;"",New_Xref[[#This Row],[Func Loc]],"NO MATCH")</f>
        <v>RM60MYHD .CYLI.TILL</v>
      </c>
      <c r="S944" s="3" t="str">
        <f t="shared" si="103"/>
        <v>RM60Tilt Cylinder LH</v>
      </c>
      <c r="T944" s="3" t="s">
        <v>638</v>
      </c>
      <c r="U944" s="3" t="s">
        <v>108</v>
      </c>
      <c r="V944" t="str">
        <f t="shared" si="104"/>
        <v>5104LT</v>
      </c>
    </row>
    <row r="945" spans="1:22">
      <c r="A945" t="s">
        <v>3558</v>
      </c>
      <c r="B945" t="s">
        <v>3594</v>
      </c>
      <c r="H945" t="s">
        <v>3840</v>
      </c>
      <c r="I945" t="s">
        <v>3841</v>
      </c>
      <c r="J945" t="s">
        <v>3842</v>
      </c>
      <c r="K945" t="s">
        <v>3841</v>
      </c>
      <c r="L945" t="s">
        <v>642</v>
      </c>
      <c r="M945" s="1" t="str">
        <f t="shared" si="98"/>
        <v>08B223</v>
      </c>
      <c r="N945" s="1" t="str">
        <f t="shared" si="99"/>
        <v>C/O</v>
      </c>
      <c r="O945" s="1" t="str">
        <f t="shared" si="100"/>
        <v>Tilt Cylinder RH</v>
      </c>
      <c r="P945" s="1" t="str">
        <f t="shared" si="101"/>
        <v>RM60</v>
      </c>
      <c r="Q945" s="2" t="str">
        <f t="shared" si="102"/>
        <v>RM60Tilt Cylinder RH</v>
      </c>
      <c r="R945" s="2" t="str">
        <f>New_Xref[[#This Row],[Serial Prefix]]&amp;IF(New_Xref[[#This Row],[Func Loc]]&lt;&gt;"",New_Xref[[#This Row],[Func Loc]],"NO MATCH")</f>
        <v>RM60MYHD .CYLI.TILR</v>
      </c>
      <c r="S945" s="3" t="str">
        <f t="shared" si="103"/>
        <v>RM60Tilt Cylinder RH</v>
      </c>
      <c r="T945" s="3" t="s">
        <v>638</v>
      </c>
      <c r="U945" s="3" t="s">
        <v>115</v>
      </c>
      <c r="V945" t="str">
        <f t="shared" si="104"/>
        <v>5104RI</v>
      </c>
    </row>
    <row r="946" spans="1:22">
      <c r="A946" t="s">
        <v>3843</v>
      </c>
      <c r="B946" t="s">
        <v>3844</v>
      </c>
      <c r="C946" t="s">
        <v>3845</v>
      </c>
      <c r="D946" t="s">
        <v>3846</v>
      </c>
      <c r="E946" t="s">
        <v>3847</v>
      </c>
      <c r="F946" t="s">
        <v>27</v>
      </c>
      <c r="G946">
        <v>1</v>
      </c>
      <c r="H946" t="s">
        <v>3848</v>
      </c>
      <c r="I946" t="s">
        <v>3849</v>
      </c>
      <c r="J946" t="s">
        <v>3850</v>
      </c>
      <c r="K946" t="s">
        <v>3851</v>
      </c>
      <c r="L946" t="s">
        <v>32</v>
      </c>
      <c r="M946" s="1" t="str">
        <f t="shared" si="98"/>
        <v>07H163</v>
      </c>
      <c r="N946" s="1" t="str">
        <f t="shared" si="99"/>
        <v>C/O</v>
      </c>
      <c r="O946" s="1" t="str">
        <f t="shared" si="100"/>
        <v>Engine</v>
      </c>
      <c r="P946" s="1" t="str">
        <f t="shared" si="101"/>
        <v>A8J0</v>
      </c>
      <c r="Q946" s="2" t="str">
        <f t="shared" si="102"/>
        <v>A8J0Engine</v>
      </c>
      <c r="R946" s="2" t="str">
        <f>New_Xref[[#This Row],[Serial Prefix]]&amp;IF(New_Xref[[#This Row],[Func Loc]]&lt;&gt;"",New_Xref[[#This Row],[Func Loc]],"NO MATCH")</f>
        <v>A8J0ENGD</v>
      </c>
      <c r="S946" s="3" t="str">
        <f t="shared" si="103"/>
        <v>A8J020R2514Engine</v>
      </c>
      <c r="T946" s="3" t="s">
        <v>33</v>
      </c>
      <c r="U946" s="3" t="s">
        <v>34</v>
      </c>
      <c r="V946" t="str">
        <f t="shared" si="104"/>
        <v>100000</v>
      </c>
    </row>
    <row r="947" spans="1:22">
      <c r="A947" t="s">
        <v>3843</v>
      </c>
      <c r="B947" t="s">
        <v>3852</v>
      </c>
      <c r="C947" t="s">
        <v>3845</v>
      </c>
      <c r="D947" t="s">
        <v>3846</v>
      </c>
      <c r="E947" t="s">
        <v>3847</v>
      </c>
      <c r="F947" t="s">
        <v>27</v>
      </c>
      <c r="G947">
        <v>1</v>
      </c>
      <c r="H947" t="s">
        <v>3853</v>
      </c>
      <c r="I947" t="s">
        <v>3854</v>
      </c>
      <c r="J947" t="s">
        <v>3855</v>
      </c>
      <c r="K947" t="s">
        <v>3856</v>
      </c>
      <c r="L947" t="s">
        <v>32</v>
      </c>
      <c r="M947" s="1" t="str">
        <f t="shared" si="98"/>
        <v>07R195</v>
      </c>
      <c r="N947" s="1" t="str">
        <f t="shared" si="99"/>
        <v>C/O</v>
      </c>
      <c r="O947" s="1" t="str">
        <f t="shared" si="100"/>
        <v>Engine</v>
      </c>
      <c r="P947" s="1" t="str">
        <f t="shared" si="101"/>
        <v>KZL0</v>
      </c>
      <c r="Q947" s="2" t="str">
        <f t="shared" si="102"/>
        <v>KZL0Engine</v>
      </c>
      <c r="R947" s="2" t="str">
        <f>New_Xref[[#This Row],[Serial Prefix]]&amp;IF(New_Xref[[#This Row],[Func Loc]]&lt;&gt;"",New_Xref[[#This Row],[Func Loc]],"NO MATCH")</f>
        <v>KZL0ENGD</v>
      </c>
      <c r="S947" s="3" t="str">
        <f t="shared" si="103"/>
        <v>KZL020R2514Engine</v>
      </c>
      <c r="T947" s="3" t="s">
        <v>33</v>
      </c>
      <c r="U947" s="3" t="s">
        <v>34</v>
      </c>
      <c r="V947" t="str">
        <f t="shared" si="104"/>
        <v>100000</v>
      </c>
    </row>
    <row r="948" spans="1:22">
      <c r="A948" t="s">
        <v>3857</v>
      </c>
      <c r="B948" t="s">
        <v>3858</v>
      </c>
      <c r="H948" t="s">
        <v>3859</v>
      </c>
      <c r="I948" t="s">
        <v>3860</v>
      </c>
      <c r="J948" t="s">
        <v>3861</v>
      </c>
      <c r="K948" t="s">
        <v>3862</v>
      </c>
      <c r="L948" t="s">
        <v>32</v>
      </c>
      <c r="M948" s="1" t="str">
        <f t="shared" si="98"/>
        <v>07H139</v>
      </c>
      <c r="N948" s="1" t="str">
        <f t="shared" si="99"/>
        <v>C/O</v>
      </c>
      <c r="O948" s="1" t="str">
        <f t="shared" si="100"/>
        <v>Engine</v>
      </c>
      <c r="P948" s="1" t="str">
        <f t="shared" si="101"/>
        <v>AZX0</v>
      </c>
      <c r="Q948" s="2" t="str">
        <f t="shared" si="102"/>
        <v>AZX0Engine</v>
      </c>
      <c r="R948" s="2" t="str">
        <f>New_Xref[[#This Row],[Serial Prefix]]&amp;IF(New_Xref[[#This Row],[Func Loc]]&lt;&gt;"",New_Xref[[#This Row],[Func Loc]],"NO MATCH")</f>
        <v>AZX0ENGD</v>
      </c>
      <c r="S948" s="3" t="str">
        <f t="shared" si="103"/>
        <v>AZX0Engine</v>
      </c>
      <c r="T948" s="3" t="s">
        <v>33</v>
      </c>
      <c r="U948" s="3" t="s">
        <v>34</v>
      </c>
      <c r="V948" t="str">
        <f t="shared" si="104"/>
        <v>100000</v>
      </c>
    </row>
    <row r="949" spans="1:22">
      <c r="A949" t="s">
        <v>3857</v>
      </c>
      <c r="B949" t="s">
        <v>3863</v>
      </c>
      <c r="C949" t="s">
        <v>560</v>
      </c>
      <c r="D949" t="s">
        <v>561</v>
      </c>
      <c r="E949" t="s">
        <v>562</v>
      </c>
      <c r="F949" t="s">
        <v>27</v>
      </c>
      <c r="G949">
        <v>1</v>
      </c>
      <c r="H949" t="s">
        <v>3864</v>
      </c>
      <c r="I949" t="s">
        <v>3865</v>
      </c>
      <c r="J949" t="s">
        <v>3866</v>
      </c>
      <c r="K949" t="s">
        <v>3865</v>
      </c>
      <c r="L949" t="s">
        <v>83</v>
      </c>
      <c r="M949" s="1" t="str">
        <f t="shared" si="98"/>
        <v>07H893</v>
      </c>
      <c r="N949" s="1" t="str">
        <f t="shared" si="99"/>
        <v>C/O</v>
      </c>
      <c r="O949" s="1" t="str">
        <f t="shared" si="100"/>
        <v>Axle Assembly Front</v>
      </c>
      <c r="P949" s="1" t="str">
        <f t="shared" si="101"/>
        <v>ADZ0</v>
      </c>
      <c r="Q949" s="2" t="str">
        <f t="shared" si="102"/>
        <v>ADZ0Axle Assembly Front</v>
      </c>
      <c r="R949" s="2" t="str">
        <f>New_Xref[[#This Row],[Serial Prefix]]&amp;IF(New_Xref[[#This Row],[Func Loc]]&lt;&gt;"",New_Xref[[#This Row],[Func Loc]],"NO MATCH")</f>
        <v>ADZ0NO MATCH</v>
      </c>
      <c r="S949" s="3" t="str">
        <f t="shared" si="103"/>
        <v>ADZ03732557FAxle Assembly Front</v>
      </c>
      <c r="T949" s="3" t="s">
        <v>566</v>
      </c>
      <c r="U949" s="3" t="s">
        <v>34</v>
      </c>
      <c r="V949" t="str">
        <f t="shared" si="104"/>
        <v>301300</v>
      </c>
    </row>
    <row r="950" spans="1:22">
      <c r="A950" t="s">
        <v>3857</v>
      </c>
      <c r="B950" t="s">
        <v>3863</v>
      </c>
      <c r="C950" t="s">
        <v>567</v>
      </c>
      <c r="D950" t="s">
        <v>568</v>
      </c>
      <c r="E950" t="s">
        <v>562</v>
      </c>
      <c r="F950" t="s">
        <v>27</v>
      </c>
      <c r="G950">
        <v>1</v>
      </c>
      <c r="H950" t="s">
        <v>3867</v>
      </c>
      <c r="I950" t="s">
        <v>3868</v>
      </c>
      <c r="J950" t="s">
        <v>3869</v>
      </c>
      <c r="K950" t="s">
        <v>3868</v>
      </c>
      <c r="L950" t="s">
        <v>83</v>
      </c>
      <c r="M950" s="1" t="str">
        <f t="shared" si="98"/>
        <v>07H893</v>
      </c>
      <c r="N950" s="1" t="str">
        <f t="shared" si="99"/>
        <v>C/O</v>
      </c>
      <c r="O950" s="1" t="str">
        <f t="shared" si="100"/>
        <v>Axle Assembly Rear</v>
      </c>
      <c r="P950" s="1" t="str">
        <f t="shared" si="101"/>
        <v>ADZ0</v>
      </c>
      <c r="Q950" s="2" t="str">
        <f t="shared" si="102"/>
        <v>ADZ0Axle Assembly Rear</v>
      </c>
      <c r="R950" s="2" t="str">
        <f>New_Xref[[#This Row],[Serial Prefix]]&amp;IF(New_Xref[[#This Row],[Func Loc]]&lt;&gt;"",New_Xref[[#This Row],[Func Loc]],"NO MATCH")</f>
        <v>ADZ0NO MATCH</v>
      </c>
      <c r="S950" s="3" t="str">
        <f t="shared" si="103"/>
        <v>ADZ03732558FAxle Assembly Rear</v>
      </c>
      <c r="T950" s="3" t="s">
        <v>566</v>
      </c>
      <c r="U950" s="3" t="s">
        <v>34</v>
      </c>
      <c r="V950" t="str">
        <f t="shared" si="104"/>
        <v>301300</v>
      </c>
    </row>
    <row r="951" spans="1:22">
      <c r="A951" t="s">
        <v>3857</v>
      </c>
      <c r="B951" t="s">
        <v>3858</v>
      </c>
      <c r="C951" t="s">
        <v>3870</v>
      </c>
      <c r="D951" t="s">
        <v>3871</v>
      </c>
      <c r="E951" t="s">
        <v>3872</v>
      </c>
      <c r="F951" t="s">
        <v>27</v>
      </c>
      <c r="G951">
        <v>1</v>
      </c>
      <c r="H951" t="s">
        <v>3873</v>
      </c>
      <c r="I951" t="s">
        <v>3874</v>
      </c>
      <c r="J951" t="s">
        <v>3875</v>
      </c>
      <c r="K951" t="s">
        <v>3874</v>
      </c>
      <c r="L951" t="s">
        <v>350</v>
      </c>
      <c r="M951" s="1" t="str">
        <f t="shared" si="98"/>
        <v>07H139</v>
      </c>
      <c r="N951" s="1" t="str">
        <f t="shared" si="99"/>
        <v>C/O</v>
      </c>
      <c r="O951" s="1" t="str">
        <f t="shared" si="100"/>
        <v>Axle Assembly Front</v>
      </c>
      <c r="P951" s="1" t="str">
        <f t="shared" si="101"/>
        <v>AZX0</v>
      </c>
      <c r="Q951" s="2" t="str">
        <f t="shared" si="102"/>
        <v>AZX0Axle Assembly Front</v>
      </c>
      <c r="R951" s="2" t="str">
        <f>New_Xref[[#This Row],[Serial Prefix]]&amp;IF(New_Xref[[#This Row],[Func Loc]]&lt;&gt;"",New_Xref[[#This Row],[Func Loc]],"NO MATCH")</f>
        <v>AZX0FDRV .AXAF</v>
      </c>
      <c r="S951" s="3" t="str">
        <f t="shared" si="103"/>
        <v>AZX01070703FAxle Assembly Front</v>
      </c>
      <c r="T951" s="3" t="s">
        <v>566</v>
      </c>
      <c r="U951" s="3" t="s">
        <v>386</v>
      </c>
      <c r="V951" t="str">
        <f t="shared" si="104"/>
        <v>3013FR</v>
      </c>
    </row>
    <row r="952" spans="1:22">
      <c r="A952" t="s">
        <v>3857</v>
      </c>
      <c r="B952" t="s">
        <v>3858</v>
      </c>
      <c r="C952" t="s">
        <v>3876</v>
      </c>
      <c r="D952" t="s">
        <v>3877</v>
      </c>
      <c r="E952" t="s">
        <v>3872</v>
      </c>
      <c r="F952" t="s">
        <v>27</v>
      </c>
      <c r="G952">
        <v>1</v>
      </c>
      <c r="H952" t="s">
        <v>3878</v>
      </c>
      <c r="I952" t="s">
        <v>3879</v>
      </c>
      <c r="J952" t="s">
        <v>3880</v>
      </c>
      <c r="K952" t="s">
        <v>3879</v>
      </c>
      <c r="L952" t="s">
        <v>198</v>
      </c>
      <c r="M952" s="1" t="str">
        <f t="shared" si="98"/>
        <v>07H139</v>
      </c>
      <c r="N952" s="1" t="str">
        <f t="shared" si="99"/>
        <v>C/O</v>
      </c>
      <c r="O952" s="1" t="str">
        <f t="shared" si="100"/>
        <v>Axle Assembly Rear</v>
      </c>
      <c r="P952" s="1" t="str">
        <f t="shared" si="101"/>
        <v>AZX0</v>
      </c>
      <c r="Q952" s="2" t="str">
        <f t="shared" si="102"/>
        <v>AZX0Axle Assembly Rear</v>
      </c>
      <c r="R952" s="2" t="str">
        <f>New_Xref[[#This Row],[Serial Prefix]]&amp;IF(New_Xref[[#This Row],[Func Loc]]&lt;&gt;"",New_Xref[[#This Row],[Func Loc]],"NO MATCH")</f>
        <v>AZX0FDRV .AXAR</v>
      </c>
      <c r="S952" s="3" t="str">
        <f t="shared" si="103"/>
        <v>AZX01070702FAxle Assembly Rear</v>
      </c>
      <c r="T952" s="3" t="s">
        <v>566</v>
      </c>
      <c r="U952" s="3" t="s">
        <v>317</v>
      </c>
      <c r="V952" t="str">
        <f t="shared" si="104"/>
        <v>3013RE</v>
      </c>
    </row>
    <row r="953" spans="1:22">
      <c r="A953" t="s">
        <v>3857</v>
      </c>
      <c r="B953" t="s">
        <v>3858</v>
      </c>
      <c r="H953" t="s">
        <v>3881</v>
      </c>
      <c r="I953" t="s">
        <v>3882</v>
      </c>
      <c r="J953" t="s">
        <v>3883</v>
      </c>
      <c r="K953" t="s">
        <v>3882</v>
      </c>
      <c r="L953" t="s">
        <v>72</v>
      </c>
      <c r="M953" s="1" t="str">
        <f t="shared" si="98"/>
        <v>07H139</v>
      </c>
      <c r="N953" s="1" t="str">
        <f t="shared" si="99"/>
        <v>C/O</v>
      </c>
      <c r="O953" s="1" t="str">
        <f t="shared" si="100"/>
        <v>Transmission</v>
      </c>
      <c r="P953" s="1" t="str">
        <f t="shared" si="101"/>
        <v>AZX0</v>
      </c>
      <c r="Q953" s="2" t="str">
        <f t="shared" si="102"/>
        <v>AZX0Transmission</v>
      </c>
      <c r="R953" s="2" t="str">
        <f>New_Xref[[#This Row],[Serial Prefix]]&amp;IF(New_Xref[[#This Row],[Func Loc]]&lt;&gt;"",New_Xref[[#This Row],[Func Loc]],"NO MATCH")</f>
        <v>AZX0TRAN .TRAN</v>
      </c>
      <c r="S953" s="3" t="str">
        <f t="shared" si="103"/>
        <v>AZX0Transmission</v>
      </c>
      <c r="T953" s="3" t="s">
        <v>73</v>
      </c>
      <c r="U953" s="3" t="s">
        <v>34</v>
      </c>
      <c r="V953" t="str">
        <f t="shared" si="104"/>
        <v>303000</v>
      </c>
    </row>
    <row r="954" spans="1:22">
      <c r="A954" t="s">
        <v>3857</v>
      </c>
      <c r="B954" t="s">
        <v>3863</v>
      </c>
      <c r="C954" t="s">
        <v>3884</v>
      </c>
      <c r="D954" t="s">
        <v>3885</v>
      </c>
      <c r="E954" t="s">
        <v>3886</v>
      </c>
      <c r="F954" t="s">
        <v>27</v>
      </c>
      <c r="G954">
        <v>1</v>
      </c>
      <c r="H954" t="s">
        <v>3887</v>
      </c>
      <c r="I954" t="s">
        <v>3888</v>
      </c>
      <c r="J954" t="s">
        <v>3889</v>
      </c>
      <c r="K954" t="s">
        <v>3888</v>
      </c>
      <c r="L954" t="s">
        <v>83</v>
      </c>
      <c r="M954" s="1" t="str">
        <f t="shared" si="98"/>
        <v>07H893</v>
      </c>
      <c r="N954" s="1" t="str">
        <f t="shared" si="99"/>
        <v>C/O</v>
      </c>
      <c r="O954" s="1" t="str">
        <f t="shared" si="100"/>
        <v>Torque Converter</v>
      </c>
      <c r="P954" s="1" t="str">
        <f t="shared" si="101"/>
        <v>ADZ0</v>
      </c>
      <c r="Q954" s="2" t="str">
        <f t="shared" si="102"/>
        <v>ADZ0Torque Converter</v>
      </c>
      <c r="R954" s="2" t="str">
        <f>New_Xref[[#This Row],[Serial Prefix]]&amp;IF(New_Xref[[#This Row],[Func Loc]]&lt;&gt;"",New_Xref[[#This Row],[Func Loc]],"NO MATCH")</f>
        <v>ADZ0NO MATCH</v>
      </c>
      <c r="S954" s="3" t="str">
        <f t="shared" si="103"/>
        <v>ADZ01555294XTorque Converter</v>
      </c>
      <c r="T954" s="3" t="s">
        <v>305</v>
      </c>
      <c r="U954" s="3" t="s">
        <v>34</v>
      </c>
      <c r="V954" t="str">
        <f t="shared" si="104"/>
        <v>310100</v>
      </c>
    </row>
    <row r="955" spans="1:22">
      <c r="A955" t="s">
        <v>3857</v>
      </c>
      <c r="B955" t="s">
        <v>3858</v>
      </c>
      <c r="C955" t="s">
        <v>667</v>
      </c>
      <c r="D955" t="s">
        <v>668</v>
      </c>
      <c r="E955" t="s">
        <v>669</v>
      </c>
      <c r="F955" t="s">
        <v>125</v>
      </c>
      <c r="G955">
        <v>1</v>
      </c>
      <c r="H955" t="s">
        <v>3890</v>
      </c>
      <c r="I955" t="s">
        <v>3891</v>
      </c>
      <c r="J955" t="s">
        <v>3892</v>
      </c>
      <c r="K955" t="s">
        <v>3893</v>
      </c>
      <c r="L955" t="s">
        <v>83</v>
      </c>
      <c r="M955" s="1" t="str">
        <f t="shared" si="98"/>
        <v>07H139</v>
      </c>
      <c r="N955" s="1" t="str">
        <f t="shared" si="99"/>
        <v>C/O</v>
      </c>
      <c r="O955" s="1" t="str">
        <f t="shared" si="100"/>
        <v>Driveshaft Centre</v>
      </c>
      <c r="P955" s="1" t="str">
        <f t="shared" si="101"/>
        <v>AZX0</v>
      </c>
      <c r="Q955" s="2" t="str">
        <f t="shared" si="102"/>
        <v>AZX0Driveshaft Centre</v>
      </c>
      <c r="R955" s="2" t="str">
        <f>New_Xref[[#This Row],[Serial Prefix]]&amp;IF(New_Xref[[#This Row],[Func Loc]]&lt;&gt;"",New_Xref[[#This Row],[Func Loc]],"NO MATCH")</f>
        <v>AZX0NO MATCH</v>
      </c>
      <c r="S955" s="3" t="str">
        <f t="shared" si="103"/>
        <v>AZX01681916Driveshaft Centre</v>
      </c>
      <c r="T955" s="3" t="s">
        <v>674</v>
      </c>
      <c r="U955" s="3" t="s">
        <v>34</v>
      </c>
      <c r="V955" t="str">
        <f t="shared" si="104"/>
        <v>325300</v>
      </c>
    </row>
    <row r="956" spans="1:22">
      <c r="A956" t="s">
        <v>3857</v>
      </c>
      <c r="B956" t="s">
        <v>3858</v>
      </c>
      <c r="H956" t="s">
        <v>3894</v>
      </c>
      <c r="I956" t="s">
        <v>3895</v>
      </c>
      <c r="J956" t="s">
        <v>3896</v>
      </c>
      <c r="K956" t="s">
        <v>3895</v>
      </c>
      <c r="L956" t="s">
        <v>767</v>
      </c>
      <c r="M956" s="1" t="str">
        <f t="shared" si="98"/>
        <v>07H139</v>
      </c>
      <c r="N956" s="1" t="str">
        <f t="shared" si="99"/>
        <v>C/O</v>
      </c>
      <c r="O956" s="1" t="str">
        <f t="shared" si="100"/>
        <v>Steering Cylinder LH</v>
      </c>
      <c r="P956" s="1" t="str">
        <f t="shared" si="101"/>
        <v>AZX0</v>
      </c>
      <c r="Q956" s="2" t="str">
        <f t="shared" si="102"/>
        <v>AZX0Steering Cylinder LH</v>
      </c>
      <c r="R956" s="2" t="str">
        <f>New_Xref[[#This Row],[Serial Prefix]]&amp;IF(New_Xref[[#This Row],[Func Loc]]&lt;&gt;"",New_Xref[[#This Row],[Func Loc]],"NO MATCH")</f>
        <v>AZX0STRG .CYLI.SC01</v>
      </c>
      <c r="S956" s="3" t="str">
        <f t="shared" si="103"/>
        <v>AZX0Steering Cylinder LH</v>
      </c>
      <c r="T956" s="3" t="s">
        <v>107</v>
      </c>
      <c r="U956" s="3" t="s">
        <v>108</v>
      </c>
      <c r="V956" t="str">
        <f t="shared" si="104"/>
        <v>4303LT</v>
      </c>
    </row>
    <row r="957" spans="1:22">
      <c r="A957" t="s">
        <v>3857</v>
      </c>
      <c r="B957" t="s">
        <v>3858</v>
      </c>
      <c r="H957" t="s">
        <v>3894</v>
      </c>
      <c r="I957" t="s">
        <v>3897</v>
      </c>
      <c r="J957" t="s">
        <v>3898</v>
      </c>
      <c r="K957" t="s">
        <v>3897</v>
      </c>
      <c r="L957" t="s">
        <v>770</v>
      </c>
      <c r="M957" s="1" t="str">
        <f t="shared" si="98"/>
        <v>07H139</v>
      </c>
      <c r="N957" s="1" t="str">
        <f t="shared" si="99"/>
        <v>C/O</v>
      </c>
      <c r="O957" s="1" t="str">
        <f t="shared" si="100"/>
        <v>Steering Cylinder RH</v>
      </c>
      <c r="P957" s="1" t="str">
        <f t="shared" si="101"/>
        <v>AZX0</v>
      </c>
      <c r="Q957" s="2" t="str">
        <f t="shared" si="102"/>
        <v>AZX0Steering Cylinder RH</v>
      </c>
      <c r="R957" s="2" t="str">
        <f>New_Xref[[#This Row],[Serial Prefix]]&amp;IF(New_Xref[[#This Row],[Func Loc]]&lt;&gt;"",New_Xref[[#This Row],[Func Loc]],"NO MATCH")</f>
        <v>AZX0STRG .CYLI.SC02</v>
      </c>
      <c r="S957" s="3" t="str">
        <f t="shared" si="103"/>
        <v>AZX0Steering Cylinder RH</v>
      </c>
      <c r="T957" s="3" t="s">
        <v>107</v>
      </c>
      <c r="U957" s="3" t="s">
        <v>115</v>
      </c>
      <c r="V957" t="str">
        <f t="shared" si="104"/>
        <v>4303RI</v>
      </c>
    </row>
    <row r="958" spans="1:22">
      <c r="A958" t="s">
        <v>3857</v>
      </c>
      <c r="B958" t="s">
        <v>3858</v>
      </c>
      <c r="C958" t="s">
        <v>601</v>
      </c>
      <c r="D958" t="s">
        <v>602</v>
      </c>
      <c r="E958" t="s">
        <v>603</v>
      </c>
      <c r="F958" t="s">
        <v>27</v>
      </c>
      <c r="G958">
        <v>1</v>
      </c>
      <c r="H958" t="s">
        <v>3899</v>
      </c>
      <c r="I958" t="s">
        <v>3900</v>
      </c>
      <c r="J958" t="s">
        <v>3901</v>
      </c>
      <c r="K958" t="s">
        <v>3900</v>
      </c>
      <c r="L958" t="s">
        <v>83</v>
      </c>
      <c r="M958" s="1" t="str">
        <f t="shared" si="98"/>
        <v>07H139</v>
      </c>
      <c r="N958" s="1" t="str">
        <f t="shared" si="99"/>
        <v>C/O</v>
      </c>
      <c r="O958" s="1" t="str">
        <f t="shared" si="100"/>
        <v>Steering Pump</v>
      </c>
      <c r="P958" s="1" t="str">
        <f t="shared" si="101"/>
        <v>AZX0</v>
      </c>
      <c r="Q958" s="2" t="str">
        <f t="shared" si="102"/>
        <v>AZX0Steering Pump</v>
      </c>
      <c r="R958" s="2" t="str">
        <f>New_Xref[[#This Row],[Serial Prefix]]&amp;IF(New_Xref[[#This Row],[Func Loc]]&lt;&gt;"",New_Xref[[#This Row],[Func Loc]],"NO MATCH")</f>
        <v>AZX0NO MATCH</v>
      </c>
      <c r="S958" s="3" t="str">
        <f t="shared" si="103"/>
        <v>AZX010R3808Steering Pump</v>
      </c>
      <c r="T958" s="3" t="s">
        <v>342</v>
      </c>
      <c r="U958" s="3" t="s">
        <v>34</v>
      </c>
      <c r="V958" t="str">
        <f t="shared" si="104"/>
        <v>430600</v>
      </c>
    </row>
    <row r="959" spans="1:22">
      <c r="A959" t="s">
        <v>3857</v>
      </c>
      <c r="B959" t="s">
        <v>3858</v>
      </c>
      <c r="C959" t="s">
        <v>3902</v>
      </c>
      <c r="D959" t="s">
        <v>3903</v>
      </c>
      <c r="E959" t="s">
        <v>3904</v>
      </c>
      <c r="F959" t="s">
        <v>27</v>
      </c>
      <c r="G959">
        <v>1</v>
      </c>
      <c r="H959" t="s">
        <v>3905</v>
      </c>
      <c r="I959" t="s">
        <v>3906</v>
      </c>
      <c r="J959" t="s">
        <v>3907</v>
      </c>
      <c r="K959" t="s">
        <v>3906</v>
      </c>
      <c r="L959" t="s">
        <v>2453</v>
      </c>
      <c r="M959" s="1" t="str">
        <f t="shared" si="98"/>
        <v>07H139</v>
      </c>
      <c r="N959" s="1" t="str">
        <f t="shared" si="99"/>
        <v>C/O</v>
      </c>
      <c r="O959" s="1" t="str">
        <f t="shared" si="100"/>
        <v>Pump Variable Displacement</v>
      </c>
      <c r="P959" s="1" t="str">
        <f t="shared" si="101"/>
        <v>AZX0</v>
      </c>
      <c r="Q959" s="2" t="str">
        <f t="shared" si="102"/>
        <v>AZX0Pump Variable Displacement</v>
      </c>
      <c r="R959" s="2" t="str">
        <f>New_Xref[[#This Row],[Serial Prefix]]&amp;IF(New_Xref[[#This Row],[Func Loc]]&lt;&gt;"",New_Xref[[#This Row],[Func Loc]],"NO MATCH")</f>
        <v>AZX0MYHD .PUMP.HP01</v>
      </c>
      <c r="S959" s="3" t="str">
        <f t="shared" si="103"/>
        <v>AZX010R3807Pump Variable Displacement</v>
      </c>
      <c r="T959" s="3" t="s">
        <v>220</v>
      </c>
      <c r="U959" s="3" t="s">
        <v>34</v>
      </c>
      <c r="V959" t="str">
        <f t="shared" si="104"/>
        <v>507000</v>
      </c>
    </row>
    <row r="960" spans="1:22">
      <c r="A960" t="s">
        <v>3857</v>
      </c>
      <c r="B960" t="s">
        <v>3858</v>
      </c>
      <c r="H960" t="s">
        <v>3908</v>
      </c>
      <c r="I960" t="s">
        <v>3909</v>
      </c>
      <c r="J960" t="s">
        <v>3910</v>
      </c>
      <c r="K960" t="s">
        <v>3909</v>
      </c>
      <c r="L960" t="s">
        <v>633</v>
      </c>
      <c r="M960" s="1" t="str">
        <f t="shared" si="98"/>
        <v>07H139</v>
      </c>
      <c r="N960" s="1" t="str">
        <f t="shared" si="99"/>
        <v>C/O</v>
      </c>
      <c r="O960" s="1" t="str">
        <f t="shared" si="100"/>
        <v>Lift Cylinder RH</v>
      </c>
      <c r="P960" s="1" t="str">
        <f t="shared" si="101"/>
        <v>AZX0</v>
      </c>
      <c r="Q960" s="2" t="str">
        <f t="shared" si="102"/>
        <v>AZX0Lift Cylinder RH</v>
      </c>
      <c r="R960" s="2" t="str">
        <f>New_Xref[[#This Row],[Serial Prefix]]&amp;IF(New_Xref[[#This Row],[Func Loc]]&lt;&gt;"",New_Xref[[#This Row],[Func Loc]],"NO MATCH")</f>
        <v>AZX0MYHD .CYLI.LIFR</v>
      </c>
      <c r="S960" s="3" t="str">
        <f t="shared" si="103"/>
        <v>AZX0Lift Cylinder RH</v>
      </c>
      <c r="T960" s="3" t="s">
        <v>130</v>
      </c>
      <c r="U960" s="3" t="s">
        <v>115</v>
      </c>
      <c r="V960" t="str">
        <f t="shared" si="104"/>
        <v>5102RI</v>
      </c>
    </row>
    <row r="961" spans="1:22">
      <c r="A961" t="s">
        <v>3857</v>
      </c>
      <c r="B961" t="s">
        <v>3858</v>
      </c>
      <c r="H961" t="s">
        <v>3911</v>
      </c>
      <c r="I961" t="s">
        <v>3912</v>
      </c>
      <c r="J961" t="s">
        <v>3913</v>
      </c>
      <c r="K961" t="s">
        <v>3912</v>
      </c>
      <c r="L961" t="s">
        <v>626</v>
      </c>
      <c r="M961" s="1" t="str">
        <f t="shared" si="98"/>
        <v>07H139</v>
      </c>
      <c r="N961" s="1" t="str">
        <f t="shared" si="99"/>
        <v>C/O</v>
      </c>
      <c r="O961" s="1" t="str">
        <f t="shared" si="100"/>
        <v>Lift Cylinder LH</v>
      </c>
      <c r="P961" s="1" t="str">
        <f t="shared" si="101"/>
        <v>AZX0</v>
      </c>
      <c r="Q961" s="2" t="str">
        <f t="shared" si="102"/>
        <v>AZX0Lift Cylinder LH</v>
      </c>
      <c r="R961" s="2" t="str">
        <f>New_Xref[[#This Row],[Serial Prefix]]&amp;IF(New_Xref[[#This Row],[Func Loc]]&lt;&gt;"",New_Xref[[#This Row],[Func Loc]],"NO MATCH")</f>
        <v>AZX0MYHD .CYLI.LIFL</v>
      </c>
      <c r="S961" s="3" t="str">
        <f t="shared" si="103"/>
        <v>AZX0Lift Cylinder LH</v>
      </c>
      <c r="T961" s="3" t="s">
        <v>130</v>
      </c>
      <c r="U961" s="3" t="s">
        <v>108</v>
      </c>
      <c r="V961" t="str">
        <f t="shared" si="104"/>
        <v>5102LT</v>
      </c>
    </row>
    <row r="962" spans="1:22">
      <c r="A962" t="s">
        <v>3857</v>
      </c>
      <c r="B962" t="s">
        <v>3858</v>
      </c>
      <c r="H962" t="s">
        <v>3914</v>
      </c>
      <c r="I962" t="s">
        <v>3915</v>
      </c>
      <c r="J962" t="s">
        <v>3916</v>
      </c>
      <c r="K962" t="s">
        <v>3915</v>
      </c>
      <c r="L962" t="s">
        <v>707</v>
      </c>
      <c r="M962" s="1" t="str">
        <f t="shared" si="98"/>
        <v>07H139</v>
      </c>
      <c r="N962" s="1" t="str">
        <f t="shared" si="99"/>
        <v>C/O</v>
      </c>
      <c r="O962" s="1" t="str">
        <f t="shared" si="100"/>
        <v>Tilt Cylinder</v>
      </c>
      <c r="P962" s="1" t="str">
        <f t="shared" si="101"/>
        <v>AZX0</v>
      </c>
      <c r="Q962" s="2" t="str">
        <f t="shared" si="102"/>
        <v>AZX0Tilt Cylinder</v>
      </c>
      <c r="R962" s="2" t="str">
        <f>New_Xref[[#This Row],[Serial Prefix]]&amp;IF(New_Xref[[#This Row],[Func Loc]]&lt;&gt;"",New_Xref[[#This Row],[Func Loc]],"NO MATCH")</f>
        <v>AZX0MYHD .CYLI.TILT</v>
      </c>
      <c r="S962" s="3" t="str">
        <f t="shared" si="103"/>
        <v>AZX0Tilt Cylinder</v>
      </c>
      <c r="T962" s="3" t="s">
        <v>638</v>
      </c>
      <c r="U962" s="3" t="s">
        <v>34</v>
      </c>
      <c r="V962" t="str">
        <f t="shared" si="104"/>
        <v>510400</v>
      </c>
    </row>
    <row r="963" spans="1:22">
      <c r="A963" t="s">
        <v>3917</v>
      </c>
      <c r="B963" t="s">
        <v>3918</v>
      </c>
      <c r="C963" t="s">
        <v>3575</v>
      </c>
      <c r="D963" t="s">
        <v>3576</v>
      </c>
      <c r="E963" t="s">
        <v>3577</v>
      </c>
      <c r="F963" t="s">
        <v>27</v>
      </c>
      <c r="G963">
        <v>1</v>
      </c>
      <c r="H963" t="s">
        <v>3919</v>
      </c>
      <c r="I963" t="s">
        <v>3920</v>
      </c>
      <c r="J963" t="s">
        <v>3921</v>
      </c>
      <c r="K963" t="s">
        <v>3922</v>
      </c>
      <c r="L963" t="s">
        <v>32</v>
      </c>
      <c r="M963" s="1" t="str">
        <f t="shared" ref="M963:M1026" si="105">LEFT(K963,FIND(" ",K963,1)-1)</f>
        <v>07H313</v>
      </c>
      <c r="N963" s="1" t="str">
        <f t="shared" ref="N963:N1026" si="106">MID(K963,LEN(M963)+2,FIND(" ",K963,LEN(M963)+2)-LEN(M963)-2)</f>
        <v>C/O</v>
      </c>
      <c r="O963" s="1" t="str">
        <f t="shared" ref="O963:O1026" si="107">MID(K963,FIND(N963,K963,1)+LEN(N963)+1, 150)</f>
        <v>Engine</v>
      </c>
      <c r="P963" s="1" t="str">
        <f t="shared" ref="P963:P1026" si="108">LEFT(B963,4)</f>
        <v>8800</v>
      </c>
      <c r="Q963" s="2" t="str">
        <f t="shared" ref="Q963:Q1026" si="109">P963&amp;O963</f>
        <v>8800Engine</v>
      </c>
      <c r="R963" s="2" t="str">
        <f>New_Xref[[#This Row],[Serial Prefix]]&amp;IF(New_Xref[[#This Row],[Func Loc]]&lt;&gt;"",New_Xref[[#This Row],[Func Loc]],"NO MATCH")</f>
        <v>8800ENGD</v>
      </c>
      <c r="S963" s="3" t="str">
        <f t="shared" ref="S963:S1026" si="110">P963&amp;D963&amp;O963</f>
        <v>88003331169XEngine</v>
      </c>
      <c r="T963" s="3" t="s">
        <v>33</v>
      </c>
      <c r="U963" s="3" t="s">
        <v>34</v>
      </c>
      <c r="V963" t="str">
        <f t="shared" ref="V963:V1026" si="111">LEFT(T963,FIND(" -",T963,1)-1)&amp;LEFT(U963,FIND(" -",U963,1)-1)</f>
        <v>100000</v>
      </c>
    </row>
    <row r="964" spans="1:22">
      <c r="A964" t="s">
        <v>3917</v>
      </c>
      <c r="B964" t="s">
        <v>3923</v>
      </c>
      <c r="C964" t="s">
        <v>3924</v>
      </c>
      <c r="D964" t="s">
        <v>3925</v>
      </c>
      <c r="E964" t="s">
        <v>3926</v>
      </c>
      <c r="F964" t="s">
        <v>27</v>
      </c>
      <c r="G964">
        <v>1</v>
      </c>
      <c r="H964" t="s">
        <v>3927</v>
      </c>
      <c r="I964" t="s">
        <v>3928</v>
      </c>
      <c r="J964" t="s">
        <v>3929</v>
      </c>
      <c r="K964" t="s">
        <v>3930</v>
      </c>
      <c r="L964" t="s">
        <v>32</v>
      </c>
      <c r="M964" s="1" t="str">
        <f t="shared" si="105"/>
        <v>07H117</v>
      </c>
      <c r="N964" s="1" t="str">
        <f t="shared" si="106"/>
        <v>C/O</v>
      </c>
      <c r="O964" s="1" t="str">
        <f t="shared" si="107"/>
        <v>Engine</v>
      </c>
      <c r="P964" s="1" t="str">
        <f t="shared" si="108"/>
        <v>H4C0</v>
      </c>
      <c r="Q964" s="2" t="str">
        <f t="shared" si="109"/>
        <v>H4C0Engine</v>
      </c>
      <c r="R964" s="2" t="str">
        <f>New_Xref[[#This Row],[Serial Prefix]]&amp;IF(New_Xref[[#This Row],[Func Loc]]&lt;&gt;"",New_Xref[[#This Row],[Func Loc]],"NO MATCH")</f>
        <v>H4C0ENGD</v>
      </c>
      <c r="S964" s="3" t="str">
        <f t="shared" si="110"/>
        <v>H4C02464283XEngine</v>
      </c>
      <c r="T964" s="3" t="s">
        <v>33</v>
      </c>
      <c r="U964" s="3" t="s">
        <v>34</v>
      </c>
      <c r="V964" t="str">
        <f t="shared" si="111"/>
        <v>100000</v>
      </c>
    </row>
    <row r="965" spans="1:22">
      <c r="A965" t="s">
        <v>3917</v>
      </c>
      <c r="B965" t="s">
        <v>3931</v>
      </c>
      <c r="C965" t="s">
        <v>3583</v>
      </c>
      <c r="D965" t="s">
        <v>3584</v>
      </c>
      <c r="E965" t="s">
        <v>3585</v>
      </c>
      <c r="F965" t="s">
        <v>27</v>
      </c>
      <c r="G965">
        <v>1</v>
      </c>
      <c r="H965" t="s">
        <v>3932</v>
      </c>
      <c r="I965" t="s">
        <v>3933</v>
      </c>
      <c r="J965" t="s">
        <v>3934</v>
      </c>
      <c r="K965" t="s">
        <v>3935</v>
      </c>
      <c r="L965" t="s">
        <v>32</v>
      </c>
      <c r="M965" s="1" t="str">
        <f t="shared" si="105"/>
        <v>07H363</v>
      </c>
      <c r="N965" s="1" t="str">
        <f t="shared" si="106"/>
        <v>C/O</v>
      </c>
      <c r="O965" s="1" t="str">
        <f t="shared" si="107"/>
        <v>Engine</v>
      </c>
      <c r="P965" s="1" t="str">
        <f t="shared" si="108"/>
        <v>RM20</v>
      </c>
      <c r="Q965" s="2" t="str">
        <f t="shared" si="109"/>
        <v>RM20Engine</v>
      </c>
      <c r="R965" s="2" t="str">
        <f>New_Xref[[#This Row],[Serial Prefix]]&amp;IF(New_Xref[[#This Row],[Func Loc]]&lt;&gt;"",New_Xref[[#This Row],[Func Loc]],"NO MATCH")</f>
        <v>RM20ENGD</v>
      </c>
      <c r="S965" s="3" t="str">
        <f t="shared" si="110"/>
        <v>RM2020R4346Engine</v>
      </c>
      <c r="T965" s="3" t="s">
        <v>33</v>
      </c>
      <c r="U965" s="3" t="s">
        <v>34</v>
      </c>
      <c r="V965" t="str">
        <f t="shared" si="111"/>
        <v>100000</v>
      </c>
    </row>
    <row r="966" spans="1:22">
      <c r="A966" t="s">
        <v>3917</v>
      </c>
      <c r="B966" t="s">
        <v>3936</v>
      </c>
      <c r="C966" t="s">
        <v>3583</v>
      </c>
      <c r="D966" t="s">
        <v>3584</v>
      </c>
      <c r="E966" t="s">
        <v>3585</v>
      </c>
      <c r="F966" t="s">
        <v>27</v>
      </c>
      <c r="G966">
        <v>1</v>
      </c>
      <c r="H966" t="s">
        <v>3937</v>
      </c>
      <c r="I966" t="s">
        <v>3938</v>
      </c>
      <c r="J966" t="s">
        <v>3939</v>
      </c>
      <c r="K966" t="s">
        <v>3940</v>
      </c>
      <c r="L966" t="s">
        <v>32</v>
      </c>
      <c r="M966" s="1" t="str">
        <f t="shared" si="105"/>
        <v>07B408</v>
      </c>
      <c r="N966" s="1" t="str">
        <f t="shared" si="106"/>
        <v>C/O</v>
      </c>
      <c r="O966" s="1" t="str">
        <f t="shared" si="107"/>
        <v>Engine</v>
      </c>
      <c r="P966" s="1" t="str">
        <f t="shared" si="108"/>
        <v>RM50</v>
      </c>
      <c r="Q966" s="2" t="str">
        <f t="shared" si="109"/>
        <v>RM50Engine</v>
      </c>
      <c r="R966" s="2" t="str">
        <f>New_Xref[[#This Row],[Serial Prefix]]&amp;IF(New_Xref[[#This Row],[Func Loc]]&lt;&gt;"",New_Xref[[#This Row],[Func Loc]],"NO MATCH")</f>
        <v>RM50ENGD</v>
      </c>
      <c r="S966" s="3" t="str">
        <f t="shared" si="110"/>
        <v>RM5020R4346Engine</v>
      </c>
      <c r="T966" s="3" t="s">
        <v>33</v>
      </c>
      <c r="U966" s="3" t="s">
        <v>34</v>
      </c>
      <c r="V966" t="str">
        <f t="shared" si="111"/>
        <v>100000</v>
      </c>
    </row>
    <row r="967" spans="1:22">
      <c r="A967" t="s">
        <v>3917</v>
      </c>
      <c r="B967" t="s">
        <v>3941</v>
      </c>
      <c r="C967" t="s">
        <v>3575</v>
      </c>
      <c r="D967" t="s">
        <v>3576</v>
      </c>
      <c r="E967" t="s">
        <v>3577</v>
      </c>
      <c r="F967" t="s">
        <v>27</v>
      </c>
      <c r="G967">
        <v>1</v>
      </c>
      <c r="H967" t="s">
        <v>3919</v>
      </c>
      <c r="I967" t="s">
        <v>3942</v>
      </c>
      <c r="J967" t="s">
        <v>3943</v>
      </c>
      <c r="K967" t="s">
        <v>3944</v>
      </c>
      <c r="L967" t="s">
        <v>32</v>
      </c>
      <c r="M967" s="1" t="str">
        <f t="shared" si="105"/>
        <v>07H167</v>
      </c>
      <c r="N967" s="1" t="str">
        <f t="shared" si="106"/>
        <v>C/O</v>
      </c>
      <c r="O967" s="1" t="str">
        <f t="shared" si="107"/>
        <v>Engine</v>
      </c>
      <c r="P967" s="1" t="str">
        <f t="shared" si="108"/>
        <v>ZMX0</v>
      </c>
      <c r="Q967" s="2" t="str">
        <f t="shared" si="109"/>
        <v>ZMX0Engine</v>
      </c>
      <c r="R967" s="2" t="str">
        <f>New_Xref[[#This Row],[Serial Prefix]]&amp;IF(New_Xref[[#This Row],[Func Loc]]&lt;&gt;"",New_Xref[[#This Row],[Func Loc]],"NO MATCH")</f>
        <v>ZMX0ENGD</v>
      </c>
      <c r="S967" s="3" t="str">
        <f t="shared" si="110"/>
        <v>ZMX03331169XEngine</v>
      </c>
      <c r="T967" s="3" t="s">
        <v>33</v>
      </c>
      <c r="U967" s="3" t="s">
        <v>34</v>
      </c>
      <c r="V967" t="str">
        <f t="shared" si="111"/>
        <v>100000</v>
      </c>
    </row>
    <row r="968" spans="1:22">
      <c r="A968" t="s">
        <v>3917</v>
      </c>
      <c r="B968" t="s">
        <v>3945</v>
      </c>
      <c r="C968" t="s">
        <v>3583</v>
      </c>
      <c r="D968" t="s">
        <v>3584</v>
      </c>
      <c r="E968" t="s">
        <v>3585</v>
      </c>
      <c r="F968" t="s">
        <v>27</v>
      </c>
      <c r="G968">
        <v>1</v>
      </c>
      <c r="H968" t="s">
        <v>3919</v>
      </c>
      <c r="I968" t="s">
        <v>3946</v>
      </c>
      <c r="J968" t="s">
        <v>3947</v>
      </c>
      <c r="K968" t="s">
        <v>3948</v>
      </c>
      <c r="L968" t="s">
        <v>32</v>
      </c>
      <c r="M968" s="1" t="str">
        <f t="shared" si="105"/>
        <v>07R191</v>
      </c>
      <c r="N968" s="1" t="str">
        <f t="shared" si="106"/>
        <v>C/O</v>
      </c>
      <c r="O968" s="1" t="str">
        <f t="shared" si="107"/>
        <v>Engine</v>
      </c>
      <c r="P968" s="1" t="str">
        <f t="shared" si="108"/>
        <v>ZMX0</v>
      </c>
      <c r="Q968" s="2" t="str">
        <f t="shared" si="109"/>
        <v>ZMX0Engine</v>
      </c>
      <c r="R968" s="2" t="str">
        <f>New_Xref[[#This Row],[Serial Prefix]]&amp;IF(New_Xref[[#This Row],[Func Loc]]&lt;&gt;"",New_Xref[[#This Row],[Func Loc]],"NO MATCH")</f>
        <v>ZMX0ENGD</v>
      </c>
      <c r="S968" s="3" t="str">
        <f t="shared" si="110"/>
        <v>ZMX020R4346Engine</v>
      </c>
      <c r="T968" s="3" t="s">
        <v>33</v>
      </c>
      <c r="U968" s="3" t="s">
        <v>34</v>
      </c>
      <c r="V968" t="str">
        <f t="shared" si="111"/>
        <v>100000</v>
      </c>
    </row>
    <row r="969" spans="1:22">
      <c r="A969" t="s">
        <v>3917</v>
      </c>
      <c r="B969" t="s">
        <v>3918</v>
      </c>
      <c r="C969" t="s">
        <v>537</v>
      </c>
      <c r="D969" t="s">
        <v>538</v>
      </c>
      <c r="E969" t="s">
        <v>263</v>
      </c>
      <c r="F969" t="s">
        <v>27</v>
      </c>
      <c r="G969">
        <v>1</v>
      </c>
      <c r="H969" t="s">
        <v>3949</v>
      </c>
      <c r="I969" t="s">
        <v>3920</v>
      </c>
      <c r="J969" t="s">
        <v>3950</v>
      </c>
      <c r="K969" t="s">
        <v>3951</v>
      </c>
      <c r="L969" t="s">
        <v>719</v>
      </c>
      <c r="M969" s="1" t="str">
        <f t="shared" si="105"/>
        <v>07H313</v>
      </c>
      <c r="N969" s="1" t="str">
        <f t="shared" si="106"/>
        <v>C/O</v>
      </c>
      <c r="O969" s="1" t="str">
        <f t="shared" si="107"/>
        <v>Turbocharger LH</v>
      </c>
      <c r="P969" s="1" t="str">
        <f t="shared" si="108"/>
        <v>8800</v>
      </c>
      <c r="Q969" s="2" t="str">
        <f t="shared" si="109"/>
        <v>8800Turbocharger LH</v>
      </c>
      <c r="R969" s="2" t="str">
        <f>New_Xref[[#This Row],[Serial Prefix]]&amp;IF(New_Xref[[#This Row],[Func Loc]]&lt;&gt;"",New_Xref[[#This Row],[Func Loc]],"NO MATCH")</f>
        <v>8800ENGD .TURB.TC01</v>
      </c>
      <c r="S969" s="3" t="str">
        <f t="shared" si="110"/>
        <v>880020R3692Turbocharger LH</v>
      </c>
      <c r="T969" s="3" t="s">
        <v>47</v>
      </c>
      <c r="U969" s="3" t="s">
        <v>108</v>
      </c>
      <c r="V969" t="str">
        <f t="shared" si="111"/>
        <v>1052LT</v>
      </c>
    </row>
    <row r="970" spans="1:22">
      <c r="A970" t="s">
        <v>3917</v>
      </c>
      <c r="B970" t="s">
        <v>3918</v>
      </c>
      <c r="C970" t="s">
        <v>532</v>
      </c>
      <c r="D970" t="s">
        <v>533</v>
      </c>
      <c r="E970" t="s">
        <v>263</v>
      </c>
      <c r="F970" t="s">
        <v>27</v>
      </c>
      <c r="G970">
        <v>1</v>
      </c>
      <c r="H970" t="s">
        <v>3952</v>
      </c>
      <c r="I970" t="s">
        <v>3920</v>
      </c>
      <c r="J970" t="s">
        <v>3953</v>
      </c>
      <c r="K970" t="s">
        <v>3954</v>
      </c>
      <c r="L970" t="s">
        <v>722</v>
      </c>
      <c r="M970" s="1" t="str">
        <f t="shared" si="105"/>
        <v>07H313</v>
      </c>
      <c r="N970" s="1" t="str">
        <f t="shared" si="106"/>
        <v>C/O</v>
      </c>
      <c r="O970" s="1" t="str">
        <f t="shared" si="107"/>
        <v>Turbocharger RH</v>
      </c>
      <c r="P970" s="1" t="str">
        <f t="shared" si="108"/>
        <v>8800</v>
      </c>
      <c r="Q970" s="2" t="str">
        <f t="shared" si="109"/>
        <v>8800Turbocharger RH</v>
      </c>
      <c r="R970" s="2" t="str">
        <f>New_Xref[[#This Row],[Serial Prefix]]&amp;IF(New_Xref[[#This Row],[Func Loc]]&lt;&gt;"",New_Xref[[#This Row],[Func Loc]],"NO MATCH")</f>
        <v>8800ENGD .TURB.TC02</v>
      </c>
      <c r="S970" s="3" t="str">
        <f t="shared" si="110"/>
        <v>880020R3687Turbocharger RH</v>
      </c>
      <c r="T970" s="3" t="s">
        <v>47</v>
      </c>
      <c r="U970" s="3" t="s">
        <v>115</v>
      </c>
      <c r="V970" t="str">
        <f t="shared" si="111"/>
        <v>1052RI</v>
      </c>
    </row>
    <row r="971" spans="1:22">
      <c r="A971" t="s">
        <v>3917</v>
      </c>
      <c r="B971" t="s">
        <v>3955</v>
      </c>
      <c r="C971" t="s">
        <v>3601</v>
      </c>
      <c r="D971" t="s">
        <v>3602</v>
      </c>
      <c r="E971" t="s">
        <v>263</v>
      </c>
      <c r="F971" t="s">
        <v>27</v>
      </c>
      <c r="G971">
        <v>1</v>
      </c>
      <c r="H971" t="s">
        <v>3956</v>
      </c>
      <c r="I971" t="s">
        <v>3957</v>
      </c>
      <c r="J971" t="s">
        <v>3958</v>
      </c>
      <c r="K971" t="s">
        <v>3959</v>
      </c>
      <c r="L971" t="s">
        <v>719</v>
      </c>
      <c r="M971" s="1" t="str">
        <f t="shared" si="105"/>
        <v>07H375</v>
      </c>
      <c r="N971" s="1" t="str">
        <f t="shared" si="106"/>
        <v>C/O</v>
      </c>
      <c r="O971" s="1" t="str">
        <f t="shared" si="107"/>
        <v>Turbocharger LH</v>
      </c>
      <c r="P971" s="1" t="str">
        <f t="shared" si="108"/>
        <v>H4C0</v>
      </c>
      <c r="Q971" s="2" t="str">
        <f t="shared" si="109"/>
        <v>H4C0Turbocharger LH</v>
      </c>
      <c r="R971" s="2" t="str">
        <f>New_Xref[[#This Row],[Serial Prefix]]&amp;IF(New_Xref[[#This Row],[Func Loc]]&lt;&gt;"",New_Xref[[#This Row],[Func Loc]],"NO MATCH")</f>
        <v>H4C0ENGD .TURB.TC01</v>
      </c>
      <c r="S971" s="3" t="str">
        <f t="shared" si="110"/>
        <v>H4C010R7295Turbocharger LH</v>
      </c>
      <c r="T971" s="3" t="s">
        <v>47</v>
      </c>
      <c r="U971" s="3" t="s">
        <v>108</v>
      </c>
      <c r="V971" t="str">
        <f t="shared" si="111"/>
        <v>1052LT</v>
      </c>
    </row>
    <row r="972" spans="1:22">
      <c r="A972" t="s">
        <v>3917</v>
      </c>
      <c r="B972" t="s">
        <v>3955</v>
      </c>
      <c r="C972" t="s">
        <v>3606</v>
      </c>
      <c r="D972" t="s">
        <v>3607</v>
      </c>
      <c r="E972" t="s">
        <v>263</v>
      </c>
      <c r="F972" t="s">
        <v>27</v>
      </c>
      <c r="G972">
        <v>1</v>
      </c>
      <c r="H972" t="s">
        <v>3960</v>
      </c>
      <c r="I972" t="s">
        <v>3957</v>
      </c>
      <c r="J972" t="s">
        <v>3961</v>
      </c>
      <c r="K972" t="s">
        <v>3962</v>
      </c>
      <c r="L972" t="s">
        <v>722</v>
      </c>
      <c r="M972" s="1" t="str">
        <f t="shared" si="105"/>
        <v>07H375</v>
      </c>
      <c r="N972" s="1" t="str">
        <f t="shared" si="106"/>
        <v>C/O</v>
      </c>
      <c r="O972" s="1" t="str">
        <f t="shared" si="107"/>
        <v>Turbocharger RH</v>
      </c>
      <c r="P972" s="1" t="str">
        <f t="shared" si="108"/>
        <v>H4C0</v>
      </c>
      <c r="Q972" s="2" t="str">
        <f t="shared" si="109"/>
        <v>H4C0Turbocharger RH</v>
      </c>
      <c r="R972" s="2" t="str">
        <f>New_Xref[[#This Row],[Serial Prefix]]&amp;IF(New_Xref[[#This Row],[Func Loc]]&lt;&gt;"",New_Xref[[#This Row],[Func Loc]],"NO MATCH")</f>
        <v>H4C0ENGD .TURB.TC02</v>
      </c>
      <c r="S972" s="3" t="str">
        <f t="shared" si="110"/>
        <v>H4C010R8956Turbocharger RH</v>
      </c>
      <c r="T972" s="3" t="s">
        <v>47</v>
      </c>
      <c r="U972" s="3" t="s">
        <v>115</v>
      </c>
      <c r="V972" t="str">
        <f t="shared" si="111"/>
        <v>1052RI</v>
      </c>
    </row>
    <row r="973" spans="1:22">
      <c r="A973" t="s">
        <v>3917</v>
      </c>
      <c r="B973" t="s">
        <v>3931</v>
      </c>
      <c r="C973" t="s">
        <v>532</v>
      </c>
      <c r="D973" t="s">
        <v>533</v>
      </c>
      <c r="E973" t="s">
        <v>263</v>
      </c>
      <c r="F973" t="s">
        <v>27</v>
      </c>
      <c r="G973">
        <v>1</v>
      </c>
      <c r="H973" t="s">
        <v>3963</v>
      </c>
      <c r="I973" t="s">
        <v>3933</v>
      </c>
      <c r="J973" t="s">
        <v>3964</v>
      </c>
      <c r="K973" t="s">
        <v>3965</v>
      </c>
      <c r="L973" t="s">
        <v>719</v>
      </c>
      <c r="M973" s="1" t="str">
        <f t="shared" si="105"/>
        <v>07H363</v>
      </c>
      <c r="N973" s="1" t="str">
        <f t="shared" si="106"/>
        <v>C/O</v>
      </c>
      <c r="O973" s="1" t="str">
        <f t="shared" si="107"/>
        <v>Turbocharger LH</v>
      </c>
      <c r="P973" s="1" t="str">
        <f t="shared" si="108"/>
        <v>RM20</v>
      </c>
      <c r="Q973" s="2" t="str">
        <f t="shared" si="109"/>
        <v>RM20Turbocharger LH</v>
      </c>
      <c r="R973" s="2" t="str">
        <f>New_Xref[[#This Row],[Serial Prefix]]&amp;IF(New_Xref[[#This Row],[Func Loc]]&lt;&gt;"",New_Xref[[#This Row],[Func Loc]],"NO MATCH")</f>
        <v>RM20ENGD .TURB.TC01</v>
      </c>
      <c r="S973" s="3" t="str">
        <f t="shared" si="110"/>
        <v>RM2020R3687Turbocharger LH</v>
      </c>
      <c r="T973" s="3" t="s">
        <v>47</v>
      </c>
      <c r="U973" s="3" t="s">
        <v>108</v>
      </c>
      <c r="V973" t="str">
        <f t="shared" si="111"/>
        <v>1052LT</v>
      </c>
    </row>
    <row r="974" spans="1:22">
      <c r="A974" t="s">
        <v>3917</v>
      </c>
      <c r="B974" t="s">
        <v>3931</v>
      </c>
      <c r="C974" t="s">
        <v>537</v>
      </c>
      <c r="D974" t="s">
        <v>538</v>
      </c>
      <c r="E974" t="s">
        <v>263</v>
      </c>
      <c r="F974" t="s">
        <v>27</v>
      </c>
      <c r="G974">
        <v>1</v>
      </c>
      <c r="H974" t="s">
        <v>3966</v>
      </c>
      <c r="I974" t="s">
        <v>3933</v>
      </c>
      <c r="J974" t="s">
        <v>3967</v>
      </c>
      <c r="K974" t="s">
        <v>3968</v>
      </c>
      <c r="L974" t="s">
        <v>722</v>
      </c>
      <c r="M974" s="1" t="str">
        <f t="shared" si="105"/>
        <v>07H363</v>
      </c>
      <c r="N974" s="1" t="str">
        <f t="shared" si="106"/>
        <v>C/O</v>
      </c>
      <c r="O974" s="1" t="str">
        <f t="shared" si="107"/>
        <v>Turbocharger RH</v>
      </c>
      <c r="P974" s="1" t="str">
        <f t="shared" si="108"/>
        <v>RM20</v>
      </c>
      <c r="Q974" s="2" t="str">
        <f t="shared" si="109"/>
        <v>RM20Turbocharger RH</v>
      </c>
      <c r="R974" s="2" t="str">
        <f>New_Xref[[#This Row],[Serial Prefix]]&amp;IF(New_Xref[[#This Row],[Func Loc]]&lt;&gt;"",New_Xref[[#This Row],[Func Loc]],"NO MATCH")</f>
        <v>RM20ENGD .TURB.TC02</v>
      </c>
      <c r="S974" s="3" t="str">
        <f t="shared" si="110"/>
        <v>RM2020R3692Turbocharger RH</v>
      </c>
      <c r="T974" s="3" t="s">
        <v>47</v>
      </c>
      <c r="U974" s="3" t="s">
        <v>115</v>
      </c>
      <c r="V974" t="str">
        <f t="shared" si="111"/>
        <v>1052RI</v>
      </c>
    </row>
    <row r="975" spans="1:22">
      <c r="A975" t="s">
        <v>3917</v>
      </c>
      <c r="B975" t="s">
        <v>3936</v>
      </c>
      <c r="C975" t="s">
        <v>532</v>
      </c>
      <c r="D975" t="s">
        <v>533</v>
      </c>
      <c r="E975" t="s">
        <v>263</v>
      </c>
      <c r="F975" t="s">
        <v>27</v>
      </c>
      <c r="G975">
        <v>1</v>
      </c>
      <c r="H975" t="s">
        <v>3969</v>
      </c>
      <c r="I975" t="s">
        <v>3938</v>
      </c>
      <c r="J975" t="s">
        <v>3970</v>
      </c>
      <c r="K975" t="s">
        <v>3971</v>
      </c>
      <c r="L975" t="s">
        <v>719</v>
      </c>
      <c r="M975" s="1" t="str">
        <f t="shared" si="105"/>
        <v>07B408</v>
      </c>
      <c r="N975" s="1" t="str">
        <f t="shared" si="106"/>
        <v>C/O</v>
      </c>
      <c r="O975" s="1" t="str">
        <f t="shared" si="107"/>
        <v>Turbocharger LH</v>
      </c>
      <c r="P975" s="1" t="str">
        <f t="shared" si="108"/>
        <v>RM50</v>
      </c>
      <c r="Q975" s="2" t="str">
        <f t="shared" si="109"/>
        <v>RM50Turbocharger LH</v>
      </c>
      <c r="R975" s="2" t="str">
        <f>New_Xref[[#This Row],[Serial Prefix]]&amp;IF(New_Xref[[#This Row],[Func Loc]]&lt;&gt;"",New_Xref[[#This Row],[Func Loc]],"NO MATCH")</f>
        <v>RM50ENGD .TURB.TC01</v>
      </c>
      <c r="S975" s="3" t="str">
        <f t="shared" si="110"/>
        <v>RM5020R3687Turbocharger LH</v>
      </c>
      <c r="T975" s="3" t="s">
        <v>47</v>
      </c>
      <c r="U975" s="3" t="s">
        <v>108</v>
      </c>
      <c r="V975" t="str">
        <f t="shared" si="111"/>
        <v>1052LT</v>
      </c>
    </row>
    <row r="976" spans="1:22">
      <c r="A976" t="s">
        <v>3917</v>
      </c>
      <c r="B976" t="s">
        <v>3936</v>
      </c>
      <c r="C976" t="s">
        <v>537</v>
      </c>
      <c r="D976" t="s">
        <v>538</v>
      </c>
      <c r="E976" t="s">
        <v>263</v>
      </c>
      <c r="F976" t="s">
        <v>27</v>
      </c>
      <c r="G976">
        <v>1</v>
      </c>
      <c r="H976" t="s">
        <v>3972</v>
      </c>
      <c r="I976" t="s">
        <v>3938</v>
      </c>
      <c r="J976" t="s">
        <v>3973</v>
      </c>
      <c r="K976" t="s">
        <v>3974</v>
      </c>
      <c r="L976" t="s">
        <v>722</v>
      </c>
      <c r="M976" s="1" t="str">
        <f t="shared" si="105"/>
        <v>07B408</v>
      </c>
      <c r="N976" s="1" t="str">
        <f t="shared" si="106"/>
        <v>C/O</v>
      </c>
      <c r="O976" s="1" t="str">
        <f t="shared" si="107"/>
        <v>Turbocharger RH</v>
      </c>
      <c r="P976" s="1" t="str">
        <f t="shared" si="108"/>
        <v>RM50</v>
      </c>
      <c r="Q976" s="2" t="str">
        <f t="shared" si="109"/>
        <v>RM50Turbocharger RH</v>
      </c>
      <c r="R976" s="2" t="str">
        <f>New_Xref[[#This Row],[Serial Prefix]]&amp;IF(New_Xref[[#This Row],[Func Loc]]&lt;&gt;"",New_Xref[[#This Row],[Func Loc]],"NO MATCH")</f>
        <v>RM50ENGD .TURB.TC02</v>
      </c>
      <c r="S976" s="3" t="str">
        <f t="shared" si="110"/>
        <v>RM5020R3692Turbocharger RH</v>
      </c>
      <c r="T976" s="3" t="s">
        <v>47</v>
      </c>
      <c r="U976" s="3" t="s">
        <v>115</v>
      </c>
      <c r="V976" t="str">
        <f t="shared" si="111"/>
        <v>1052RI</v>
      </c>
    </row>
    <row r="977" spans="1:22">
      <c r="A977" t="s">
        <v>3917</v>
      </c>
      <c r="B977" t="s">
        <v>3941</v>
      </c>
      <c r="C977" t="s">
        <v>537</v>
      </c>
      <c r="D977" t="s">
        <v>538</v>
      </c>
      <c r="E977" t="s">
        <v>263</v>
      </c>
      <c r="F977" t="s">
        <v>27</v>
      </c>
      <c r="G977">
        <v>1</v>
      </c>
      <c r="H977" t="s">
        <v>3949</v>
      </c>
      <c r="I977" t="s">
        <v>3942</v>
      </c>
      <c r="J977" t="s">
        <v>3975</v>
      </c>
      <c r="K977" t="s">
        <v>3976</v>
      </c>
      <c r="L977" t="s">
        <v>719</v>
      </c>
      <c r="M977" s="1" t="str">
        <f t="shared" si="105"/>
        <v>07H167</v>
      </c>
      <c r="N977" s="1" t="str">
        <f t="shared" si="106"/>
        <v>C/O</v>
      </c>
      <c r="O977" s="1" t="str">
        <f t="shared" si="107"/>
        <v>Turbocharger LH</v>
      </c>
      <c r="P977" s="1" t="str">
        <f t="shared" si="108"/>
        <v>ZMX0</v>
      </c>
      <c r="Q977" s="2" t="str">
        <f t="shared" si="109"/>
        <v>ZMX0Turbocharger LH</v>
      </c>
      <c r="R977" s="2" t="str">
        <f>New_Xref[[#This Row],[Serial Prefix]]&amp;IF(New_Xref[[#This Row],[Func Loc]]&lt;&gt;"",New_Xref[[#This Row],[Func Loc]],"NO MATCH")</f>
        <v>ZMX0ENGD .TURB.TC01</v>
      </c>
      <c r="S977" s="3" t="str">
        <f t="shared" si="110"/>
        <v>ZMX020R3692Turbocharger LH</v>
      </c>
      <c r="T977" s="3" t="s">
        <v>47</v>
      </c>
      <c r="U977" s="3" t="s">
        <v>108</v>
      </c>
      <c r="V977" t="str">
        <f t="shared" si="111"/>
        <v>1052LT</v>
      </c>
    </row>
    <row r="978" spans="1:22">
      <c r="A978" t="s">
        <v>3917</v>
      </c>
      <c r="B978" t="s">
        <v>3941</v>
      </c>
      <c r="C978" t="s">
        <v>532</v>
      </c>
      <c r="D978" t="s">
        <v>533</v>
      </c>
      <c r="E978" t="s">
        <v>263</v>
      </c>
      <c r="F978" t="s">
        <v>27</v>
      </c>
      <c r="G978">
        <v>1</v>
      </c>
      <c r="H978" t="s">
        <v>3952</v>
      </c>
      <c r="I978" t="s">
        <v>3942</v>
      </c>
      <c r="J978" t="s">
        <v>3977</v>
      </c>
      <c r="K978" t="s">
        <v>3978</v>
      </c>
      <c r="L978" t="s">
        <v>722</v>
      </c>
      <c r="M978" s="1" t="str">
        <f t="shared" si="105"/>
        <v>07H167</v>
      </c>
      <c r="N978" s="1" t="str">
        <f t="shared" si="106"/>
        <v>C/O</v>
      </c>
      <c r="O978" s="1" t="str">
        <f t="shared" si="107"/>
        <v>Turbocharger RH</v>
      </c>
      <c r="P978" s="1" t="str">
        <f t="shared" si="108"/>
        <v>ZMX0</v>
      </c>
      <c r="Q978" s="2" t="str">
        <f t="shared" si="109"/>
        <v>ZMX0Turbocharger RH</v>
      </c>
      <c r="R978" s="2" t="str">
        <f>New_Xref[[#This Row],[Serial Prefix]]&amp;IF(New_Xref[[#This Row],[Func Loc]]&lt;&gt;"",New_Xref[[#This Row],[Func Loc]],"NO MATCH")</f>
        <v>ZMX0ENGD .TURB.TC02</v>
      </c>
      <c r="S978" s="3" t="str">
        <f t="shared" si="110"/>
        <v>ZMX020R3687Turbocharger RH</v>
      </c>
      <c r="T978" s="3" t="s">
        <v>47</v>
      </c>
      <c r="U978" s="3" t="s">
        <v>115</v>
      </c>
      <c r="V978" t="str">
        <f t="shared" si="111"/>
        <v>1052RI</v>
      </c>
    </row>
    <row r="979" spans="1:22">
      <c r="A979" t="s">
        <v>3917</v>
      </c>
      <c r="B979" t="s">
        <v>3918</v>
      </c>
      <c r="C979" t="s">
        <v>431</v>
      </c>
      <c r="D979" t="s">
        <v>432</v>
      </c>
      <c r="E979" t="s">
        <v>276</v>
      </c>
      <c r="F979" t="s">
        <v>27</v>
      </c>
      <c r="G979">
        <v>12</v>
      </c>
      <c r="H979" t="s">
        <v>3979</v>
      </c>
      <c r="I979" t="s">
        <v>3920</v>
      </c>
      <c r="J979" t="s">
        <v>3980</v>
      </c>
      <c r="K979" t="s">
        <v>3981</v>
      </c>
      <c r="L979" t="s">
        <v>62</v>
      </c>
      <c r="M979" s="1" t="str">
        <f t="shared" si="105"/>
        <v>07H313</v>
      </c>
      <c r="N979" s="1" t="str">
        <f t="shared" si="106"/>
        <v>C/O</v>
      </c>
      <c r="O979" s="1" t="str">
        <f t="shared" si="107"/>
        <v>Fuel Injectors</v>
      </c>
      <c r="P979" s="1" t="str">
        <f t="shared" si="108"/>
        <v>8800</v>
      </c>
      <c r="Q979" s="2" t="str">
        <f t="shared" si="109"/>
        <v>8800Fuel Injectors</v>
      </c>
      <c r="R979" s="2" t="str">
        <f>New_Xref[[#This Row],[Serial Prefix]]&amp;IF(New_Xref[[#This Row],[Func Loc]]&lt;&gt;"",New_Xref[[#This Row],[Func Loc]],"NO MATCH")</f>
        <v>8800ENGD .FUEL.INJE</v>
      </c>
      <c r="S979" s="3" t="str">
        <f t="shared" si="110"/>
        <v>88006470750Fuel Injectors</v>
      </c>
      <c r="T979" s="3" t="s">
        <v>63</v>
      </c>
      <c r="U979" s="3" t="s">
        <v>34</v>
      </c>
      <c r="V979" t="str">
        <f t="shared" si="111"/>
        <v>125100</v>
      </c>
    </row>
    <row r="980" spans="1:22">
      <c r="A980" t="s">
        <v>3917</v>
      </c>
      <c r="B980" t="s">
        <v>3955</v>
      </c>
      <c r="C980" t="s">
        <v>431</v>
      </c>
      <c r="D980" t="s">
        <v>432</v>
      </c>
      <c r="E980" t="s">
        <v>276</v>
      </c>
      <c r="F980" t="s">
        <v>27</v>
      </c>
      <c r="G980">
        <v>12</v>
      </c>
      <c r="H980" t="s">
        <v>3982</v>
      </c>
      <c r="I980" t="s">
        <v>3957</v>
      </c>
      <c r="J980" t="s">
        <v>3983</v>
      </c>
      <c r="K980" t="s">
        <v>3984</v>
      </c>
      <c r="L980" t="s">
        <v>62</v>
      </c>
      <c r="M980" s="1" t="str">
        <f t="shared" si="105"/>
        <v>07H375</v>
      </c>
      <c r="N980" s="1" t="str">
        <f t="shared" si="106"/>
        <v>C/O</v>
      </c>
      <c r="O980" s="1" t="str">
        <f t="shared" si="107"/>
        <v>Fuel Injectors</v>
      </c>
      <c r="P980" s="1" t="str">
        <f t="shared" si="108"/>
        <v>H4C0</v>
      </c>
      <c r="Q980" s="2" t="str">
        <f t="shared" si="109"/>
        <v>H4C0Fuel Injectors</v>
      </c>
      <c r="R980" s="2" t="str">
        <f>New_Xref[[#This Row],[Serial Prefix]]&amp;IF(New_Xref[[#This Row],[Func Loc]]&lt;&gt;"",New_Xref[[#This Row],[Func Loc]],"NO MATCH")</f>
        <v>H4C0ENGD .FUEL.INJE</v>
      </c>
      <c r="S980" s="3" t="str">
        <f t="shared" si="110"/>
        <v>H4C06470750Fuel Injectors</v>
      </c>
      <c r="T980" s="3" t="s">
        <v>63</v>
      </c>
      <c r="U980" s="3" t="s">
        <v>34</v>
      </c>
      <c r="V980" t="str">
        <f t="shared" si="111"/>
        <v>125100</v>
      </c>
    </row>
    <row r="981" spans="1:22">
      <c r="A981" t="s">
        <v>3917</v>
      </c>
      <c r="B981" t="s">
        <v>3931</v>
      </c>
      <c r="C981" t="s">
        <v>431</v>
      </c>
      <c r="D981" t="s">
        <v>432</v>
      </c>
      <c r="E981" t="s">
        <v>276</v>
      </c>
      <c r="F981" t="s">
        <v>27</v>
      </c>
      <c r="G981">
        <v>12</v>
      </c>
      <c r="H981" t="s">
        <v>3985</v>
      </c>
      <c r="I981" t="s">
        <v>3933</v>
      </c>
      <c r="J981" t="s">
        <v>3986</v>
      </c>
      <c r="K981" t="s">
        <v>3987</v>
      </c>
      <c r="L981" t="s">
        <v>62</v>
      </c>
      <c r="M981" s="1" t="str">
        <f t="shared" si="105"/>
        <v>07H363</v>
      </c>
      <c r="N981" s="1" t="str">
        <f t="shared" si="106"/>
        <v>C/O</v>
      </c>
      <c r="O981" s="1" t="str">
        <f t="shared" si="107"/>
        <v>Fuel Injectors</v>
      </c>
      <c r="P981" s="1" t="str">
        <f t="shared" si="108"/>
        <v>RM20</v>
      </c>
      <c r="Q981" s="2" t="str">
        <f t="shared" si="109"/>
        <v>RM20Fuel Injectors</v>
      </c>
      <c r="R981" s="2" t="str">
        <f>New_Xref[[#This Row],[Serial Prefix]]&amp;IF(New_Xref[[#This Row],[Func Loc]]&lt;&gt;"",New_Xref[[#This Row],[Func Loc]],"NO MATCH")</f>
        <v>RM20ENGD .FUEL.INJE</v>
      </c>
      <c r="S981" s="3" t="str">
        <f t="shared" si="110"/>
        <v>RM206470750Fuel Injectors</v>
      </c>
      <c r="T981" s="3" t="s">
        <v>63</v>
      </c>
      <c r="U981" s="3" t="s">
        <v>34</v>
      </c>
      <c r="V981" t="str">
        <f t="shared" si="111"/>
        <v>125100</v>
      </c>
    </row>
    <row r="982" spans="1:22">
      <c r="A982" t="s">
        <v>3917</v>
      </c>
      <c r="B982" t="s">
        <v>3936</v>
      </c>
      <c r="C982" t="s">
        <v>431</v>
      </c>
      <c r="D982" t="s">
        <v>432</v>
      </c>
      <c r="E982" t="s">
        <v>276</v>
      </c>
      <c r="F982" t="s">
        <v>27</v>
      </c>
      <c r="G982">
        <v>12</v>
      </c>
      <c r="H982" t="s">
        <v>3988</v>
      </c>
      <c r="I982" t="s">
        <v>3938</v>
      </c>
      <c r="J982" t="s">
        <v>3989</v>
      </c>
      <c r="K982" t="s">
        <v>3990</v>
      </c>
      <c r="L982" t="s">
        <v>62</v>
      </c>
      <c r="M982" s="1" t="str">
        <f t="shared" si="105"/>
        <v>07B408</v>
      </c>
      <c r="N982" s="1" t="str">
        <f t="shared" si="106"/>
        <v>C/O</v>
      </c>
      <c r="O982" s="1" t="str">
        <f t="shared" si="107"/>
        <v>Fuel Injectors</v>
      </c>
      <c r="P982" s="1" t="str">
        <f t="shared" si="108"/>
        <v>RM50</v>
      </c>
      <c r="Q982" s="2" t="str">
        <f t="shared" si="109"/>
        <v>RM50Fuel Injectors</v>
      </c>
      <c r="R982" s="2" t="str">
        <f>New_Xref[[#This Row],[Serial Prefix]]&amp;IF(New_Xref[[#This Row],[Func Loc]]&lt;&gt;"",New_Xref[[#This Row],[Func Loc]],"NO MATCH")</f>
        <v>RM50ENGD .FUEL.INJE</v>
      </c>
      <c r="S982" s="3" t="str">
        <f t="shared" si="110"/>
        <v>RM506470750Fuel Injectors</v>
      </c>
      <c r="T982" s="3" t="s">
        <v>63</v>
      </c>
      <c r="U982" s="3" t="s">
        <v>34</v>
      </c>
      <c r="V982" t="str">
        <f t="shared" si="111"/>
        <v>125100</v>
      </c>
    </row>
    <row r="983" spans="1:22">
      <c r="A983" t="s">
        <v>3917</v>
      </c>
      <c r="B983" t="s">
        <v>3941</v>
      </c>
      <c r="C983" t="s">
        <v>431</v>
      </c>
      <c r="D983" t="s">
        <v>432</v>
      </c>
      <c r="E983" t="s">
        <v>276</v>
      </c>
      <c r="F983" t="s">
        <v>27</v>
      </c>
      <c r="G983">
        <v>12</v>
      </c>
      <c r="H983" t="s">
        <v>3979</v>
      </c>
      <c r="I983" t="s">
        <v>3942</v>
      </c>
      <c r="J983" t="s">
        <v>3991</v>
      </c>
      <c r="K983" t="s">
        <v>3992</v>
      </c>
      <c r="L983" t="s">
        <v>62</v>
      </c>
      <c r="M983" s="1" t="str">
        <f t="shared" si="105"/>
        <v>07H167</v>
      </c>
      <c r="N983" s="1" t="str">
        <f t="shared" si="106"/>
        <v>C/O</v>
      </c>
      <c r="O983" s="1" t="str">
        <f t="shared" si="107"/>
        <v>Fuel Injectors</v>
      </c>
      <c r="P983" s="1" t="str">
        <f t="shared" si="108"/>
        <v>ZMX0</v>
      </c>
      <c r="Q983" s="2" t="str">
        <f t="shared" si="109"/>
        <v>ZMX0Fuel Injectors</v>
      </c>
      <c r="R983" s="2" t="str">
        <f>New_Xref[[#This Row],[Serial Prefix]]&amp;IF(New_Xref[[#This Row],[Func Loc]]&lt;&gt;"",New_Xref[[#This Row],[Func Loc]],"NO MATCH")</f>
        <v>ZMX0ENGD .FUEL.INJE</v>
      </c>
      <c r="S983" s="3" t="str">
        <f t="shared" si="110"/>
        <v>ZMX06470750Fuel Injectors</v>
      </c>
      <c r="T983" s="3" t="s">
        <v>63</v>
      </c>
      <c r="U983" s="3" t="s">
        <v>34</v>
      </c>
      <c r="V983" t="str">
        <f t="shared" si="111"/>
        <v>125100</v>
      </c>
    </row>
    <row r="984" spans="1:22">
      <c r="A984" t="s">
        <v>3917</v>
      </c>
      <c r="B984" t="s">
        <v>3918</v>
      </c>
      <c r="C984" t="s">
        <v>286</v>
      </c>
      <c r="D984" t="s">
        <v>287</v>
      </c>
      <c r="E984" t="s">
        <v>288</v>
      </c>
      <c r="F984" t="s">
        <v>27</v>
      </c>
      <c r="G984">
        <v>1</v>
      </c>
      <c r="H984" t="s">
        <v>3993</v>
      </c>
      <c r="I984" t="s">
        <v>3920</v>
      </c>
      <c r="J984" t="s">
        <v>3994</v>
      </c>
      <c r="K984" t="s">
        <v>3995</v>
      </c>
      <c r="L984" t="s">
        <v>739</v>
      </c>
      <c r="M984" s="1" t="str">
        <f t="shared" si="105"/>
        <v>07H313</v>
      </c>
      <c r="N984" s="1" t="str">
        <f t="shared" si="106"/>
        <v>C/O</v>
      </c>
      <c r="O984" s="1" t="str">
        <f t="shared" si="107"/>
        <v>Water Pump Main</v>
      </c>
      <c r="P984" s="1" t="str">
        <f t="shared" si="108"/>
        <v>8800</v>
      </c>
      <c r="Q984" s="2" t="str">
        <f t="shared" si="109"/>
        <v>8800Water Pump Main</v>
      </c>
      <c r="R984" s="2" t="str">
        <f>New_Xref[[#This Row],[Serial Prefix]]&amp;IF(New_Xref[[#This Row],[Func Loc]]&lt;&gt;"",New_Xref[[#This Row],[Func Loc]],"NO MATCH")</f>
        <v>8800ENGD .WAPU.WP01</v>
      </c>
      <c r="S984" s="3" t="str">
        <f t="shared" si="110"/>
        <v>880020R1859Water Pump Main</v>
      </c>
      <c r="T984" s="3" t="s">
        <v>183</v>
      </c>
      <c r="U984" s="3" t="s">
        <v>34</v>
      </c>
      <c r="V984" t="str">
        <f t="shared" si="111"/>
        <v>136100</v>
      </c>
    </row>
    <row r="985" spans="1:22">
      <c r="A985" t="s">
        <v>3917</v>
      </c>
      <c r="B985" t="s">
        <v>3955</v>
      </c>
      <c r="C985" t="s">
        <v>3996</v>
      </c>
      <c r="D985" t="s">
        <v>831</v>
      </c>
      <c r="E985" t="s">
        <v>832</v>
      </c>
      <c r="F985" t="s">
        <v>27</v>
      </c>
      <c r="G985">
        <v>1</v>
      </c>
      <c r="H985" t="s">
        <v>3997</v>
      </c>
      <c r="I985" t="s">
        <v>3957</v>
      </c>
      <c r="J985" t="s">
        <v>3998</v>
      </c>
      <c r="K985" t="s">
        <v>3999</v>
      </c>
      <c r="L985" t="s">
        <v>739</v>
      </c>
      <c r="M985" s="1" t="str">
        <f t="shared" si="105"/>
        <v>07H375</v>
      </c>
      <c r="N985" s="1" t="str">
        <f t="shared" si="106"/>
        <v>C/O</v>
      </c>
      <c r="O985" s="1" t="str">
        <f t="shared" si="107"/>
        <v>Water Pump Main</v>
      </c>
      <c r="P985" s="1" t="str">
        <f t="shared" si="108"/>
        <v>H4C0</v>
      </c>
      <c r="Q985" s="2" t="str">
        <f t="shared" si="109"/>
        <v>H4C0Water Pump Main</v>
      </c>
      <c r="R985" s="2" t="str">
        <f>New_Xref[[#This Row],[Serial Prefix]]&amp;IF(New_Xref[[#This Row],[Func Loc]]&lt;&gt;"",New_Xref[[#This Row],[Func Loc]],"NO MATCH")</f>
        <v>H4C0ENGD .WAPU.WP01</v>
      </c>
      <c r="S985" s="3" t="str">
        <f t="shared" si="110"/>
        <v>H4C010R6400Water Pump Main</v>
      </c>
      <c r="T985" s="3" t="s">
        <v>183</v>
      </c>
      <c r="U985" s="3" t="s">
        <v>34</v>
      </c>
      <c r="V985" t="str">
        <f t="shared" si="111"/>
        <v>136100</v>
      </c>
    </row>
    <row r="986" spans="1:22">
      <c r="A986" t="s">
        <v>3917</v>
      </c>
      <c r="B986" t="s">
        <v>3931</v>
      </c>
      <c r="C986" t="s">
        <v>286</v>
      </c>
      <c r="D986" t="s">
        <v>287</v>
      </c>
      <c r="E986" t="s">
        <v>288</v>
      </c>
      <c r="F986" t="s">
        <v>27</v>
      </c>
      <c r="G986">
        <v>1</v>
      </c>
      <c r="H986" t="s">
        <v>4000</v>
      </c>
      <c r="I986" t="s">
        <v>3933</v>
      </c>
      <c r="J986" t="s">
        <v>4001</v>
      </c>
      <c r="K986" t="s">
        <v>4002</v>
      </c>
      <c r="L986" t="s">
        <v>739</v>
      </c>
      <c r="M986" s="1" t="str">
        <f t="shared" si="105"/>
        <v>07H363</v>
      </c>
      <c r="N986" s="1" t="str">
        <f t="shared" si="106"/>
        <v>C/O</v>
      </c>
      <c r="O986" s="1" t="str">
        <f t="shared" si="107"/>
        <v>Water Pump Main</v>
      </c>
      <c r="P986" s="1" t="str">
        <f t="shared" si="108"/>
        <v>RM20</v>
      </c>
      <c r="Q986" s="2" t="str">
        <f t="shared" si="109"/>
        <v>RM20Water Pump Main</v>
      </c>
      <c r="R986" s="2" t="str">
        <f>New_Xref[[#This Row],[Serial Prefix]]&amp;IF(New_Xref[[#This Row],[Func Loc]]&lt;&gt;"",New_Xref[[#This Row],[Func Loc]],"NO MATCH")</f>
        <v>RM20ENGD .WAPU.WP01</v>
      </c>
      <c r="S986" s="3" t="str">
        <f t="shared" si="110"/>
        <v>RM2020R1859Water Pump Main</v>
      </c>
      <c r="T986" s="3" t="s">
        <v>183</v>
      </c>
      <c r="U986" s="3" t="s">
        <v>34</v>
      </c>
      <c r="V986" t="str">
        <f t="shared" si="111"/>
        <v>136100</v>
      </c>
    </row>
    <row r="987" spans="1:22">
      <c r="A987" t="s">
        <v>3917</v>
      </c>
      <c r="B987" t="s">
        <v>3936</v>
      </c>
      <c r="C987" t="s">
        <v>286</v>
      </c>
      <c r="D987" t="s">
        <v>287</v>
      </c>
      <c r="E987" t="s">
        <v>288</v>
      </c>
      <c r="F987" t="s">
        <v>27</v>
      </c>
      <c r="G987">
        <v>1</v>
      </c>
      <c r="H987" t="s">
        <v>4003</v>
      </c>
      <c r="I987" t="s">
        <v>3938</v>
      </c>
      <c r="J987" t="s">
        <v>4004</v>
      </c>
      <c r="K987" t="s">
        <v>4005</v>
      </c>
      <c r="L987" t="s">
        <v>739</v>
      </c>
      <c r="M987" s="1" t="str">
        <f t="shared" si="105"/>
        <v>07B408</v>
      </c>
      <c r="N987" s="1" t="str">
        <f t="shared" si="106"/>
        <v>C/O</v>
      </c>
      <c r="O987" s="1" t="str">
        <f t="shared" si="107"/>
        <v>Water Pump Main</v>
      </c>
      <c r="P987" s="1" t="str">
        <f t="shared" si="108"/>
        <v>RM50</v>
      </c>
      <c r="Q987" s="2" t="str">
        <f t="shared" si="109"/>
        <v>RM50Water Pump Main</v>
      </c>
      <c r="R987" s="2" t="str">
        <f>New_Xref[[#This Row],[Serial Prefix]]&amp;IF(New_Xref[[#This Row],[Func Loc]]&lt;&gt;"",New_Xref[[#This Row],[Func Loc]],"NO MATCH")</f>
        <v>RM50ENGD .WAPU.WP01</v>
      </c>
      <c r="S987" s="3" t="str">
        <f t="shared" si="110"/>
        <v>RM5020R1859Water Pump Main</v>
      </c>
      <c r="T987" s="3" t="s">
        <v>183</v>
      </c>
      <c r="U987" s="3" t="s">
        <v>34</v>
      </c>
      <c r="V987" t="str">
        <f t="shared" si="111"/>
        <v>136100</v>
      </c>
    </row>
    <row r="988" spans="1:22">
      <c r="A988" t="s">
        <v>3917</v>
      </c>
      <c r="B988" t="s">
        <v>3941</v>
      </c>
      <c r="C988" t="s">
        <v>286</v>
      </c>
      <c r="D988" t="s">
        <v>287</v>
      </c>
      <c r="E988" t="s">
        <v>288</v>
      </c>
      <c r="F988" t="s">
        <v>27</v>
      </c>
      <c r="G988">
        <v>1</v>
      </c>
      <c r="H988" t="s">
        <v>3993</v>
      </c>
      <c r="I988" t="s">
        <v>3942</v>
      </c>
      <c r="J988" t="s">
        <v>4006</v>
      </c>
      <c r="K988" t="s">
        <v>4007</v>
      </c>
      <c r="L988" t="s">
        <v>739</v>
      </c>
      <c r="M988" s="1" t="str">
        <f t="shared" si="105"/>
        <v>07H167</v>
      </c>
      <c r="N988" s="1" t="str">
        <f t="shared" si="106"/>
        <v>C/O</v>
      </c>
      <c r="O988" s="1" t="str">
        <f t="shared" si="107"/>
        <v>Water Pump Main</v>
      </c>
      <c r="P988" s="1" t="str">
        <f t="shared" si="108"/>
        <v>ZMX0</v>
      </c>
      <c r="Q988" s="2" t="str">
        <f t="shared" si="109"/>
        <v>ZMX0Water Pump Main</v>
      </c>
      <c r="R988" s="2" t="str">
        <f>New_Xref[[#This Row],[Serial Prefix]]&amp;IF(New_Xref[[#This Row],[Func Loc]]&lt;&gt;"",New_Xref[[#This Row],[Func Loc]],"NO MATCH")</f>
        <v>ZMX0ENGD .WAPU.WP01</v>
      </c>
      <c r="S988" s="3" t="str">
        <f t="shared" si="110"/>
        <v>ZMX020R1859Water Pump Main</v>
      </c>
      <c r="T988" s="3" t="s">
        <v>183</v>
      </c>
      <c r="U988" s="3" t="s">
        <v>34</v>
      </c>
      <c r="V988" t="str">
        <f t="shared" si="111"/>
        <v>136100</v>
      </c>
    </row>
    <row r="989" spans="1:22">
      <c r="A989" t="s">
        <v>3917</v>
      </c>
      <c r="B989" t="s">
        <v>3918</v>
      </c>
      <c r="C989" t="s">
        <v>548</v>
      </c>
      <c r="D989" t="s">
        <v>549</v>
      </c>
      <c r="E989" t="s">
        <v>3664</v>
      </c>
      <c r="F989" t="s">
        <v>27</v>
      </c>
      <c r="G989">
        <v>1</v>
      </c>
      <c r="H989" t="s">
        <v>4008</v>
      </c>
      <c r="I989" t="s">
        <v>4009</v>
      </c>
      <c r="J989" t="s">
        <v>4010</v>
      </c>
      <c r="K989" t="s">
        <v>4009</v>
      </c>
      <c r="L989" t="s">
        <v>2482</v>
      </c>
      <c r="M989" s="1" t="str">
        <f t="shared" si="105"/>
        <v>07H313</v>
      </c>
      <c r="N989" s="1" t="str">
        <f t="shared" si="106"/>
        <v>C/O</v>
      </c>
      <c r="O989" s="1" t="str">
        <f t="shared" si="107"/>
        <v>Engine Cooling Fan Pump</v>
      </c>
      <c r="P989" s="1" t="str">
        <f t="shared" si="108"/>
        <v>8800</v>
      </c>
      <c r="Q989" s="2" t="str">
        <f t="shared" si="109"/>
        <v>8800Engine Cooling Fan Pump</v>
      </c>
      <c r="R989" s="2" t="str">
        <f>New_Xref[[#This Row],[Serial Prefix]]&amp;IF(New_Xref[[#This Row],[Func Loc]]&lt;&gt;"",New_Xref[[#This Row],[Func Loc]],"NO MATCH")</f>
        <v>8800MYHD .PUMP.HP03</v>
      </c>
      <c r="S989" s="3" t="str">
        <f t="shared" si="110"/>
        <v>880020R0098Engine Cooling Fan Pump</v>
      </c>
      <c r="T989" s="3" t="s">
        <v>188</v>
      </c>
      <c r="U989" s="3" t="s">
        <v>34</v>
      </c>
      <c r="V989" t="str">
        <f t="shared" si="111"/>
        <v>138600</v>
      </c>
    </row>
    <row r="990" spans="1:22">
      <c r="A990" t="s">
        <v>3917</v>
      </c>
      <c r="B990" t="s">
        <v>3923</v>
      </c>
      <c r="C990" t="s">
        <v>548</v>
      </c>
      <c r="D990" t="s">
        <v>549</v>
      </c>
      <c r="E990" t="s">
        <v>550</v>
      </c>
      <c r="F990" t="s">
        <v>27</v>
      </c>
      <c r="G990">
        <v>1</v>
      </c>
      <c r="H990" t="s">
        <v>4011</v>
      </c>
      <c r="I990" t="s">
        <v>4012</v>
      </c>
      <c r="J990" t="s">
        <v>4013</v>
      </c>
      <c r="K990" t="s">
        <v>4012</v>
      </c>
      <c r="L990" t="s">
        <v>4014</v>
      </c>
      <c r="M990" s="1" t="str">
        <f t="shared" si="105"/>
        <v>07H117</v>
      </c>
      <c r="N990" s="1" t="str">
        <f t="shared" si="106"/>
        <v>C/O</v>
      </c>
      <c r="O990" s="1" t="str">
        <f t="shared" si="107"/>
        <v>Engine Cooling Fan Pump</v>
      </c>
      <c r="P990" s="1" t="str">
        <f t="shared" si="108"/>
        <v>H4C0</v>
      </c>
      <c r="Q990" s="2" t="str">
        <f t="shared" si="109"/>
        <v>H4C0Engine Cooling Fan Pump</v>
      </c>
      <c r="R990" s="2" t="str">
        <f>New_Xref[[#This Row],[Serial Prefix]]&amp;IF(New_Xref[[#This Row],[Func Loc]]&lt;&gt;"",New_Xref[[#This Row],[Func Loc]],"NO MATCH")</f>
        <v>H4C0MYHD .PUMP.HP04</v>
      </c>
      <c r="S990" s="3" t="str">
        <f t="shared" si="110"/>
        <v>H4C020R0098Engine Cooling Fan Pump</v>
      </c>
      <c r="T990" s="3" t="s">
        <v>188</v>
      </c>
      <c r="U990" s="3" t="s">
        <v>34</v>
      </c>
      <c r="V990" t="str">
        <f t="shared" si="111"/>
        <v>138600</v>
      </c>
    </row>
    <row r="991" spans="1:22">
      <c r="A991" t="s">
        <v>3917</v>
      </c>
      <c r="B991" t="s">
        <v>3945</v>
      </c>
      <c r="C991" t="s">
        <v>548</v>
      </c>
      <c r="D991" t="s">
        <v>549</v>
      </c>
      <c r="E991" t="s">
        <v>3664</v>
      </c>
      <c r="F991" t="s">
        <v>27</v>
      </c>
      <c r="G991">
        <v>1</v>
      </c>
      <c r="H991" t="s">
        <v>4015</v>
      </c>
      <c r="I991" t="s">
        <v>4016</v>
      </c>
      <c r="J991" t="s">
        <v>4017</v>
      </c>
      <c r="K991" t="s">
        <v>4016</v>
      </c>
      <c r="L991" t="s">
        <v>2482</v>
      </c>
      <c r="M991" s="1" t="str">
        <f t="shared" si="105"/>
        <v>07R191</v>
      </c>
      <c r="N991" s="1" t="str">
        <f t="shared" si="106"/>
        <v>C/O</v>
      </c>
      <c r="O991" s="1" t="str">
        <f t="shared" si="107"/>
        <v>Engine Cooling Fan Pump</v>
      </c>
      <c r="P991" s="1" t="str">
        <f t="shared" si="108"/>
        <v>ZMX0</v>
      </c>
      <c r="Q991" s="2" t="str">
        <f t="shared" si="109"/>
        <v>ZMX0Engine Cooling Fan Pump</v>
      </c>
      <c r="R991" s="2" t="str">
        <f>New_Xref[[#This Row],[Serial Prefix]]&amp;IF(New_Xref[[#This Row],[Func Loc]]&lt;&gt;"",New_Xref[[#This Row],[Func Loc]],"NO MATCH")</f>
        <v>ZMX0MYHD .PUMP.HP03</v>
      </c>
      <c r="S991" s="3" t="str">
        <f t="shared" si="110"/>
        <v>ZMX020R0098Engine Cooling Fan Pump</v>
      </c>
      <c r="T991" s="3" t="s">
        <v>188</v>
      </c>
      <c r="U991" s="3" t="s">
        <v>34</v>
      </c>
      <c r="V991" t="str">
        <f t="shared" si="111"/>
        <v>138600</v>
      </c>
    </row>
    <row r="992" spans="1:22">
      <c r="A992" t="s">
        <v>3917</v>
      </c>
      <c r="B992" t="s">
        <v>3918</v>
      </c>
      <c r="C992" t="s">
        <v>560</v>
      </c>
      <c r="D992" t="s">
        <v>561</v>
      </c>
      <c r="E992" t="s">
        <v>562</v>
      </c>
      <c r="F992" t="s">
        <v>27</v>
      </c>
      <c r="G992">
        <v>1</v>
      </c>
      <c r="H992" t="s">
        <v>4018</v>
      </c>
      <c r="I992" t="s">
        <v>4019</v>
      </c>
      <c r="J992" t="s">
        <v>4020</v>
      </c>
      <c r="K992" t="s">
        <v>4019</v>
      </c>
      <c r="L992" t="s">
        <v>350</v>
      </c>
      <c r="M992" s="1" t="str">
        <f t="shared" si="105"/>
        <v>07H313</v>
      </c>
      <c r="N992" s="1" t="str">
        <f t="shared" si="106"/>
        <v>C/O</v>
      </c>
      <c r="O992" s="1" t="str">
        <f t="shared" si="107"/>
        <v>Axle Assembly Front</v>
      </c>
      <c r="P992" s="1" t="str">
        <f t="shared" si="108"/>
        <v>8800</v>
      </c>
      <c r="Q992" s="2" t="str">
        <f t="shared" si="109"/>
        <v>8800Axle Assembly Front</v>
      </c>
      <c r="R992" s="2" t="str">
        <f>New_Xref[[#This Row],[Serial Prefix]]&amp;IF(New_Xref[[#This Row],[Func Loc]]&lt;&gt;"",New_Xref[[#This Row],[Func Loc]],"NO MATCH")</f>
        <v>8800FDRV .AXAF</v>
      </c>
      <c r="S992" s="3" t="str">
        <f t="shared" si="110"/>
        <v>88003732557FAxle Assembly Front</v>
      </c>
      <c r="T992" s="3" t="s">
        <v>566</v>
      </c>
      <c r="U992" s="3" t="s">
        <v>386</v>
      </c>
      <c r="V992" t="str">
        <f t="shared" si="111"/>
        <v>3013FR</v>
      </c>
    </row>
    <row r="993" spans="1:22">
      <c r="A993" t="s">
        <v>3917</v>
      </c>
      <c r="B993" t="s">
        <v>3918</v>
      </c>
      <c r="C993" t="s">
        <v>567</v>
      </c>
      <c r="D993" t="s">
        <v>568</v>
      </c>
      <c r="E993" t="s">
        <v>562</v>
      </c>
      <c r="F993" t="s">
        <v>27</v>
      </c>
      <c r="G993">
        <v>1</v>
      </c>
      <c r="H993" t="s">
        <v>4021</v>
      </c>
      <c r="I993" t="s">
        <v>4022</v>
      </c>
      <c r="J993" t="s">
        <v>4023</v>
      </c>
      <c r="K993" t="s">
        <v>4022</v>
      </c>
      <c r="L993" t="s">
        <v>198</v>
      </c>
      <c r="M993" s="1" t="str">
        <f t="shared" si="105"/>
        <v>07H313</v>
      </c>
      <c r="N993" s="1" t="str">
        <f t="shared" si="106"/>
        <v>C/O</v>
      </c>
      <c r="O993" s="1" t="str">
        <f t="shared" si="107"/>
        <v>Axle Assembly Rear</v>
      </c>
      <c r="P993" s="1" t="str">
        <f t="shared" si="108"/>
        <v>8800</v>
      </c>
      <c r="Q993" s="2" t="str">
        <f t="shared" si="109"/>
        <v>8800Axle Assembly Rear</v>
      </c>
      <c r="R993" s="2" t="str">
        <f>New_Xref[[#This Row],[Serial Prefix]]&amp;IF(New_Xref[[#This Row],[Func Loc]]&lt;&gt;"",New_Xref[[#This Row],[Func Loc]],"NO MATCH")</f>
        <v>8800FDRV .AXAR</v>
      </c>
      <c r="S993" s="3" t="str">
        <f t="shared" si="110"/>
        <v>88003732558FAxle Assembly Rear</v>
      </c>
      <c r="T993" s="3" t="s">
        <v>566</v>
      </c>
      <c r="U993" s="3" t="s">
        <v>317</v>
      </c>
      <c r="V993" t="str">
        <f t="shared" si="111"/>
        <v>3013RE</v>
      </c>
    </row>
    <row r="994" spans="1:22">
      <c r="A994" t="s">
        <v>3917</v>
      </c>
      <c r="B994" t="s">
        <v>3923</v>
      </c>
      <c r="C994" t="s">
        <v>560</v>
      </c>
      <c r="D994" t="s">
        <v>561</v>
      </c>
      <c r="E994" t="s">
        <v>562</v>
      </c>
      <c r="F994" t="s">
        <v>27</v>
      </c>
      <c r="G994">
        <v>1</v>
      </c>
      <c r="H994" t="s">
        <v>3864</v>
      </c>
      <c r="I994" t="s">
        <v>4024</v>
      </c>
      <c r="J994" t="s">
        <v>4025</v>
      </c>
      <c r="K994" t="s">
        <v>4024</v>
      </c>
      <c r="L994" t="s">
        <v>350</v>
      </c>
      <c r="M994" s="1" t="str">
        <f t="shared" si="105"/>
        <v>07H117</v>
      </c>
      <c r="N994" s="1" t="str">
        <f t="shared" si="106"/>
        <v>C/O</v>
      </c>
      <c r="O994" s="1" t="str">
        <f t="shared" si="107"/>
        <v>Axle Assembly Front</v>
      </c>
      <c r="P994" s="1" t="str">
        <f t="shared" si="108"/>
        <v>H4C0</v>
      </c>
      <c r="Q994" s="2" t="str">
        <f t="shared" si="109"/>
        <v>H4C0Axle Assembly Front</v>
      </c>
      <c r="R994" s="2" t="str">
        <f>New_Xref[[#This Row],[Serial Prefix]]&amp;IF(New_Xref[[#This Row],[Func Loc]]&lt;&gt;"",New_Xref[[#This Row],[Func Loc]],"NO MATCH")</f>
        <v>H4C0FDRV .AXAF</v>
      </c>
      <c r="S994" s="3" t="str">
        <f t="shared" si="110"/>
        <v>H4C03732557FAxle Assembly Front</v>
      </c>
      <c r="T994" s="3" t="s">
        <v>566</v>
      </c>
      <c r="U994" s="3" t="s">
        <v>386</v>
      </c>
      <c r="V994" t="str">
        <f t="shared" si="111"/>
        <v>3013FR</v>
      </c>
    </row>
    <row r="995" spans="1:22">
      <c r="A995" t="s">
        <v>3917</v>
      </c>
      <c r="B995" t="s">
        <v>3923</v>
      </c>
      <c r="C995" t="s">
        <v>567</v>
      </c>
      <c r="D995" t="s">
        <v>568</v>
      </c>
      <c r="E995" t="s">
        <v>562</v>
      </c>
      <c r="F995" t="s">
        <v>27</v>
      </c>
      <c r="G995">
        <v>1</v>
      </c>
      <c r="H995" t="s">
        <v>3867</v>
      </c>
      <c r="I995" t="s">
        <v>4026</v>
      </c>
      <c r="J995" t="s">
        <v>4027</v>
      </c>
      <c r="K995" t="s">
        <v>4026</v>
      </c>
      <c r="L995" t="s">
        <v>198</v>
      </c>
      <c r="M995" s="1" t="str">
        <f t="shared" si="105"/>
        <v>07H117</v>
      </c>
      <c r="N995" s="1" t="str">
        <f t="shared" si="106"/>
        <v>C/O</v>
      </c>
      <c r="O995" s="1" t="str">
        <f t="shared" si="107"/>
        <v>Axle Assembly Rear</v>
      </c>
      <c r="P995" s="1" t="str">
        <f t="shared" si="108"/>
        <v>H4C0</v>
      </c>
      <c r="Q995" s="2" t="str">
        <f t="shared" si="109"/>
        <v>H4C0Axle Assembly Rear</v>
      </c>
      <c r="R995" s="2" t="str">
        <f>New_Xref[[#This Row],[Serial Prefix]]&amp;IF(New_Xref[[#This Row],[Func Loc]]&lt;&gt;"",New_Xref[[#This Row],[Func Loc]],"NO MATCH")</f>
        <v>H4C0FDRV .AXAR</v>
      </c>
      <c r="S995" s="3" t="str">
        <f t="shared" si="110"/>
        <v>H4C03732558FAxle Assembly Rear</v>
      </c>
      <c r="T995" s="3" t="s">
        <v>566</v>
      </c>
      <c r="U995" s="3" t="s">
        <v>317</v>
      </c>
      <c r="V995" t="str">
        <f t="shared" si="111"/>
        <v>3013RE</v>
      </c>
    </row>
    <row r="996" spans="1:22">
      <c r="A996" t="s">
        <v>3917</v>
      </c>
      <c r="B996" t="s">
        <v>3931</v>
      </c>
      <c r="C996" t="s">
        <v>567</v>
      </c>
      <c r="D996" t="s">
        <v>568</v>
      </c>
      <c r="E996" t="s">
        <v>562</v>
      </c>
      <c r="F996" t="s">
        <v>27</v>
      </c>
      <c r="G996">
        <v>1</v>
      </c>
      <c r="H996" t="s">
        <v>4028</v>
      </c>
      <c r="I996" t="s">
        <v>4029</v>
      </c>
      <c r="J996" t="s">
        <v>4030</v>
      </c>
      <c r="K996" t="s">
        <v>4029</v>
      </c>
      <c r="L996" t="s">
        <v>198</v>
      </c>
      <c r="M996" s="1" t="str">
        <f t="shared" si="105"/>
        <v>07H363</v>
      </c>
      <c r="N996" s="1" t="str">
        <f t="shared" si="106"/>
        <v>C/O</v>
      </c>
      <c r="O996" s="1" t="str">
        <f t="shared" si="107"/>
        <v>Axle Assembly Rear</v>
      </c>
      <c r="P996" s="1" t="str">
        <f t="shared" si="108"/>
        <v>RM20</v>
      </c>
      <c r="Q996" s="2" t="str">
        <f t="shared" si="109"/>
        <v>RM20Axle Assembly Rear</v>
      </c>
      <c r="R996" s="2" t="str">
        <f>New_Xref[[#This Row],[Serial Prefix]]&amp;IF(New_Xref[[#This Row],[Func Loc]]&lt;&gt;"",New_Xref[[#This Row],[Func Loc]],"NO MATCH")</f>
        <v>RM20FDRV .AXAR</v>
      </c>
      <c r="S996" s="3" t="str">
        <f t="shared" si="110"/>
        <v>RM203732558FAxle Assembly Rear</v>
      </c>
      <c r="T996" s="3" t="s">
        <v>566</v>
      </c>
      <c r="U996" s="3" t="s">
        <v>317</v>
      </c>
      <c r="V996" t="str">
        <f t="shared" si="111"/>
        <v>3013RE</v>
      </c>
    </row>
    <row r="997" spans="1:22">
      <c r="A997" t="s">
        <v>3917</v>
      </c>
      <c r="B997" t="s">
        <v>3931</v>
      </c>
      <c r="C997" t="s">
        <v>560</v>
      </c>
      <c r="D997" t="s">
        <v>561</v>
      </c>
      <c r="E997" t="s">
        <v>562</v>
      </c>
      <c r="F997" t="s">
        <v>27</v>
      </c>
      <c r="G997">
        <v>1</v>
      </c>
      <c r="H997" t="s">
        <v>4031</v>
      </c>
      <c r="I997" t="s">
        <v>4032</v>
      </c>
      <c r="J997" t="s">
        <v>4033</v>
      </c>
      <c r="K997" t="s">
        <v>4032</v>
      </c>
      <c r="L997" t="s">
        <v>350</v>
      </c>
      <c r="M997" s="1" t="str">
        <f t="shared" si="105"/>
        <v>07H363</v>
      </c>
      <c r="N997" s="1" t="str">
        <f t="shared" si="106"/>
        <v>C/O</v>
      </c>
      <c r="O997" s="1" t="str">
        <f t="shared" si="107"/>
        <v>Axle Assembly Front</v>
      </c>
      <c r="P997" s="1" t="str">
        <f t="shared" si="108"/>
        <v>RM20</v>
      </c>
      <c r="Q997" s="2" t="str">
        <f t="shared" si="109"/>
        <v>RM20Axle Assembly Front</v>
      </c>
      <c r="R997" s="2" t="str">
        <f>New_Xref[[#This Row],[Serial Prefix]]&amp;IF(New_Xref[[#This Row],[Func Loc]]&lt;&gt;"",New_Xref[[#This Row],[Func Loc]],"NO MATCH")</f>
        <v>RM20FDRV .AXAF</v>
      </c>
      <c r="S997" s="3" t="str">
        <f t="shared" si="110"/>
        <v>RM203732557FAxle Assembly Front</v>
      </c>
      <c r="T997" s="3" t="s">
        <v>566</v>
      </c>
      <c r="U997" s="3" t="s">
        <v>386</v>
      </c>
      <c r="V997" t="str">
        <f t="shared" si="111"/>
        <v>3013FR</v>
      </c>
    </row>
    <row r="998" spans="1:22">
      <c r="A998" t="s">
        <v>3917</v>
      </c>
      <c r="B998" t="s">
        <v>3936</v>
      </c>
      <c r="C998" t="s">
        <v>560</v>
      </c>
      <c r="D998" t="s">
        <v>561</v>
      </c>
      <c r="E998" t="s">
        <v>562</v>
      </c>
      <c r="F998" t="s">
        <v>27</v>
      </c>
      <c r="G998">
        <v>1</v>
      </c>
      <c r="H998" t="s">
        <v>4034</v>
      </c>
      <c r="I998" t="s">
        <v>4035</v>
      </c>
      <c r="J998" t="s">
        <v>4036</v>
      </c>
      <c r="K998" t="s">
        <v>4035</v>
      </c>
      <c r="L998" t="s">
        <v>350</v>
      </c>
      <c r="M998" s="1" t="str">
        <f t="shared" si="105"/>
        <v>07B408</v>
      </c>
      <c r="N998" s="1" t="str">
        <f t="shared" si="106"/>
        <v>C/O</v>
      </c>
      <c r="O998" s="1" t="str">
        <f t="shared" si="107"/>
        <v>Axle Assembly Front</v>
      </c>
      <c r="P998" s="1" t="str">
        <f t="shared" si="108"/>
        <v>RM50</v>
      </c>
      <c r="Q998" s="2" t="str">
        <f t="shared" si="109"/>
        <v>RM50Axle Assembly Front</v>
      </c>
      <c r="R998" s="2" t="str">
        <f>New_Xref[[#This Row],[Serial Prefix]]&amp;IF(New_Xref[[#This Row],[Func Loc]]&lt;&gt;"",New_Xref[[#This Row],[Func Loc]],"NO MATCH")</f>
        <v>RM50FDRV .AXAF</v>
      </c>
      <c r="S998" s="3" t="str">
        <f t="shared" si="110"/>
        <v>RM503732557FAxle Assembly Front</v>
      </c>
      <c r="T998" s="3" t="s">
        <v>566</v>
      </c>
      <c r="U998" s="3" t="s">
        <v>386</v>
      </c>
      <c r="V998" t="str">
        <f t="shared" si="111"/>
        <v>3013FR</v>
      </c>
    </row>
    <row r="999" spans="1:22">
      <c r="A999" t="s">
        <v>3917</v>
      </c>
      <c r="B999" t="s">
        <v>3936</v>
      </c>
      <c r="C999" t="s">
        <v>567</v>
      </c>
      <c r="D999" t="s">
        <v>568</v>
      </c>
      <c r="E999" t="s">
        <v>562</v>
      </c>
      <c r="F999" t="s">
        <v>27</v>
      </c>
      <c r="G999">
        <v>1</v>
      </c>
      <c r="H999" t="s">
        <v>4037</v>
      </c>
      <c r="I999" t="s">
        <v>4038</v>
      </c>
      <c r="J999" t="s">
        <v>4039</v>
      </c>
      <c r="K999" t="s">
        <v>4038</v>
      </c>
      <c r="L999" t="s">
        <v>198</v>
      </c>
      <c r="M999" s="1" t="str">
        <f t="shared" si="105"/>
        <v>07B408</v>
      </c>
      <c r="N999" s="1" t="str">
        <f t="shared" si="106"/>
        <v>C/O</v>
      </c>
      <c r="O999" s="1" t="str">
        <f t="shared" si="107"/>
        <v>Axle Assembly Rear</v>
      </c>
      <c r="P999" s="1" t="str">
        <f t="shared" si="108"/>
        <v>RM50</v>
      </c>
      <c r="Q999" s="2" t="str">
        <f t="shared" si="109"/>
        <v>RM50Axle Assembly Rear</v>
      </c>
      <c r="R999" s="2" t="str">
        <f>New_Xref[[#This Row],[Serial Prefix]]&amp;IF(New_Xref[[#This Row],[Func Loc]]&lt;&gt;"",New_Xref[[#This Row],[Func Loc]],"NO MATCH")</f>
        <v>RM50FDRV .AXAR</v>
      </c>
      <c r="S999" s="3" t="str">
        <f t="shared" si="110"/>
        <v>RM503732558FAxle Assembly Rear</v>
      </c>
      <c r="T999" s="3" t="s">
        <v>566</v>
      </c>
      <c r="U999" s="3" t="s">
        <v>317</v>
      </c>
      <c r="V999" t="str">
        <f t="shared" si="111"/>
        <v>3013RE</v>
      </c>
    </row>
    <row r="1000" spans="1:22">
      <c r="A1000" t="s">
        <v>3917</v>
      </c>
      <c r="B1000" t="s">
        <v>4040</v>
      </c>
      <c r="C1000" t="s">
        <v>560</v>
      </c>
      <c r="D1000" t="s">
        <v>561</v>
      </c>
      <c r="E1000" t="s">
        <v>562</v>
      </c>
      <c r="F1000" t="s">
        <v>27</v>
      </c>
      <c r="G1000">
        <v>1</v>
      </c>
      <c r="H1000" t="s">
        <v>4041</v>
      </c>
      <c r="I1000" t="s">
        <v>4042</v>
      </c>
      <c r="J1000" t="s">
        <v>4043</v>
      </c>
      <c r="K1000" t="s">
        <v>4042</v>
      </c>
      <c r="L1000" t="s">
        <v>350</v>
      </c>
      <c r="M1000" s="1" t="str">
        <f t="shared" si="105"/>
        <v>07R199</v>
      </c>
      <c r="N1000" s="1" t="str">
        <f t="shared" si="106"/>
        <v>C/O</v>
      </c>
      <c r="O1000" s="1" t="str">
        <f t="shared" si="107"/>
        <v>Axle Assembly Front</v>
      </c>
      <c r="P1000" s="1" t="str">
        <f t="shared" si="108"/>
        <v>ZMX0</v>
      </c>
      <c r="Q1000" s="2" t="str">
        <f t="shared" si="109"/>
        <v>ZMX0Axle Assembly Front</v>
      </c>
      <c r="R1000" s="2" t="str">
        <f>New_Xref[[#This Row],[Serial Prefix]]&amp;IF(New_Xref[[#This Row],[Func Loc]]&lt;&gt;"",New_Xref[[#This Row],[Func Loc]],"NO MATCH")</f>
        <v>ZMX0FDRV .AXAF</v>
      </c>
      <c r="S1000" s="3" t="str">
        <f t="shared" si="110"/>
        <v>ZMX03732557FAxle Assembly Front</v>
      </c>
      <c r="T1000" s="3" t="s">
        <v>566</v>
      </c>
      <c r="U1000" s="3" t="s">
        <v>386</v>
      </c>
      <c r="V1000" t="str">
        <f t="shared" si="111"/>
        <v>3013FR</v>
      </c>
    </row>
    <row r="1001" spans="1:22">
      <c r="A1001" t="s">
        <v>3917</v>
      </c>
      <c r="B1001" t="s">
        <v>3945</v>
      </c>
      <c r="C1001" t="s">
        <v>567</v>
      </c>
      <c r="D1001" t="s">
        <v>568</v>
      </c>
      <c r="E1001" t="s">
        <v>562</v>
      </c>
      <c r="F1001" t="s">
        <v>27</v>
      </c>
      <c r="G1001">
        <v>1</v>
      </c>
      <c r="H1001" t="s">
        <v>4044</v>
      </c>
      <c r="I1001" t="s">
        <v>4045</v>
      </c>
      <c r="J1001" t="s">
        <v>4046</v>
      </c>
      <c r="K1001" t="s">
        <v>4045</v>
      </c>
      <c r="L1001" t="s">
        <v>198</v>
      </c>
      <c r="M1001" s="1" t="str">
        <f t="shared" si="105"/>
        <v>07R191</v>
      </c>
      <c r="N1001" s="1" t="str">
        <f t="shared" si="106"/>
        <v>C/O</v>
      </c>
      <c r="O1001" s="1" t="str">
        <f t="shared" si="107"/>
        <v>Axle Assembly Rear</v>
      </c>
      <c r="P1001" s="1" t="str">
        <f t="shared" si="108"/>
        <v>ZMX0</v>
      </c>
      <c r="Q1001" s="2" t="str">
        <f t="shared" si="109"/>
        <v>ZMX0Axle Assembly Rear</v>
      </c>
      <c r="R1001" s="2" t="str">
        <f>New_Xref[[#This Row],[Serial Prefix]]&amp;IF(New_Xref[[#This Row],[Func Loc]]&lt;&gt;"",New_Xref[[#This Row],[Func Loc]],"NO MATCH")</f>
        <v>ZMX0FDRV .AXAR</v>
      </c>
      <c r="S1001" s="3" t="str">
        <f t="shared" si="110"/>
        <v>ZMX03732558FAxle Assembly Rear</v>
      </c>
      <c r="T1001" s="3" t="s">
        <v>566</v>
      </c>
      <c r="U1001" s="3" t="s">
        <v>317</v>
      </c>
      <c r="V1001" t="str">
        <f t="shared" si="111"/>
        <v>3013RE</v>
      </c>
    </row>
    <row r="1002" spans="1:22">
      <c r="A1002" t="s">
        <v>3917</v>
      </c>
      <c r="B1002" t="s">
        <v>3918</v>
      </c>
      <c r="C1002" t="s">
        <v>572</v>
      </c>
      <c r="D1002" t="s">
        <v>573</v>
      </c>
      <c r="E1002" t="s">
        <v>191</v>
      </c>
      <c r="F1002" t="s">
        <v>27</v>
      </c>
      <c r="G1002">
        <v>1</v>
      </c>
      <c r="H1002" t="s">
        <v>4047</v>
      </c>
      <c r="I1002" t="s">
        <v>4048</v>
      </c>
      <c r="J1002" t="s">
        <v>4049</v>
      </c>
      <c r="K1002" t="s">
        <v>4048</v>
      </c>
      <c r="L1002" t="s">
        <v>72</v>
      </c>
      <c r="M1002" s="1" t="str">
        <f t="shared" si="105"/>
        <v>07H313</v>
      </c>
      <c r="N1002" s="1" t="str">
        <f t="shared" si="106"/>
        <v>C/O</v>
      </c>
      <c r="O1002" s="1" t="str">
        <f t="shared" si="107"/>
        <v>Transmission</v>
      </c>
      <c r="P1002" s="1" t="str">
        <f t="shared" si="108"/>
        <v>8800</v>
      </c>
      <c r="Q1002" s="2" t="str">
        <f t="shared" si="109"/>
        <v>8800Transmission</v>
      </c>
      <c r="R1002" s="2" t="str">
        <f>New_Xref[[#This Row],[Serial Prefix]]&amp;IF(New_Xref[[#This Row],[Func Loc]]&lt;&gt;"",New_Xref[[#This Row],[Func Loc]],"NO MATCH")</f>
        <v>8800TRAN .TRAN</v>
      </c>
      <c r="S1002" s="3" t="str">
        <f t="shared" si="110"/>
        <v>88003466114XTransmission</v>
      </c>
      <c r="T1002" s="3" t="s">
        <v>73</v>
      </c>
      <c r="U1002" s="3" t="s">
        <v>34</v>
      </c>
      <c r="V1002" t="str">
        <f t="shared" si="111"/>
        <v>303000</v>
      </c>
    </row>
    <row r="1003" spans="1:22">
      <c r="A1003" t="s">
        <v>3917</v>
      </c>
      <c r="B1003" t="s">
        <v>3923</v>
      </c>
      <c r="C1003" t="s">
        <v>3698</v>
      </c>
      <c r="D1003" t="s">
        <v>3699</v>
      </c>
      <c r="E1003" t="s">
        <v>191</v>
      </c>
      <c r="F1003" t="s">
        <v>27</v>
      </c>
      <c r="G1003">
        <v>1</v>
      </c>
      <c r="H1003" t="s">
        <v>4050</v>
      </c>
      <c r="I1003" t="s">
        <v>4051</v>
      </c>
      <c r="J1003" t="s">
        <v>4052</v>
      </c>
      <c r="K1003" t="s">
        <v>4051</v>
      </c>
      <c r="L1003" t="s">
        <v>72</v>
      </c>
      <c r="M1003" s="1" t="str">
        <f t="shared" si="105"/>
        <v>07H117</v>
      </c>
      <c r="N1003" s="1" t="str">
        <f t="shared" si="106"/>
        <v>C/O</v>
      </c>
      <c r="O1003" s="1" t="str">
        <f t="shared" si="107"/>
        <v>Transmission</v>
      </c>
      <c r="P1003" s="1" t="str">
        <f t="shared" si="108"/>
        <v>H4C0</v>
      </c>
      <c r="Q1003" s="2" t="str">
        <f t="shared" si="109"/>
        <v>H4C0Transmission</v>
      </c>
      <c r="R1003" s="2" t="str">
        <f>New_Xref[[#This Row],[Serial Prefix]]&amp;IF(New_Xref[[#This Row],[Func Loc]]&lt;&gt;"",New_Xref[[#This Row],[Func Loc]],"NO MATCH")</f>
        <v>H4C0TRAN .TRAN</v>
      </c>
      <c r="S1003" s="3" t="str">
        <f t="shared" si="110"/>
        <v>H4C02837702XTransmission</v>
      </c>
      <c r="T1003" s="3" t="s">
        <v>73</v>
      </c>
      <c r="U1003" s="3" t="s">
        <v>34</v>
      </c>
      <c r="V1003" t="str">
        <f t="shared" si="111"/>
        <v>303000</v>
      </c>
    </row>
    <row r="1004" spans="1:22">
      <c r="A1004" t="s">
        <v>3917</v>
      </c>
      <c r="B1004" t="s">
        <v>3931</v>
      </c>
      <c r="H1004" t="s">
        <v>4053</v>
      </c>
      <c r="I1004" t="s">
        <v>4054</v>
      </c>
      <c r="J1004" t="s">
        <v>4055</v>
      </c>
      <c r="K1004" t="s">
        <v>4054</v>
      </c>
      <c r="L1004" t="s">
        <v>72</v>
      </c>
      <c r="M1004" s="1" t="str">
        <f t="shared" si="105"/>
        <v>07H363</v>
      </c>
      <c r="N1004" s="1" t="str">
        <f t="shared" si="106"/>
        <v>C/O</v>
      </c>
      <c r="O1004" s="1" t="str">
        <f t="shared" si="107"/>
        <v>Transmission</v>
      </c>
      <c r="P1004" s="1" t="str">
        <f t="shared" si="108"/>
        <v>RM20</v>
      </c>
      <c r="Q1004" s="2" t="str">
        <f t="shared" si="109"/>
        <v>RM20Transmission</v>
      </c>
      <c r="R1004" s="2" t="str">
        <f>New_Xref[[#This Row],[Serial Prefix]]&amp;IF(New_Xref[[#This Row],[Func Loc]]&lt;&gt;"",New_Xref[[#This Row],[Func Loc]],"NO MATCH")</f>
        <v>RM20TRAN .TRAN</v>
      </c>
      <c r="S1004" s="3" t="str">
        <f t="shared" si="110"/>
        <v>RM20Transmission</v>
      </c>
      <c r="T1004" s="3" t="s">
        <v>73</v>
      </c>
      <c r="U1004" s="3" t="s">
        <v>34</v>
      </c>
      <c r="V1004" t="str">
        <f t="shared" si="111"/>
        <v>303000</v>
      </c>
    </row>
    <row r="1005" spans="1:22">
      <c r="A1005" t="s">
        <v>3917</v>
      </c>
      <c r="B1005" t="s">
        <v>3936</v>
      </c>
      <c r="C1005" t="s">
        <v>572</v>
      </c>
      <c r="D1005" t="s">
        <v>573</v>
      </c>
      <c r="E1005" t="s">
        <v>191</v>
      </c>
      <c r="F1005" t="s">
        <v>27</v>
      </c>
      <c r="G1005">
        <v>1</v>
      </c>
      <c r="H1005" t="s">
        <v>4056</v>
      </c>
      <c r="I1005" t="s">
        <v>4057</v>
      </c>
      <c r="J1005" t="s">
        <v>4058</v>
      </c>
      <c r="K1005" t="s">
        <v>4057</v>
      </c>
      <c r="L1005" t="s">
        <v>72</v>
      </c>
      <c r="M1005" s="1" t="str">
        <f t="shared" si="105"/>
        <v>07B408</v>
      </c>
      <c r="N1005" s="1" t="str">
        <f t="shared" si="106"/>
        <v>C/O</v>
      </c>
      <c r="O1005" s="1" t="str">
        <f t="shared" si="107"/>
        <v>Transmission</v>
      </c>
      <c r="P1005" s="1" t="str">
        <f t="shared" si="108"/>
        <v>RM50</v>
      </c>
      <c r="Q1005" s="2" t="str">
        <f t="shared" si="109"/>
        <v>RM50Transmission</v>
      </c>
      <c r="R1005" s="2" t="str">
        <f>New_Xref[[#This Row],[Serial Prefix]]&amp;IF(New_Xref[[#This Row],[Func Loc]]&lt;&gt;"",New_Xref[[#This Row],[Func Loc]],"NO MATCH")</f>
        <v>RM50TRAN .TRAN</v>
      </c>
      <c r="S1005" s="3" t="str">
        <f t="shared" si="110"/>
        <v>RM503466114XTransmission</v>
      </c>
      <c r="T1005" s="3" t="s">
        <v>73</v>
      </c>
      <c r="U1005" s="3" t="s">
        <v>34</v>
      </c>
      <c r="V1005" t="str">
        <f t="shared" si="111"/>
        <v>303000</v>
      </c>
    </row>
    <row r="1006" spans="1:22">
      <c r="A1006" t="s">
        <v>3917</v>
      </c>
      <c r="B1006" t="s">
        <v>3945</v>
      </c>
      <c r="C1006" t="s">
        <v>572</v>
      </c>
      <c r="D1006" t="s">
        <v>573</v>
      </c>
      <c r="E1006" t="s">
        <v>191</v>
      </c>
      <c r="F1006" t="s">
        <v>27</v>
      </c>
      <c r="G1006">
        <v>1</v>
      </c>
      <c r="H1006" t="s">
        <v>4059</v>
      </c>
      <c r="I1006" t="s">
        <v>4060</v>
      </c>
      <c r="J1006" t="s">
        <v>4061</v>
      </c>
      <c r="K1006" t="s">
        <v>4060</v>
      </c>
      <c r="L1006" t="s">
        <v>72</v>
      </c>
      <c r="M1006" s="1" t="str">
        <f t="shared" si="105"/>
        <v>07R191</v>
      </c>
      <c r="N1006" s="1" t="str">
        <f t="shared" si="106"/>
        <v>C/O</v>
      </c>
      <c r="O1006" s="1" t="str">
        <f t="shared" si="107"/>
        <v>Transmission</v>
      </c>
      <c r="P1006" s="1" t="str">
        <f t="shared" si="108"/>
        <v>ZMX0</v>
      </c>
      <c r="Q1006" s="2" t="str">
        <f t="shared" si="109"/>
        <v>ZMX0Transmission</v>
      </c>
      <c r="R1006" s="2" t="str">
        <f>New_Xref[[#This Row],[Serial Prefix]]&amp;IF(New_Xref[[#This Row],[Func Loc]]&lt;&gt;"",New_Xref[[#This Row],[Func Loc]],"NO MATCH")</f>
        <v>ZMX0TRAN .TRAN</v>
      </c>
      <c r="S1006" s="3" t="str">
        <f t="shared" si="110"/>
        <v>ZMX03466114XTransmission</v>
      </c>
      <c r="T1006" s="3" t="s">
        <v>73</v>
      </c>
      <c r="U1006" s="3" t="s">
        <v>34</v>
      </c>
      <c r="V1006" t="str">
        <f t="shared" si="111"/>
        <v>303000</v>
      </c>
    </row>
    <row r="1007" spans="1:22">
      <c r="A1007" t="s">
        <v>3917</v>
      </c>
      <c r="B1007" t="s">
        <v>3936</v>
      </c>
      <c r="C1007" t="s">
        <v>577</v>
      </c>
      <c r="D1007" t="s">
        <v>578</v>
      </c>
      <c r="E1007" t="s">
        <v>579</v>
      </c>
      <c r="F1007" t="s">
        <v>27</v>
      </c>
      <c r="G1007">
        <v>1</v>
      </c>
      <c r="H1007" t="s">
        <v>4062</v>
      </c>
      <c r="I1007" t="s">
        <v>4063</v>
      </c>
      <c r="J1007" t="s">
        <v>4064</v>
      </c>
      <c r="K1007" t="s">
        <v>4063</v>
      </c>
      <c r="L1007" t="s">
        <v>2275</v>
      </c>
      <c r="M1007" s="1" t="str">
        <f t="shared" si="105"/>
        <v>07B408</v>
      </c>
      <c r="N1007" s="1" t="str">
        <f t="shared" si="106"/>
        <v>C/O</v>
      </c>
      <c r="O1007" s="1" t="str">
        <f t="shared" si="107"/>
        <v>Transmission Charge Pump</v>
      </c>
      <c r="P1007" s="1" t="str">
        <f t="shared" si="108"/>
        <v>RM50</v>
      </c>
      <c r="Q1007" s="2" t="str">
        <f t="shared" si="109"/>
        <v>RM50Transmission Charge Pump</v>
      </c>
      <c r="R1007" s="2" t="str">
        <f>New_Xref[[#This Row],[Serial Prefix]]&amp;IF(New_Xref[[#This Row],[Func Loc]]&lt;&gt;"",New_Xref[[#This Row],[Func Loc]],"NO MATCH")</f>
        <v>RM50TRAN .PUMP.DP01</v>
      </c>
      <c r="S1007" s="3" t="str">
        <f t="shared" si="110"/>
        <v>RM5020R6497Transmission Charge Pump</v>
      </c>
      <c r="T1007" s="3" t="s">
        <v>584</v>
      </c>
      <c r="U1007" s="3" t="s">
        <v>34</v>
      </c>
      <c r="V1007" t="str">
        <f t="shared" si="111"/>
        <v>306600</v>
      </c>
    </row>
    <row r="1008" spans="1:22">
      <c r="A1008" t="s">
        <v>3917</v>
      </c>
      <c r="B1008" t="s">
        <v>3923</v>
      </c>
      <c r="H1008" t="s">
        <v>4065</v>
      </c>
      <c r="I1008" t="s">
        <v>4066</v>
      </c>
      <c r="J1008" t="s">
        <v>4067</v>
      </c>
      <c r="K1008" t="s">
        <v>4066</v>
      </c>
      <c r="L1008" t="s">
        <v>83</v>
      </c>
      <c r="M1008" s="1" t="str">
        <f t="shared" si="105"/>
        <v>07H117</v>
      </c>
      <c r="N1008" s="1" t="str">
        <f t="shared" si="106"/>
        <v>C/O</v>
      </c>
      <c r="O1008" s="1" t="str">
        <f t="shared" si="107"/>
        <v>Main Pump Drive Trans with TC</v>
      </c>
      <c r="P1008" s="1" t="str">
        <f t="shared" si="108"/>
        <v>H4C0</v>
      </c>
      <c r="Q1008" s="2" t="str">
        <f t="shared" si="109"/>
        <v>H4C0Main Pump Drive Trans with TC</v>
      </c>
      <c r="R1008" s="2" t="str">
        <f>New_Xref[[#This Row],[Serial Prefix]]&amp;IF(New_Xref[[#This Row],[Func Loc]]&lt;&gt;"",New_Xref[[#This Row],[Func Loc]],"NO MATCH")</f>
        <v>H4C0NO MATCH</v>
      </c>
      <c r="S1008" s="3" t="str">
        <f t="shared" si="110"/>
        <v>H4C0Main Pump Drive Trans with TC</v>
      </c>
      <c r="T1008" s="3" t="s">
        <v>305</v>
      </c>
      <c r="U1008" s="3" t="s">
        <v>34</v>
      </c>
      <c r="V1008" t="str">
        <f t="shared" si="111"/>
        <v>310100</v>
      </c>
    </row>
    <row r="1009" spans="1:22">
      <c r="A1009" t="s">
        <v>3917</v>
      </c>
      <c r="B1009" t="s">
        <v>4068</v>
      </c>
      <c r="H1009" t="s">
        <v>4069</v>
      </c>
      <c r="I1009" t="s">
        <v>4070</v>
      </c>
      <c r="J1009" t="s">
        <v>4071</v>
      </c>
      <c r="K1009" t="s">
        <v>4070</v>
      </c>
      <c r="L1009" t="s">
        <v>83</v>
      </c>
      <c r="M1009" s="1" t="str">
        <f t="shared" si="105"/>
        <v>07H425</v>
      </c>
      <c r="N1009" s="1" t="str">
        <f t="shared" si="106"/>
        <v>C/O</v>
      </c>
      <c r="O1009" s="1" t="str">
        <f t="shared" si="107"/>
        <v>Main Pump Drive Trans with TC</v>
      </c>
      <c r="P1009" s="1" t="str">
        <f t="shared" si="108"/>
        <v>RM50</v>
      </c>
      <c r="Q1009" s="2" t="str">
        <f t="shared" si="109"/>
        <v>RM50Main Pump Drive Trans with TC</v>
      </c>
      <c r="R1009" s="2" t="str">
        <f>New_Xref[[#This Row],[Serial Prefix]]&amp;IF(New_Xref[[#This Row],[Func Loc]]&lt;&gt;"",New_Xref[[#This Row],[Func Loc]],"NO MATCH")</f>
        <v>RM50NO MATCH</v>
      </c>
      <c r="S1009" s="3" t="str">
        <f t="shared" si="110"/>
        <v>RM50Main Pump Drive Trans with TC</v>
      </c>
      <c r="T1009" s="3" t="s">
        <v>305</v>
      </c>
      <c r="U1009" s="3" t="s">
        <v>34</v>
      </c>
      <c r="V1009" t="str">
        <f t="shared" si="111"/>
        <v>310100</v>
      </c>
    </row>
    <row r="1010" spans="1:22">
      <c r="A1010" t="s">
        <v>3917</v>
      </c>
      <c r="B1010" t="s">
        <v>3941</v>
      </c>
      <c r="H1010" t="s">
        <v>4072</v>
      </c>
      <c r="I1010" t="s">
        <v>4073</v>
      </c>
      <c r="J1010" t="s">
        <v>4074</v>
      </c>
      <c r="K1010" t="s">
        <v>4073</v>
      </c>
      <c r="L1010" t="s">
        <v>83</v>
      </c>
      <c r="M1010" s="1" t="str">
        <f t="shared" si="105"/>
        <v>07H167</v>
      </c>
      <c r="N1010" s="1" t="str">
        <f t="shared" si="106"/>
        <v>C/O</v>
      </c>
      <c r="O1010" s="1" t="str">
        <f t="shared" si="107"/>
        <v>Main Pump Drive Trans with TC</v>
      </c>
      <c r="P1010" s="1" t="str">
        <f t="shared" si="108"/>
        <v>ZMX0</v>
      </c>
      <c r="Q1010" s="2" t="str">
        <f t="shared" si="109"/>
        <v>ZMX0Main Pump Drive Trans with TC</v>
      </c>
      <c r="R1010" s="2" t="str">
        <f>New_Xref[[#This Row],[Serial Prefix]]&amp;IF(New_Xref[[#This Row],[Func Loc]]&lt;&gt;"",New_Xref[[#This Row],[Func Loc]],"NO MATCH")</f>
        <v>ZMX0NO MATCH</v>
      </c>
      <c r="S1010" s="3" t="str">
        <f t="shared" si="110"/>
        <v>ZMX0Main Pump Drive Trans with TC</v>
      </c>
      <c r="T1010" s="3" t="s">
        <v>305</v>
      </c>
      <c r="U1010" s="3" t="s">
        <v>34</v>
      </c>
      <c r="V1010" t="str">
        <f t="shared" si="111"/>
        <v>310100</v>
      </c>
    </row>
    <row r="1011" spans="1:22">
      <c r="A1011" t="s">
        <v>3917</v>
      </c>
      <c r="B1011" t="s">
        <v>3955</v>
      </c>
      <c r="C1011" t="s">
        <v>667</v>
      </c>
      <c r="D1011" t="s">
        <v>668</v>
      </c>
      <c r="E1011" t="s">
        <v>4075</v>
      </c>
      <c r="F1011" t="s">
        <v>125</v>
      </c>
      <c r="G1011">
        <v>1</v>
      </c>
      <c r="H1011" t="s">
        <v>4076</v>
      </c>
      <c r="I1011" t="s">
        <v>4077</v>
      </c>
      <c r="J1011" t="s">
        <v>4078</v>
      </c>
      <c r="K1011" t="s">
        <v>4079</v>
      </c>
      <c r="L1011" t="s">
        <v>83</v>
      </c>
      <c r="M1011" s="1" t="str">
        <f t="shared" si="105"/>
        <v>07H375</v>
      </c>
      <c r="N1011" s="1" t="str">
        <f t="shared" si="106"/>
        <v>C/O</v>
      </c>
      <c r="O1011" s="1" t="str">
        <f t="shared" si="107"/>
        <v>Driveshaft Centre</v>
      </c>
      <c r="P1011" s="1" t="str">
        <f t="shared" si="108"/>
        <v>H4C0</v>
      </c>
      <c r="Q1011" s="2" t="str">
        <f t="shared" si="109"/>
        <v>H4C0Driveshaft Centre</v>
      </c>
      <c r="R1011" s="2" t="str">
        <f>New_Xref[[#This Row],[Serial Prefix]]&amp;IF(New_Xref[[#This Row],[Func Loc]]&lt;&gt;"",New_Xref[[#This Row],[Func Loc]],"NO MATCH")</f>
        <v>H4C0NO MATCH</v>
      </c>
      <c r="S1011" s="3" t="str">
        <f t="shared" si="110"/>
        <v>H4C01681916Driveshaft Centre</v>
      </c>
      <c r="T1011" s="3" t="s">
        <v>674</v>
      </c>
      <c r="U1011" s="3" t="s">
        <v>34</v>
      </c>
      <c r="V1011" t="str">
        <f t="shared" si="111"/>
        <v>325300</v>
      </c>
    </row>
    <row r="1012" spans="1:22">
      <c r="A1012" t="s">
        <v>3917</v>
      </c>
      <c r="B1012" t="s">
        <v>3936</v>
      </c>
      <c r="C1012" t="s">
        <v>667</v>
      </c>
      <c r="D1012" t="s">
        <v>668</v>
      </c>
      <c r="E1012" t="s">
        <v>669</v>
      </c>
      <c r="F1012" t="s">
        <v>125</v>
      </c>
      <c r="G1012">
        <v>1</v>
      </c>
      <c r="H1012" t="s">
        <v>4080</v>
      </c>
      <c r="I1012" t="s">
        <v>4081</v>
      </c>
      <c r="J1012" t="s">
        <v>4082</v>
      </c>
      <c r="K1012" t="s">
        <v>4083</v>
      </c>
      <c r="L1012" t="s">
        <v>83</v>
      </c>
      <c r="M1012" s="1" t="str">
        <f t="shared" si="105"/>
        <v>07B408</v>
      </c>
      <c r="N1012" s="1" t="str">
        <f t="shared" si="106"/>
        <v>C/O</v>
      </c>
      <c r="O1012" s="1" t="str">
        <f t="shared" si="107"/>
        <v>Driveshaft Centre</v>
      </c>
      <c r="P1012" s="1" t="str">
        <f t="shared" si="108"/>
        <v>RM50</v>
      </c>
      <c r="Q1012" s="2" t="str">
        <f t="shared" si="109"/>
        <v>RM50Driveshaft Centre</v>
      </c>
      <c r="R1012" s="2" t="str">
        <f>New_Xref[[#This Row],[Serial Prefix]]&amp;IF(New_Xref[[#This Row],[Func Loc]]&lt;&gt;"",New_Xref[[#This Row],[Func Loc]],"NO MATCH")</f>
        <v>RM50NO MATCH</v>
      </c>
      <c r="S1012" s="3" t="str">
        <f t="shared" si="110"/>
        <v>RM501681916Driveshaft Centre</v>
      </c>
      <c r="T1012" s="3" t="s">
        <v>674</v>
      </c>
      <c r="U1012" s="3" t="s">
        <v>34</v>
      </c>
      <c r="V1012" t="str">
        <f t="shared" si="111"/>
        <v>325300</v>
      </c>
    </row>
    <row r="1013" spans="1:22">
      <c r="A1013" t="s">
        <v>3917</v>
      </c>
      <c r="B1013" t="s">
        <v>3941</v>
      </c>
      <c r="C1013" t="s">
        <v>667</v>
      </c>
      <c r="D1013" t="s">
        <v>668</v>
      </c>
      <c r="E1013" t="s">
        <v>4075</v>
      </c>
      <c r="F1013" t="s">
        <v>125</v>
      </c>
      <c r="G1013">
        <v>1</v>
      </c>
      <c r="H1013" t="s">
        <v>4084</v>
      </c>
      <c r="I1013" t="s">
        <v>4085</v>
      </c>
      <c r="J1013" t="s">
        <v>4086</v>
      </c>
      <c r="K1013" t="s">
        <v>4087</v>
      </c>
      <c r="L1013" t="s">
        <v>83</v>
      </c>
      <c r="M1013" s="1" t="str">
        <f t="shared" si="105"/>
        <v>07H167</v>
      </c>
      <c r="N1013" s="1" t="str">
        <f t="shared" si="106"/>
        <v>C/O</v>
      </c>
      <c r="O1013" s="1" t="str">
        <f t="shared" si="107"/>
        <v>Driveshaft Centre</v>
      </c>
      <c r="P1013" s="1" t="str">
        <f t="shared" si="108"/>
        <v>ZMX0</v>
      </c>
      <c r="Q1013" s="2" t="str">
        <f t="shared" si="109"/>
        <v>ZMX0Driveshaft Centre</v>
      </c>
      <c r="R1013" s="2" t="str">
        <f>New_Xref[[#This Row],[Serial Prefix]]&amp;IF(New_Xref[[#This Row],[Func Loc]]&lt;&gt;"",New_Xref[[#This Row],[Func Loc]],"NO MATCH")</f>
        <v>ZMX0NO MATCH</v>
      </c>
      <c r="S1013" s="3" t="str">
        <f t="shared" si="110"/>
        <v>ZMX01681916Driveshaft Centre</v>
      </c>
      <c r="T1013" s="3" t="s">
        <v>674</v>
      </c>
      <c r="U1013" s="3" t="s">
        <v>34</v>
      </c>
      <c r="V1013" t="str">
        <f t="shared" si="111"/>
        <v>325300</v>
      </c>
    </row>
    <row r="1014" spans="1:22">
      <c r="A1014" t="s">
        <v>3917</v>
      </c>
      <c r="B1014" t="s">
        <v>3918</v>
      </c>
      <c r="H1014" t="s">
        <v>4088</v>
      </c>
      <c r="I1014" t="s">
        <v>4089</v>
      </c>
      <c r="J1014" t="s">
        <v>4090</v>
      </c>
      <c r="K1014" t="s">
        <v>4089</v>
      </c>
      <c r="L1014" t="s">
        <v>767</v>
      </c>
      <c r="M1014" s="1" t="str">
        <f t="shared" si="105"/>
        <v>07H313</v>
      </c>
      <c r="N1014" s="1" t="str">
        <f t="shared" si="106"/>
        <v>C/O</v>
      </c>
      <c r="O1014" s="1" t="str">
        <f t="shared" si="107"/>
        <v>Steering Cylinder LH</v>
      </c>
      <c r="P1014" s="1" t="str">
        <f t="shared" si="108"/>
        <v>8800</v>
      </c>
      <c r="Q1014" s="2" t="str">
        <f t="shared" si="109"/>
        <v>8800Steering Cylinder LH</v>
      </c>
      <c r="R1014" s="2" t="str">
        <f>New_Xref[[#This Row],[Serial Prefix]]&amp;IF(New_Xref[[#This Row],[Func Loc]]&lt;&gt;"",New_Xref[[#This Row],[Func Loc]],"NO MATCH")</f>
        <v>8800STRG .CYLI.SC01</v>
      </c>
      <c r="S1014" s="3" t="str">
        <f t="shared" si="110"/>
        <v>8800Steering Cylinder LH</v>
      </c>
      <c r="T1014" s="3" t="s">
        <v>107</v>
      </c>
      <c r="U1014" s="3" t="s">
        <v>108</v>
      </c>
      <c r="V1014" t="str">
        <f t="shared" si="111"/>
        <v>4303LT</v>
      </c>
    </row>
    <row r="1015" spans="1:22">
      <c r="A1015" t="s">
        <v>3917</v>
      </c>
      <c r="B1015" t="s">
        <v>3918</v>
      </c>
      <c r="H1015" t="s">
        <v>4088</v>
      </c>
      <c r="I1015" t="s">
        <v>4091</v>
      </c>
      <c r="J1015" t="s">
        <v>4092</v>
      </c>
      <c r="K1015" t="s">
        <v>4091</v>
      </c>
      <c r="L1015" t="s">
        <v>770</v>
      </c>
      <c r="M1015" s="1" t="str">
        <f t="shared" si="105"/>
        <v>07H313</v>
      </c>
      <c r="N1015" s="1" t="str">
        <f t="shared" si="106"/>
        <v>C/O</v>
      </c>
      <c r="O1015" s="1" t="str">
        <f t="shared" si="107"/>
        <v>Steering Cylinder RH</v>
      </c>
      <c r="P1015" s="1" t="str">
        <f t="shared" si="108"/>
        <v>8800</v>
      </c>
      <c r="Q1015" s="2" t="str">
        <f t="shared" si="109"/>
        <v>8800Steering Cylinder RH</v>
      </c>
      <c r="R1015" s="2" t="str">
        <f>New_Xref[[#This Row],[Serial Prefix]]&amp;IF(New_Xref[[#This Row],[Func Loc]]&lt;&gt;"",New_Xref[[#This Row],[Func Loc]],"NO MATCH")</f>
        <v>8800STRG .CYLI.SC02</v>
      </c>
      <c r="S1015" s="3" t="str">
        <f t="shared" si="110"/>
        <v>8800Steering Cylinder RH</v>
      </c>
      <c r="T1015" s="3" t="s">
        <v>107</v>
      </c>
      <c r="U1015" s="3" t="s">
        <v>115</v>
      </c>
      <c r="V1015" t="str">
        <f t="shared" si="111"/>
        <v>4303RI</v>
      </c>
    </row>
    <row r="1016" spans="1:22">
      <c r="A1016" t="s">
        <v>3917</v>
      </c>
      <c r="B1016" t="s">
        <v>3923</v>
      </c>
      <c r="H1016" t="s">
        <v>4093</v>
      </c>
      <c r="I1016" t="s">
        <v>4094</v>
      </c>
      <c r="J1016" t="s">
        <v>4095</v>
      </c>
      <c r="K1016" t="s">
        <v>4094</v>
      </c>
      <c r="L1016" t="s">
        <v>767</v>
      </c>
      <c r="M1016" s="1" t="str">
        <f t="shared" si="105"/>
        <v>07H117</v>
      </c>
      <c r="N1016" s="1" t="str">
        <f t="shared" si="106"/>
        <v>C/O</v>
      </c>
      <c r="O1016" s="1" t="str">
        <f t="shared" si="107"/>
        <v>Steering Cylinder LH</v>
      </c>
      <c r="P1016" s="1" t="str">
        <f t="shared" si="108"/>
        <v>H4C0</v>
      </c>
      <c r="Q1016" s="2" t="str">
        <f t="shared" si="109"/>
        <v>H4C0Steering Cylinder LH</v>
      </c>
      <c r="R1016" s="2" t="str">
        <f>New_Xref[[#This Row],[Serial Prefix]]&amp;IF(New_Xref[[#This Row],[Func Loc]]&lt;&gt;"",New_Xref[[#This Row],[Func Loc]],"NO MATCH")</f>
        <v>H4C0STRG .CYLI.SC01</v>
      </c>
      <c r="S1016" s="3" t="str">
        <f t="shared" si="110"/>
        <v>H4C0Steering Cylinder LH</v>
      </c>
      <c r="T1016" s="3" t="s">
        <v>107</v>
      </c>
      <c r="U1016" s="3" t="s">
        <v>108</v>
      </c>
      <c r="V1016" t="str">
        <f t="shared" si="111"/>
        <v>4303LT</v>
      </c>
    </row>
    <row r="1017" spans="1:22">
      <c r="A1017" t="s">
        <v>3917</v>
      </c>
      <c r="B1017" t="s">
        <v>3923</v>
      </c>
      <c r="H1017" t="s">
        <v>4093</v>
      </c>
      <c r="I1017" t="s">
        <v>4096</v>
      </c>
      <c r="J1017" t="s">
        <v>4097</v>
      </c>
      <c r="K1017" t="s">
        <v>4096</v>
      </c>
      <c r="L1017" t="s">
        <v>770</v>
      </c>
      <c r="M1017" s="1" t="str">
        <f t="shared" si="105"/>
        <v>07H117</v>
      </c>
      <c r="N1017" s="1" t="str">
        <f t="shared" si="106"/>
        <v>C/O</v>
      </c>
      <c r="O1017" s="1" t="str">
        <f t="shared" si="107"/>
        <v>Steering Cylinder RH</v>
      </c>
      <c r="P1017" s="1" t="str">
        <f t="shared" si="108"/>
        <v>H4C0</v>
      </c>
      <c r="Q1017" s="2" t="str">
        <f t="shared" si="109"/>
        <v>H4C0Steering Cylinder RH</v>
      </c>
      <c r="R1017" s="2" t="str">
        <f>New_Xref[[#This Row],[Serial Prefix]]&amp;IF(New_Xref[[#This Row],[Func Loc]]&lt;&gt;"",New_Xref[[#This Row],[Func Loc]],"NO MATCH")</f>
        <v>H4C0STRG .CYLI.SC02</v>
      </c>
      <c r="S1017" s="3" t="str">
        <f t="shared" si="110"/>
        <v>H4C0Steering Cylinder RH</v>
      </c>
      <c r="T1017" s="3" t="s">
        <v>107</v>
      </c>
      <c r="U1017" s="3" t="s">
        <v>115</v>
      </c>
      <c r="V1017" t="str">
        <f t="shared" si="111"/>
        <v>4303RI</v>
      </c>
    </row>
    <row r="1018" spans="1:22">
      <c r="A1018" t="s">
        <v>3917</v>
      </c>
      <c r="B1018" t="s">
        <v>3931</v>
      </c>
      <c r="H1018" t="s">
        <v>4098</v>
      </c>
      <c r="I1018" t="s">
        <v>4099</v>
      </c>
      <c r="J1018" t="s">
        <v>4100</v>
      </c>
      <c r="K1018" t="s">
        <v>4099</v>
      </c>
      <c r="L1018" t="s">
        <v>767</v>
      </c>
      <c r="M1018" s="1" t="str">
        <f t="shared" si="105"/>
        <v>07H363</v>
      </c>
      <c r="N1018" s="1" t="str">
        <f t="shared" si="106"/>
        <v>C/O</v>
      </c>
      <c r="O1018" s="1" t="str">
        <f t="shared" si="107"/>
        <v>Steering Cylinder LH</v>
      </c>
      <c r="P1018" s="1" t="str">
        <f t="shared" si="108"/>
        <v>RM20</v>
      </c>
      <c r="Q1018" s="2" t="str">
        <f t="shared" si="109"/>
        <v>RM20Steering Cylinder LH</v>
      </c>
      <c r="R1018" s="2" t="str">
        <f>New_Xref[[#This Row],[Serial Prefix]]&amp;IF(New_Xref[[#This Row],[Func Loc]]&lt;&gt;"",New_Xref[[#This Row],[Func Loc]],"NO MATCH")</f>
        <v>RM20STRG .CYLI.SC01</v>
      </c>
      <c r="S1018" s="3" t="str">
        <f t="shared" si="110"/>
        <v>RM20Steering Cylinder LH</v>
      </c>
      <c r="T1018" s="3" t="s">
        <v>107</v>
      </c>
      <c r="U1018" s="3" t="s">
        <v>108</v>
      </c>
      <c r="V1018" t="str">
        <f t="shared" si="111"/>
        <v>4303LT</v>
      </c>
    </row>
    <row r="1019" spans="1:22">
      <c r="A1019" t="s">
        <v>3917</v>
      </c>
      <c r="B1019" t="s">
        <v>3931</v>
      </c>
      <c r="H1019" t="s">
        <v>4098</v>
      </c>
      <c r="I1019" t="s">
        <v>4101</v>
      </c>
      <c r="J1019" t="s">
        <v>4102</v>
      </c>
      <c r="K1019" t="s">
        <v>4101</v>
      </c>
      <c r="L1019" t="s">
        <v>770</v>
      </c>
      <c r="M1019" s="1" t="str">
        <f t="shared" si="105"/>
        <v>07H363</v>
      </c>
      <c r="N1019" s="1" t="str">
        <f t="shared" si="106"/>
        <v>C/O</v>
      </c>
      <c r="O1019" s="1" t="str">
        <f t="shared" si="107"/>
        <v>Steering Cylinder RH</v>
      </c>
      <c r="P1019" s="1" t="str">
        <f t="shared" si="108"/>
        <v>RM20</v>
      </c>
      <c r="Q1019" s="2" t="str">
        <f t="shared" si="109"/>
        <v>RM20Steering Cylinder RH</v>
      </c>
      <c r="R1019" s="2" t="str">
        <f>New_Xref[[#This Row],[Serial Prefix]]&amp;IF(New_Xref[[#This Row],[Func Loc]]&lt;&gt;"",New_Xref[[#This Row],[Func Loc]],"NO MATCH")</f>
        <v>RM20STRG .CYLI.SC02</v>
      </c>
      <c r="S1019" s="3" t="str">
        <f t="shared" si="110"/>
        <v>RM20Steering Cylinder RH</v>
      </c>
      <c r="T1019" s="3" t="s">
        <v>107</v>
      </c>
      <c r="U1019" s="3" t="s">
        <v>115</v>
      </c>
      <c r="V1019" t="str">
        <f t="shared" si="111"/>
        <v>4303RI</v>
      </c>
    </row>
    <row r="1020" spans="1:22">
      <c r="A1020" t="s">
        <v>3917</v>
      </c>
      <c r="B1020" t="s">
        <v>3936</v>
      </c>
      <c r="C1020" t="s">
        <v>591</v>
      </c>
      <c r="D1020" t="s">
        <v>592</v>
      </c>
      <c r="E1020" t="s">
        <v>593</v>
      </c>
      <c r="F1020" t="s">
        <v>27</v>
      </c>
      <c r="G1020">
        <v>1</v>
      </c>
      <c r="H1020" t="s">
        <v>4103</v>
      </c>
      <c r="I1020" t="s">
        <v>4104</v>
      </c>
      <c r="J1020" t="s">
        <v>4105</v>
      </c>
      <c r="K1020" t="s">
        <v>4104</v>
      </c>
      <c r="L1020" t="s">
        <v>767</v>
      </c>
      <c r="M1020" s="1" t="str">
        <f t="shared" si="105"/>
        <v>07B408</v>
      </c>
      <c r="N1020" s="1" t="str">
        <f t="shared" si="106"/>
        <v>C/O</v>
      </c>
      <c r="O1020" s="1" t="str">
        <f t="shared" si="107"/>
        <v>Steering Cylinder LH</v>
      </c>
      <c r="P1020" s="1" t="str">
        <f t="shared" si="108"/>
        <v>RM50</v>
      </c>
      <c r="Q1020" s="2" t="str">
        <f t="shared" si="109"/>
        <v>RM50Steering Cylinder LH</v>
      </c>
      <c r="R1020" s="2" t="str">
        <f>New_Xref[[#This Row],[Serial Prefix]]&amp;IF(New_Xref[[#This Row],[Func Loc]]&lt;&gt;"",New_Xref[[#This Row],[Func Loc]],"NO MATCH")</f>
        <v>RM50STRG .CYLI.SC01</v>
      </c>
      <c r="S1020" s="3" t="str">
        <f t="shared" si="110"/>
        <v>RM501571352XSteering Cylinder LH</v>
      </c>
      <c r="T1020" s="3" t="s">
        <v>107</v>
      </c>
      <c r="U1020" s="3" t="s">
        <v>108</v>
      </c>
      <c r="V1020" t="str">
        <f t="shared" si="111"/>
        <v>4303LT</v>
      </c>
    </row>
    <row r="1021" spans="1:22">
      <c r="A1021" t="s">
        <v>3917</v>
      </c>
      <c r="B1021" t="s">
        <v>3936</v>
      </c>
      <c r="C1021" t="s">
        <v>591</v>
      </c>
      <c r="D1021" t="s">
        <v>592</v>
      </c>
      <c r="E1021" t="s">
        <v>593</v>
      </c>
      <c r="F1021" t="s">
        <v>27</v>
      </c>
      <c r="G1021">
        <v>1</v>
      </c>
      <c r="H1021" t="s">
        <v>4103</v>
      </c>
      <c r="I1021" t="s">
        <v>4106</v>
      </c>
      <c r="J1021" t="s">
        <v>4107</v>
      </c>
      <c r="K1021" t="s">
        <v>4106</v>
      </c>
      <c r="L1021" t="s">
        <v>770</v>
      </c>
      <c r="M1021" s="1" t="str">
        <f t="shared" si="105"/>
        <v>07B408</v>
      </c>
      <c r="N1021" s="1" t="str">
        <f t="shared" si="106"/>
        <v>C/O</v>
      </c>
      <c r="O1021" s="1" t="str">
        <f t="shared" si="107"/>
        <v>Steering Cylinder RH</v>
      </c>
      <c r="P1021" s="1" t="str">
        <f t="shared" si="108"/>
        <v>RM50</v>
      </c>
      <c r="Q1021" s="2" t="str">
        <f t="shared" si="109"/>
        <v>RM50Steering Cylinder RH</v>
      </c>
      <c r="R1021" s="2" t="str">
        <f>New_Xref[[#This Row],[Serial Prefix]]&amp;IF(New_Xref[[#This Row],[Func Loc]]&lt;&gt;"",New_Xref[[#This Row],[Func Loc]],"NO MATCH")</f>
        <v>RM50STRG .CYLI.SC02</v>
      </c>
      <c r="S1021" s="3" t="str">
        <f t="shared" si="110"/>
        <v>RM501571352XSteering Cylinder RH</v>
      </c>
      <c r="T1021" s="3" t="s">
        <v>107</v>
      </c>
      <c r="U1021" s="3" t="s">
        <v>115</v>
      </c>
      <c r="V1021" t="str">
        <f t="shared" si="111"/>
        <v>4303RI</v>
      </c>
    </row>
    <row r="1022" spans="1:22">
      <c r="A1022" t="s">
        <v>3917</v>
      </c>
      <c r="B1022" t="s">
        <v>4108</v>
      </c>
      <c r="H1022" t="s">
        <v>4109</v>
      </c>
      <c r="I1022" t="s">
        <v>4110</v>
      </c>
      <c r="J1022" t="s">
        <v>4111</v>
      </c>
      <c r="K1022" t="s">
        <v>4112</v>
      </c>
      <c r="L1022" t="s">
        <v>767</v>
      </c>
      <c r="M1022" s="1" t="str">
        <f t="shared" si="105"/>
        <v>07H435</v>
      </c>
      <c r="N1022" s="1" t="str">
        <f t="shared" si="106"/>
        <v>C/O</v>
      </c>
      <c r="O1022" s="1" t="str">
        <f t="shared" si="107"/>
        <v>Steering Cylinder LH</v>
      </c>
      <c r="P1022" s="1" t="str">
        <f t="shared" si="108"/>
        <v>RM50</v>
      </c>
      <c r="Q1022" s="2" t="str">
        <f t="shared" si="109"/>
        <v>RM50Steering Cylinder LH</v>
      </c>
      <c r="R1022" s="2" t="str">
        <f>New_Xref[[#This Row],[Serial Prefix]]&amp;IF(New_Xref[[#This Row],[Func Loc]]&lt;&gt;"",New_Xref[[#This Row],[Func Loc]],"NO MATCH")</f>
        <v>RM50STRG .CYLI.SC01</v>
      </c>
      <c r="S1022" s="3" t="str">
        <f t="shared" si="110"/>
        <v>RM50Steering Cylinder LH</v>
      </c>
      <c r="T1022" t="s">
        <v>107</v>
      </c>
      <c r="U1022" t="s">
        <v>89</v>
      </c>
      <c r="V1022" t="str">
        <f t="shared" si="111"/>
        <v>4303LF</v>
      </c>
    </row>
    <row r="1023" spans="1:22">
      <c r="A1023" t="s">
        <v>3917</v>
      </c>
      <c r="B1023" t="s">
        <v>4108</v>
      </c>
      <c r="H1023" t="s">
        <v>4109</v>
      </c>
      <c r="I1023" t="s">
        <v>4113</v>
      </c>
      <c r="J1023" t="s">
        <v>4114</v>
      </c>
      <c r="K1023" t="s">
        <v>4115</v>
      </c>
      <c r="L1023" t="s">
        <v>770</v>
      </c>
      <c r="M1023" s="1" t="str">
        <f t="shared" si="105"/>
        <v>07H435</v>
      </c>
      <c r="N1023" s="1" t="str">
        <f t="shared" si="106"/>
        <v>C/O</v>
      </c>
      <c r="O1023" s="1" t="str">
        <f t="shared" si="107"/>
        <v>Steering Cylinder RH</v>
      </c>
      <c r="P1023" s="1" t="str">
        <f t="shared" si="108"/>
        <v>RM50</v>
      </c>
      <c r="Q1023" s="2" t="str">
        <f t="shared" si="109"/>
        <v>RM50Steering Cylinder RH</v>
      </c>
      <c r="R1023" s="2" t="str">
        <f>New_Xref[[#This Row],[Serial Prefix]]&amp;IF(New_Xref[[#This Row],[Func Loc]]&lt;&gt;"",New_Xref[[#This Row],[Func Loc]],"NO MATCH")</f>
        <v>RM50STRG .CYLI.SC02</v>
      </c>
      <c r="S1023" s="3" t="str">
        <f t="shared" si="110"/>
        <v>RM50Steering Cylinder RH</v>
      </c>
      <c r="T1023" t="s">
        <v>107</v>
      </c>
      <c r="U1023" t="s">
        <v>92</v>
      </c>
      <c r="V1023" t="str">
        <f t="shared" si="111"/>
        <v>4303RF</v>
      </c>
    </row>
    <row r="1024" spans="1:22">
      <c r="A1024" t="s">
        <v>3917</v>
      </c>
      <c r="B1024" t="s">
        <v>3941</v>
      </c>
      <c r="H1024" t="s">
        <v>4116</v>
      </c>
      <c r="I1024" t="s">
        <v>4117</v>
      </c>
      <c r="J1024" t="s">
        <v>4118</v>
      </c>
      <c r="K1024" t="s">
        <v>4117</v>
      </c>
      <c r="L1024" t="s">
        <v>767</v>
      </c>
      <c r="M1024" s="1" t="str">
        <f t="shared" si="105"/>
        <v>07H167</v>
      </c>
      <c r="N1024" s="1" t="str">
        <f t="shared" si="106"/>
        <v>C/O</v>
      </c>
      <c r="O1024" s="1" t="str">
        <f t="shared" si="107"/>
        <v>Steering Cylinder LH</v>
      </c>
      <c r="P1024" s="1" t="str">
        <f t="shared" si="108"/>
        <v>ZMX0</v>
      </c>
      <c r="Q1024" s="2" t="str">
        <f t="shared" si="109"/>
        <v>ZMX0Steering Cylinder LH</v>
      </c>
      <c r="R1024" s="2" t="str">
        <f>New_Xref[[#This Row],[Serial Prefix]]&amp;IF(New_Xref[[#This Row],[Func Loc]]&lt;&gt;"",New_Xref[[#This Row],[Func Loc]],"NO MATCH")</f>
        <v>ZMX0STRG .CYLI.SC01</v>
      </c>
      <c r="S1024" s="3" t="str">
        <f t="shared" si="110"/>
        <v>ZMX0Steering Cylinder LH</v>
      </c>
      <c r="T1024" s="3" t="s">
        <v>107</v>
      </c>
      <c r="U1024" s="3" t="s">
        <v>108</v>
      </c>
      <c r="V1024" t="str">
        <f t="shared" si="111"/>
        <v>4303LT</v>
      </c>
    </row>
    <row r="1025" spans="1:22">
      <c r="A1025" t="s">
        <v>3917</v>
      </c>
      <c r="B1025" t="s">
        <v>3941</v>
      </c>
      <c r="H1025" t="s">
        <v>4116</v>
      </c>
      <c r="I1025" t="s">
        <v>4119</v>
      </c>
      <c r="J1025" t="s">
        <v>4120</v>
      </c>
      <c r="K1025" t="s">
        <v>4119</v>
      </c>
      <c r="L1025" t="s">
        <v>770</v>
      </c>
      <c r="M1025" s="1" t="str">
        <f t="shared" si="105"/>
        <v>07H167</v>
      </c>
      <c r="N1025" s="1" t="str">
        <f t="shared" si="106"/>
        <v>C/O</v>
      </c>
      <c r="O1025" s="1" t="str">
        <f t="shared" si="107"/>
        <v>Steering Cylinder RH</v>
      </c>
      <c r="P1025" s="1" t="str">
        <f t="shared" si="108"/>
        <v>ZMX0</v>
      </c>
      <c r="Q1025" s="2" t="str">
        <f t="shared" si="109"/>
        <v>ZMX0Steering Cylinder RH</v>
      </c>
      <c r="R1025" s="2" t="str">
        <f>New_Xref[[#This Row],[Serial Prefix]]&amp;IF(New_Xref[[#This Row],[Func Loc]]&lt;&gt;"",New_Xref[[#This Row],[Func Loc]],"NO MATCH")</f>
        <v>ZMX0STRG .CYLI.SC02</v>
      </c>
      <c r="S1025" s="3" t="str">
        <f t="shared" si="110"/>
        <v>ZMX0Steering Cylinder RH</v>
      </c>
      <c r="T1025" s="3" t="s">
        <v>107</v>
      </c>
      <c r="U1025" s="3" t="s">
        <v>115</v>
      </c>
      <c r="V1025" t="str">
        <f t="shared" si="111"/>
        <v>4303RI</v>
      </c>
    </row>
    <row r="1026" spans="1:22">
      <c r="A1026" t="s">
        <v>3917</v>
      </c>
      <c r="B1026" t="s">
        <v>3918</v>
      </c>
      <c r="C1026" t="s">
        <v>601</v>
      </c>
      <c r="D1026" t="s">
        <v>602</v>
      </c>
      <c r="E1026" t="s">
        <v>603</v>
      </c>
      <c r="F1026" t="s">
        <v>27</v>
      </c>
      <c r="G1026">
        <v>1</v>
      </c>
      <c r="H1026" t="s">
        <v>4121</v>
      </c>
      <c r="I1026" t="s">
        <v>4122</v>
      </c>
      <c r="J1026" t="s">
        <v>4123</v>
      </c>
      <c r="K1026" t="s">
        <v>4122</v>
      </c>
      <c r="L1026" t="s">
        <v>2358</v>
      </c>
      <c r="M1026" s="1" t="str">
        <f t="shared" si="105"/>
        <v>07H313</v>
      </c>
      <c r="N1026" s="1" t="str">
        <f t="shared" si="106"/>
        <v>C/O</v>
      </c>
      <c r="O1026" s="1" t="str">
        <f t="shared" si="107"/>
        <v>Primary Steering Pump</v>
      </c>
      <c r="P1026" s="1" t="str">
        <f t="shared" si="108"/>
        <v>8800</v>
      </c>
      <c r="Q1026" s="2" t="str">
        <f t="shared" si="109"/>
        <v>8800Primary Steering Pump</v>
      </c>
      <c r="R1026" s="2" t="str">
        <f>New_Xref[[#This Row],[Serial Prefix]]&amp;IF(New_Xref[[#This Row],[Func Loc]]&lt;&gt;"",New_Xref[[#This Row],[Func Loc]],"NO MATCH")</f>
        <v>8800STRG .PUMP.SP01</v>
      </c>
      <c r="S1026" s="3" t="str">
        <f t="shared" si="110"/>
        <v>880010R3808Primary Steering Pump</v>
      </c>
      <c r="T1026" s="3" t="s">
        <v>342</v>
      </c>
      <c r="U1026" s="3" t="s">
        <v>34</v>
      </c>
      <c r="V1026" t="str">
        <f t="shared" si="111"/>
        <v>430600</v>
      </c>
    </row>
    <row r="1027" spans="1:22">
      <c r="A1027" t="s">
        <v>3917</v>
      </c>
      <c r="B1027" t="s">
        <v>4124</v>
      </c>
      <c r="C1027" t="s">
        <v>601</v>
      </c>
      <c r="D1027" t="s">
        <v>602</v>
      </c>
      <c r="E1027" t="s">
        <v>603</v>
      </c>
      <c r="F1027" t="s">
        <v>27</v>
      </c>
      <c r="G1027">
        <v>1</v>
      </c>
      <c r="H1027" t="s">
        <v>4125</v>
      </c>
      <c r="I1027" t="s">
        <v>4126</v>
      </c>
      <c r="J1027" t="s">
        <v>4127</v>
      </c>
      <c r="K1027" t="s">
        <v>4126</v>
      </c>
      <c r="L1027" t="s">
        <v>2358</v>
      </c>
      <c r="M1027" s="1" t="str">
        <f t="shared" ref="M1027:M1090" si="112">LEFT(K1027,FIND(" ",K1027,1)-1)</f>
        <v>07H376</v>
      </c>
      <c r="N1027" s="1" t="str">
        <f t="shared" ref="N1027:N1090" si="113">MID(K1027,LEN(M1027)+2,FIND(" ",K1027,LEN(M1027)+2)-LEN(M1027)-2)</f>
        <v>C/O</v>
      </c>
      <c r="O1027" s="1" t="str">
        <f t="shared" ref="O1027:O1090" si="114">MID(K1027,FIND(N1027,K1027,1)+LEN(N1027)+1, 150)</f>
        <v>Primary Steering Pump</v>
      </c>
      <c r="P1027" s="1" t="str">
        <f t="shared" ref="P1027:P1090" si="115">LEFT(B1027,4)</f>
        <v>H4C0</v>
      </c>
      <c r="Q1027" s="2" t="str">
        <f t="shared" ref="Q1027:Q1090" si="116">P1027&amp;O1027</f>
        <v>H4C0Primary Steering Pump</v>
      </c>
      <c r="R1027" s="2" t="str">
        <f>New_Xref[[#This Row],[Serial Prefix]]&amp;IF(New_Xref[[#This Row],[Func Loc]]&lt;&gt;"",New_Xref[[#This Row],[Func Loc]],"NO MATCH")</f>
        <v>H4C0STRG .PUMP.SP01</v>
      </c>
      <c r="S1027" s="3" t="str">
        <f t="shared" ref="S1027:S1090" si="117">P1027&amp;D1027&amp;O1027</f>
        <v>H4C010R3808Primary Steering Pump</v>
      </c>
      <c r="T1027" s="3" t="s">
        <v>342</v>
      </c>
      <c r="U1027" s="3" t="s">
        <v>34</v>
      </c>
      <c r="V1027" t="str">
        <f t="shared" ref="V1027:V1090" si="118">LEFT(T1027,FIND(" -",T1027,1)-1)&amp;LEFT(U1027,FIND(" -",U1027,1)-1)</f>
        <v>430600</v>
      </c>
    </row>
    <row r="1028" spans="1:22">
      <c r="A1028" t="s">
        <v>3917</v>
      </c>
      <c r="B1028" t="s">
        <v>3936</v>
      </c>
      <c r="C1028" t="s">
        <v>601</v>
      </c>
      <c r="D1028" t="s">
        <v>602</v>
      </c>
      <c r="E1028" t="s">
        <v>603</v>
      </c>
      <c r="F1028" t="s">
        <v>27</v>
      </c>
      <c r="G1028">
        <v>1</v>
      </c>
      <c r="H1028" t="s">
        <v>4128</v>
      </c>
      <c r="I1028" t="s">
        <v>4129</v>
      </c>
      <c r="J1028" t="s">
        <v>4130</v>
      </c>
      <c r="K1028" t="s">
        <v>4129</v>
      </c>
      <c r="L1028" t="s">
        <v>2358</v>
      </c>
      <c r="M1028" s="1" t="str">
        <f t="shared" si="112"/>
        <v>07B408</v>
      </c>
      <c r="N1028" s="1" t="str">
        <f t="shared" si="113"/>
        <v>C/O</v>
      </c>
      <c r="O1028" s="1" t="str">
        <f t="shared" si="114"/>
        <v>Primary Steering Pump</v>
      </c>
      <c r="P1028" s="1" t="str">
        <f t="shared" si="115"/>
        <v>RM50</v>
      </c>
      <c r="Q1028" s="2" t="str">
        <f t="shared" si="116"/>
        <v>RM50Primary Steering Pump</v>
      </c>
      <c r="R1028" s="2" t="str">
        <f>New_Xref[[#This Row],[Serial Prefix]]&amp;IF(New_Xref[[#This Row],[Func Loc]]&lt;&gt;"",New_Xref[[#This Row],[Func Loc]],"NO MATCH")</f>
        <v>RM50STRG .PUMP.SP01</v>
      </c>
      <c r="S1028" s="3" t="str">
        <f t="shared" si="117"/>
        <v>RM5010R3808Primary Steering Pump</v>
      </c>
      <c r="T1028" s="3" t="s">
        <v>342</v>
      </c>
      <c r="U1028" s="3" t="s">
        <v>34</v>
      </c>
      <c r="V1028" t="str">
        <f t="shared" si="118"/>
        <v>430600</v>
      </c>
    </row>
    <row r="1029" spans="1:22">
      <c r="A1029" t="s">
        <v>3917</v>
      </c>
      <c r="B1029" t="s">
        <v>4131</v>
      </c>
      <c r="C1029" t="s">
        <v>601</v>
      </c>
      <c r="D1029" t="s">
        <v>602</v>
      </c>
      <c r="E1029" t="s">
        <v>603</v>
      </c>
      <c r="F1029" t="s">
        <v>27</v>
      </c>
      <c r="G1029">
        <v>1</v>
      </c>
      <c r="H1029" t="s">
        <v>4132</v>
      </c>
      <c r="I1029" t="s">
        <v>4133</v>
      </c>
      <c r="J1029" t="s">
        <v>4134</v>
      </c>
      <c r="K1029" t="s">
        <v>4133</v>
      </c>
      <c r="L1029" t="s">
        <v>2358</v>
      </c>
      <c r="M1029" s="1" t="str">
        <f t="shared" si="112"/>
        <v>07H279</v>
      </c>
      <c r="N1029" s="1" t="str">
        <f t="shared" si="113"/>
        <v>C/O</v>
      </c>
      <c r="O1029" s="1" t="str">
        <f t="shared" si="114"/>
        <v>Primary Steering Pump</v>
      </c>
      <c r="P1029" s="1" t="str">
        <f t="shared" si="115"/>
        <v>ZMX0</v>
      </c>
      <c r="Q1029" s="2" t="str">
        <f t="shared" si="116"/>
        <v>ZMX0Primary Steering Pump</v>
      </c>
      <c r="R1029" s="2" t="str">
        <f>New_Xref[[#This Row],[Serial Prefix]]&amp;IF(New_Xref[[#This Row],[Func Loc]]&lt;&gt;"",New_Xref[[#This Row],[Func Loc]],"NO MATCH")</f>
        <v>ZMX0STRG .PUMP.SP01</v>
      </c>
      <c r="S1029" s="3" t="str">
        <f t="shared" si="117"/>
        <v>ZMX010R3808Primary Steering Pump</v>
      </c>
      <c r="T1029" s="3" t="s">
        <v>342</v>
      </c>
      <c r="U1029" s="3" t="s">
        <v>34</v>
      </c>
      <c r="V1029" t="str">
        <f t="shared" si="118"/>
        <v>430600</v>
      </c>
    </row>
    <row r="1030" spans="1:22">
      <c r="A1030" t="s">
        <v>3917</v>
      </c>
      <c r="B1030" t="s">
        <v>3936</v>
      </c>
      <c r="C1030" t="s">
        <v>607</v>
      </c>
      <c r="D1030" t="s">
        <v>608</v>
      </c>
      <c r="E1030" t="s">
        <v>609</v>
      </c>
      <c r="F1030" t="s">
        <v>27</v>
      </c>
      <c r="G1030">
        <v>1</v>
      </c>
      <c r="H1030" t="s">
        <v>4135</v>
      </c>
      <c r="I1030" t="s">
        <v>4136</v>
      </c>
      <c r="J1030" t="s">
        <v>4137</v>
      </c>
      <c r="K1030" t="s">
        <v>4136</v>
      </c>
      <c r="L1030" t="s">
        <v>83</v>
      </c>
      <c r="M1030" s="1" t="str">
        <f t="shared" si="112"/>
        <v>07B408</v>
      </c>
      <c r="N1030" s="1" t="str">
        <f t="shared" si="113"/>
        <v>C/O</v>
      </c>
      <c r="O1030" s="1" t="str">
        <f t="shared" si="114"/>
        <v>Axle Cooler Pump &amp; Motor</v>
      </c>
      <c r="P1030" s="1" t="str">
        <f t="shared" si="115"/>
        <v>RM50</v>
      </c>
      <c r="Q1030" s="2" t="str">
        <f t="shared" si="116"/>
        <v>RM50Axle Cooler Pump &amp; Motor</v>
      </c>
      <c r="R1030" s="2" t="str">
        <f>New_Xref[[#This Row],[Serial Prefix]]&amp;IF(New_Xref[[#This Row],[Func Loc]]&lt;&gt;"",New_Xref[[#This Row],[Func Loc]],"NO MATCH")</f>
        <v>RM50NO MATCH</v>
      </c>
      <c r="S1030" s="3" t="str">
        <f t="shared" si="117"/>
        <v>RM503402113Axle Cooler Pump &amp; Motor</v>
      </c>
      <c r="T1030" s="3" t="s">
        <v>613</v>
      </c>
      <c r="U1030" s="3" t="s">
        <v>34</v>
      </c>
      <c r="V1030" t="str">
        <f t="shared" si="118"/>
        <v>506G00</v>
      </c>
    </row>
    <row r="1031" spans="1:22">
      <c r="A1031" t="s">
        <v>3917</v>
      </c>
      <c r="B1031" t="s">
        <v>3918</v>
      </c>
      <c r="C1031" t="s">
        <v>4138</v>
      </c>
      <c r="D1031" t="s">
        <v>4139</v>
      </c>
      <c r="E1031" t="s">
        <v>4140</v>
      </c>
      <c r="F1031" t="s">
        <v>27</v>
      </c>
      <c r="G1031">
        <v>1</v>
      </c>
      <c r="H1031" t="s">
        <v>4141</v>
      </c>
      <c r="I1031" t="s">
        <v>4142</v>
      </c>
      <c r="J1031" t="s">
        <v>4143</v>
      </c>
      <c r="K1031" t="s">
        <v>4142</v>
      </c>
      <c r="L1031" t="s">
        <v>2478</v>
      </c>
      <c r="M1031" s="1" t="str">
        <f t="shared" si="112"/>
        <v>07H313</v>
      </c>
      <c r="N1031" s="1" t="str">
        <f t="shared" si="113"/>
        <v>C/O</v>
      </c>
      <c r="O1031" s="1" t="str">
        <f t="shared" si="114"/>
        <v>Main Hydraulic Pump Centre</v>
      </c>
      <c r="P1031" s="1" t="str">
        <f t="shared" si="115"/>
        <v>8800</v>
      </c>
      <c r="Q1031" s="2" t="str">
        <f t="shared" si="116"/>
        <v>8800Main Hydraulic Pump Centre</v>
      </c>
      <c r="R1031" s="2" t="str">
        <f>New_Xref[[#This Row],[Serial Prefix]]&amp;IF(New_Xref[[#This Row],[Func Loc]]&lt;&gt;"",New_Xref[[#This Row],[Func Loc]],"NO MATCH")</f>
        <v>8800MYHD .PUMP.HP02</v>
      </c>
      <c r="S1031" s="3" t="str">
        <f t="shared" si="117"/>
        <v>880010R9048Main Hydraulic Pump Centre</v>
      </c>
      <c r="T1031" s="3" t="s">
        <v>220</v>
      </c>
      <c r="U1031" s="3" t="s">
        <v>4144</v>
      </c>
      <c r="V1031" t="str">
        <f t="shared" si="118"/>
        <v>5070CE</v>
      </c>
    </row>
    <row r="1032" spans="1:22">
      <c r="A1032" t="s">
        <v>3917</v>
      </c>
      <c r="B1032" t="s">
        <v>3918</v>
      </c>
      <c r="C1032" t="s">
        <v>4145</v>
      </c>
      <c r="D1032" t="s">
        <v>4146</v>
      </c>
      <c r="E1032" t="s">
        <v>4147</v>
      </c>
      <c r="F1032" t="s">
        <v>27</v>
      </c>
      <c r="G1032">
        <v>1</v>
      </c>
      <c r="H1032" t="s">
        <v>4148</v>
      </c>
      <c r="I1032" t="s">
        <v>4149</v>
      </c>
      <c r="J1032" t="s">
        <v>4150</v>
      </c>
      <c r="K1032" t="s">
        <v>4149</v>
      </c>
      <c r="L1032" t="s">
        <v>2453</v>
      </c>
      <c r="M1032" s="1" t="str">
        <f t="shared" si="112"/>
        <v>07H313</v>
      </c>
      <c r="N1032" s="1" t="str">
        <f t="shared" si="113"/>
        <v>C/O</v>
      </c>
      <c r="O1032" s="1" t="str">
        <f t="shared" si="114"/>
        <v>Main Hydraulic Pump RH</v>
      </c>
      <c r="P1032" s="1" t="str">
        <f t="shared" si="115"/>
        <v>8800</v>
      </c>
      <c r="Q1032" s="2" t="str">
        <f t="shared" si="116"/>
        <v>8800Main Hydraulic Pump RH</v>
      </c>
      <c r="R1032" s="2" t="str">
        <f>New_Xref[[#This Row],[Serial Prefix]]&amp;IF(New_Xref[[#This Row],[Func Loc]]&lt;&gt;"",New_Xref[[#This Row],[Func Loc]],"NO MATCH")</f>
        <v>8800MYHD .PUMP.HP01</v>
      </c>
      <c r="S1032" s="3" t="str">
        <f t="shared" si="117"/>
        <v>880020R6309Main Hydraulic Pump RH</v>
      </c>
      <c r="T1032" s="3" t="s">
        <v>220</v>
      </c>
      <c r="U1032" s="3" t="s">
        <v>115</v>
      </c>
      <c r="V1032" t="str">
        <f t="shared" si="118"/>
        <v>5070RI</v>
      </c>
    </row>
    <row r="1033" spans="1:22">
      <c r="A1033" t="s">
        <v>3917</v>
      </c>
      <c r="B1033" t="s">
        <v>3923</v>
      </c>
      <c r="C1033" t="s">
        <v>4138</v>
      </c>
      <c r="D1033" t="s">
        <v>4139</v>
      </c>
      <c r="E1033" t="s">
        <v>4151</v>
      </c>
      <c r="F1033" t="s">
        <v>27</v>
      </c>
      <c r="G1033">
        <v>1</v>
      </c>
      <c r="H1033" t="s">
        <v>4152</v>
      </c>
      <c r="I1033" t="s">
        <v>4153</v>
      </c>
      <c r="J1033" t="s">
        <v>4154</v>
      </c>
      <c r="K1033" t="s">
        <v>4153</v>
      </c>
      <c r="L1033" t="s">
        <v>2478</v>
      </c>
      <c r="M1033" s="1" t="str">
        <f t="shared" si="112"/>
        <v>07H117</v>
      </c>
      <c r="N1033" s="1" t="str">
        <f t="shared" si="113"/>
        <v>C/O</v>
      </c>
      <c r="O1033" s="1" t="str">
        <f t="shared" si="114"/>
        <v>Main Hydraulic Pump Centre</v>
      </c>
      <c r="P1033" s="1" t="str">
        <f t="shared" si="115"/>
        <v>H4C0</v>
      </c>
      <c r="Q1033" s="2" t="str">
        <f t="shared" si="116"/>
        <v>H4C0Main Hydraulic Pump Centre</v>
      </c>
      <c r="R1033" s="2" t="str">
        <f>New_Xref[[#This Row],[Serial Prefix]]&amp;IF(New_Xref[[#This Row],[Func Loc]]&lt;&gt;"",New_Xref[[#This Row],[Func Loc]],"NO MATCH")</f>
        <v>H4C0MYHD .PUMP.HP02</v>
      </c>
      <c r="S1033" s="3" t="str">
        <f t="shared" si="117"/>
        <v>H4C010R9048Main Hydraulic Pump Centre</v>
      </c>
      <c r="T1033" s="3" t="s">
        <v>220</v>
      </c>
      <c r="U1033" s="3" t="s">
        <v>4144</v>
      </c>
      <c r="V1033" t="str">
        <f t="shared" si="118"/>
        <v>5070CE</v>
      </c>
    </row>
    <row r="1034" spans="1:22">
      <c r="A1034" t="s">
        <v>3917</v>
      </c>
      <c r="B1034" t="s">
        <v>3923</v>
      </c>
      <c r="C1034" t="s">
        <v>4155</v>
      </c>
      <c r="D1034" t="s">
        <v>4156</v>
      </c>
      <c r="E1034" t="s">
        <v>4157</v>
      </c>
      <c r="F1034" t="s">
        <v>27</v>
      </c>
      <c r="G1034">
        <v>1</v>
      </c>
      <c r="H1034" t="s">
        <v>4158</v>
      </c>
      <c r="I1034" t="s">
        <v>4159</v>
      </c>
      <c r="J1034" t="s">
        <v>4160</v>
      </c>
      <c r="K1034" t="s">
        <v>4159</v>
      </c>
      <c r="L1034" t="s">
        <v>2453</v>
      </c>
      <c r="M1034" s="1" t="str">
        <f t="shared" si="112"/>
        <v>07H117</v>
      </c>
      <c r="N1034" s="1" t="str">
        <f t="shared" si="113"/>
        <v>C/O</v>
      </c>
      <c r="O1034" s="1" t="str">
        <f t="shared" si="114"/>
        <v>Main Hydraulic Pump RH</v>
      </c>
      <c r="P1034" s="1" t="str">
        <f t="shared" si="115"/>
        <v>H4C0</v>
      </c>
      <c r="Q1034" s="2" t="str">
        <f t="shared" si="116"/>
        <v>H4C0Main Hydraulic Pump RH</v>
      </c>
      <c r="R1034" s="2" t="str">
        <f>New_Xref[[#This Row],[Serial Prefix]]&amp;IF(New_Xref[[#This Row],[Func Loc]]&lt;&gt;"",New_Xref[[#This Row],[Func Loc]],"NO MATCH")</f>
        <v>H4C0MYHD .PUMP.HP01</v>
      </c>
      <c r="S1034" s="3" t="str">
        <f t="shared" si="117"/>
        <v>H4C010R9049Main Hydraulic Pump RH</v>
      </c>
      <c r="T1034" s="3" t="s">
        <v>220</v>
      </c>
      <c r="U1034" s="3" t="s">
        <v>115</v>
      </c>
      <c r="V1034" t="str">
        <f t="shared" si="118"/>
        <v>5070RI</v>
      </c>
    </row>
    <row r="1035" spans="1:22">
      <c r="A1035" t="s">
        <v>3917</v>
      </c>
      <c r="B1035" t="s">
        <v>3931</v>
      </c>
      <c r="C1035" t="s">
        <v>4161</v>
      </c>
      <c r="D1035" t="s">
        <v>4162</v>
      </c>
      <c r="E1035" t="s">
        <v>4163</v>
      </c>
      <c r="F1035" t="s">
        <v>27</v>
      </c>
      <c r="G1035">
        <v>1</v>
      </c>
      <c r="H1035" t="s">
        <v>4164</v>
      </c>
      <c r="I1035" t="s">
        <v>4165</v>
      </c>
      <c r="J1035" t="s">
        <v>4166</v>
      </c>
      <c r="K1035" t="s">
        <v>4165</v>
      </c>
      <c r="L1035" t="s">
        <v>2478</v>
      </c>
      <c r="M1035" s="1" t="str">
        <f t="shared" si="112"/>
        <v>07H363</v>
      </c>
      <c r="N1035" s="1" t="str">
        <f t="shared" si="113"/>
        <v>C/O</v>
      </c>
      <c r="O1035" s="1" t="str">
        <f t="shared" si="114"/>
        <v>Main Hydraulic Pump Centre</v>
      </c>
      <c r="P1035" s="1" t="str">
        <f t="shared" si="115"/>
        <v>RM20</v>
      </c>
      <c r="Q1035" s="2" t="str">
        <f t="shared" si="116"/>
        <v>RM20Main Hydraulic Pump Centre</v>
      </c>
      <c r="R1035" s="2" t="str">
        <f>New_Xref[[#This Row],[Serial Prefix]]&amp;IF(New_Xref[[#This Row],[Func Loc]]&lt;&gt;"",New_Xref[[#This Row],[Func Loc]],"NO MATCH")</f>
        <v>RM20MYHD .PUMP.HP02</v>
      </c>
      <c r="S1035" s="3" t="str">
        <f t="shared" si="117"/>
        <v>RM203849439Main Hydraulic Pump Centre</v>
      </c>
      <c r="T1035" s="3" t="s">
        <v>220</v>
      </c>
      <c r="U1035" s="3" t="s">
        <v>4144</v>
      </c>
      <c r="V1035" t="str">
        <f t="shared" si="118"/>
        <v>5070CE</v>
      </c>
    </row>
    <row r="1036" spans="1:22">
      <c r="A1036" t="s">
        <v>3917</v>
      </c>
      <c r="B1036" t="s">
        <v>3931</v>
      </c>
      <c r="C1036" t="s">
        <v>4145</v>
      </c>
      <c r="D1036" t="s">
        <v>4146</v>
      </c>
      <c r="E1036" t="s">
        <v>4147</v>
      </c>
      <c r="F1036" t="s">
        <v>27</v>
      </c>
      <c r="G1036">
        <v>1</v>
      </c>
      <c r="H1036" t="s">
        <v>4167</v>
      </c>
      <c r="I1036" t="s">
        <v>4168</v>
      </c>
      <c r="J1036" t="s">
        <v>4169</v>
      </c>
      <c r="K1036" t="s">
        <v>4168</v>
      </c>
      <c r="L1036" t="s">
        <v>2453</v>
      </c>
      <c r="M1036" s="1" t="str">
        <f t="shared" si="112"/>
        <v>07H363</v>
      </c>
      <c r="N1036" s="1" t="str">
        <f t="shared" si="113"/>
        <v>C/O</v>
      </c>
      <c r="O1036" s="1" t="str">
        <f t="shared" si="114"/>
        <v>Main Hydraulic Pump RH</v>
      </c>
      <c r="P1036" s="1" t="str">
        <f t="shared" si="115"/>
        <v>RM20</v>
      </c>
      <c r="Q1036" s="2" t="str">
        <f t="shared" si="116"/>
        <v>RM20Main Hydraulic Pump RH</v>
      </c>
      <c r="R1036" s="2" t="str">
        <f>New_Xref[[#This Row],[Serial Prefix]]&amp;IF(New_Xref[[#This Row],[Func Loc]]&lt;&gt;"",New_Xref[[#This Row],[Func Loc]],"NO MATCH")</f>
        <v>RM20MYHD .PUMP.HP01</v>
      </c>
      <c r="S1036" s="3" t="str">
        <f t="shared" si="117"/>
        <v>RM2020R6309Main Hydraulic Pump RH</v>
      </c>
      <c r="T1036" s="3" t="s">
        <v>220</v>
      </c>
      <c r="U1036" s="3" t="s">
        <v>115</v>
      </c>
      <c r="V1036" t="str">
        <f t="shared" si="118"/>
        <v>5070RI</v>
      </c>
    </row>
    <row r="1037" spans="1:22">
      <c r="A1037" t="s">
        <v>3917</v>
      </c>
      <c r="B1037" t="s">
        <v>3936</v>
      </c>
      <c r="C1037" t="s">
        <v>4161</v>
      </c>
      <c r="D1037" t="s">
        <v>4162</v>
      </c>
      <c r="E1037" t="s">
        <v>4163</v>
      </c>
      <c r="F1037" t="s">
        <v>27</v>
      </c>
      <c r="G1037">
        <v>1</v>
      </c>
      <c r="H1037" t="s">
        <v>4170</v>
      </c>
      <c r="I1037" t="s">
        <v>4171</v>
      </c>
      <c r="J1037" t="s">
        <v>4172</v>
      </c>
      <c r="K1037" t="s">
        <v>4171</v>
      </c>
      <c r="L1037" t="s">
        <v>2478</v>
      </c>
      <c r="M1037" s="1" t="str">
        <f t="shared" si="112"/>
        <v>07B408</v>
      </c>
      <c r="N1037" s="1" t="str">
        <f t="shared" si="113"/>
        <v>C/O</v>
      </c>
      <c r="O1037" s="1" t="str">
        <f t="shared" si="114"/>
        <v>Main Hydraulic Pump Centre</v>
      </c>
      <c r="P1037" s="1" t="str">
        <f t="shared" si="115"/>
        <v>RM50</v>
      </c>
      <c r="Q1037" s="2" t="str">
        <f t="shared" si="116"/>
        <v>RM50Main Hydraulic Pump Centre</v>
      </c>
      <c r="R1037" s="2" t="str">
        <f>New_Xref[[#This Row],[Serial Prefix]]&amp;IF(New_Xref[[#This Row],[Func Loc]]&lt;&gt;"",New_Xref[[#This Row],[Func Loc]],"NO MATCH")</f>
        <v>RM50MYHD .PUMP.HP02</v>
      </c>
      <c r="S1037" s="3" t="str">
        <f t="shared" si="117"/>
        <v>RM503849439Main Hydraulic Pump Centre</v>
      </c>
      <c r="T1037" s="3" t="s">
        <v>220</v>
      </c>
      <c r="U1037" s="3" t="s">
        <v>4144</v>
      </c>
      <c r="V1037" t="str">
        <f t="shared" si="118"/>
        <v>5070CE</v>
      </c>
    </row>
    <row r="1038" spans="1:22">
      <c r="A1038" t="s">
        <v>3917</v>
      </c>
      <c r="B1038" t="s">
        <v>3936</v>
      </c>
      <c r="C1038" t="s">
        <v>4145</v>
      </c>
      <c r="D1038" t="s">
        <v>4146</v>
      </c>
      <c r="E1038" t="s">
        <v>4147</v>
      </c>
      <c r="F1038" t="s">
        <v>27</v>
      </c>
      <c r="G1038">
        <v>1</v>
      </c>
      <c r="H1038" t="s">
        <v>4173</v>
      </c>
      <c r="I1038" t="s">
        <v>4174</v>
      </c>
      <c r="J1038" t="s">
        <v>4175</v>
      </c>
      <c r="K1038" t="s">
        <v>4174</v>
      </c>
      <c r="L1038" t="s">
        <v>2453</v>
      </c>
      <c r="M1038" s="1" t="str">
        <f t="shared" si="112"/>
        <v>07B408</v>
      </c>
      <c r="N1038" s="1" t="str">
        <f t="shared" si="113"/>
        <v>C/O</v>
      </c>
      <c r="O1038" s="1" t="str">
        <f t="shared" si="114"/>
        <v>Main Hydraulic Pump RH</v>
      </c>
      <c r="P1038" s="1" t="str">
        <f t="shared" si="115"/>
        <v>RM50</v>
      </c>
      <c r="Q1038" s="2" t="str">
        <f t="shared" si="116"/>
        <v>RM50Main Hydraulic Pump RH</v>
      </c>
      <c r="R1038" s="2" t="str">
        <f>New_Xref[[#This Row],[Serial Prefix]]&amp;IF(New_Xref[[#This Row],[Func Loc]]&lt;&gt;"",New_Xref[[#This Row],[Func Loc]],"NO MATCH")</f>
        <v>RM50MYHD .PUMP.HP01</v>
      </c>
      <c r="S1038" s="3" t="str">
        <f t="shared" si="117"/>
        <v>RM5020R6309Main Hydraulic Pump RH</v>
      </c>
      <c r="T1038" s="3" t="s">
        <v>220</v>
      </c>
      <c r="U1038" s="3" t="s">
        <v>115</v>
      </c>
      <c r="V1038" t="str">
        <f t="shared" si="118"/>
        <v>5070RI</v>
      </c>
    </row>
    <row r="1039" spans="1:22">
      <c r="A1039" t="s">
        <v>3917</v>
      </c>
      <c r="B1039" t="s">
        <v>3945</v>
      </c>
      <c r="C1039" t="s">
        <v>4138</v>
      </c>
      <c r="D1039" t="s">
        <v>4139</v>
      </c>
      <c r="E1039" t="s">
        <v>4140</v>
      </c>
      <c r="F1039" t="s">
        <v>27</v>
      </c>
      <c r="G1039">
        <v>1</v>
      </c>
      <c r="H1039" t="s">
        <v>4176</v>
      </c>
      <c r="I1039" t="s">
        <v>4177</v>
      </c>
      <c r="J1039" t="s">
        <v>4178</v>
      </c>
      <c r="K1039" t="s">
        <v>4177</v>
      </c>
      <c r="L1039" t="s">
        <v>2478</v>
      </c>
      <c r="M1039" s="1" t="str">
        <f t="shared" si="112"/>
        <v>07R191</v>
      </c>
      <c r="N1039" s="1" t="str">
        <f t="shared" si="113"/>
        <v>C/O</v>
      </c>
      <c r="O1039" s="1" t="str">
        <f t="shared" si="114"/>
        <v>Main Hydraulic Pump Centre</v>
      </c>
      <c r="P1039" s="1" t="str">
        <f t="shared" si="115"/>
        <v>ZMX0</v>
      </c>
      <c r="Q1039" s="2" t="str">
        <f t="shared" si="116"/>
        <v>ZMX0Main Hydraulic Pump Centre</v>
      </c>
      <c r="R1039" s="2" t="str">
        <f>New_Xref[[#This Row],[Serial Prefix]]&amp;IF(New_Xref[[#This Row],[Func Loc]]&lt;&gt;"",New_Xref[[#This Row],[Func Loc]],"NO MATCH")</f>
        <v>ZMX0MYHD .PUMP.HP02</v>
      </c>
      <c r="S1039" s="3" t="str">
        <f t="shared" si="117"/>
        <v>ZMX010R9048Main Hydraulic Pump Centre</v>
      </c>
      <c r="T1039" s="3" t="s">
        <v>220</v>
      </c>
      <c r="U1039" s="3" t="s">
        <v>4144</v>
      </c>
      <c r="V1039" t="str">
        <f t="shared" si="118"/>
        <v>5070CE</v>
      </c>
    </row>
    <row r="1040" spans="1:22">
      <c r="A1040" t="s">
        <v>3917</v>
      </c>
      <c r="B1040" t="s">
        <v>3945</v>
      </c>
      <c r="C1040" t="s">
        <v>4145</v>
      </c>
      <c r="D1040" t="s">
        <v>4146</v>
      </c>
      <c r="E1040" t="s">
        <v>4147</v>
      </c>
      <c r="F1040" t="s">
        <v>27</v>
      </c>
      <c r="G1040">
        <v>1</v>
      </c>
      <c r="H1040" t="s">
        <v>4179</v>
      </c>
      <c r="I1040" t="s">
        <v>4180</v>
      </c>
      <c r="J1040" t="s">
        <v>4181</v>
      </c>
      <c r="K1040" t="s">
        <v>4180</v>
      </c>
      <c r="L1040" t="s">
        <v>2453</v>
      </c>
      <c r="M1040" s="1" t="str">
        <f t="shared" si="112"/>
        <v>07R191</v>
      </c>
      <c r="N1040" s="1" t="str">
        <f t="shared" si="113"/>
        <v>C/O</v>
      </c>
      <c r="O1040" s="1" t="str">
        <f t="shared" si="114"/>
        <v>Main Hydraulic Pump RH</v>
      </c>
      <c r="P1040" s="1" t="str">
        <f t="shared" si="115"/>
        <v>ZMX0</v>
      </c>
      <c r="Q1040" s="2" t="str">
        <f t="shared" si="116"/>
        <v>ZMX0Main Hydraulic Pump RH</v>
      </c>
      <c r="R1040" s="2" t="str">
        <f>New_Xref[[#This Row],[Serial Prefix]]&amp;IF(New_Xref[[#This Row],[Func Loc]]&lt;&gt;"",New_Xref[[#This Row],[Func Loc]],"NO MATCH")</f>
        <v>ZMX0MYHD .PUMP.HP01</v>
      </c>
      <c r="S1040" s="3" t="str">
        <f t="shared" si="117"/>
        <v>ZMX020R6309Main Hydraulic Pump RH</v>
      </c>
      <c r="T1040" s="3" t="s">
        <v>220</v>
      </c>
      <c r="U1040" s="3" t="s">
        <v>115</v>
      </c>
      <c r="V1040" t="str">
        <f t="shared" si="118"/>
        <v>5070RI</v>
      </c>
    </row>
    <row r="1041" spans="1:22">
      <c r="A1041" t="s">
        <v>3917</v>
      </c>
      <c r="B1041" t="s">
        <v>3918</v>
      </c>
      <c r="C1041" t="s">
        <v>4182</v>
      </c>
      <c r="D1041" t="s">
        <v>4183</v>
      </c>
      <c r="E1041" t="s">
        <v>4184</v>
      </c>
      <c r="F1041" t="s">
        <v>27</v>
      </c>
      <c r="G1041">
        <v>1</v>
      </c>
      <c r="H1041" t="s">
        <v>4185</v>
      </c>
      <c r="I1041" t="s">
        <v>4186</v>
      </c>
      <c r="J1041" t="s">
        <v>4187</v>
      </c>
      <c r="K1041" t="s">
        <v>4186</v>
      </c>
      <c r="L1041" t="s">
        <v>626</v>
      </c>
      <c r="M1041" s="1" t="str">
        <f t="shared" si="112"/>
        <v>07H313</v>
      </c>
      <c r="N1041" s="1" t="str">
        <f t="shared" si="113"/>
        <v>C/O</v>
      </c>
      <c r="O1041" s="1" t="str">
        <f t="shared" si="114"/>
        <v>Lift Cylinder LH</v>
      </c>
      <c r="P1041" s="1" t="str">
        <f t="shared" si="115"/>
        <v>8800</v>
      </c>
      <c r="Q1041" s="2" t="str">
        <f t="shared" si="116"/>
        <v>8800Lift Cylinder LH</v>
      </c>
      <c r="R1041" s="2" t="str">
        <f>New_Xref[[#This Row],[Serial Prefix]]&amp;IF(New_Xref[[#This Row],[Func Loc]]&lt;&gt;"",New_Xref[[#This Row],[Func Loc]],"NO MATCH")</f>
        <v>8800MYHD .CYLI.LIFL</v>
      </c>
      <c r="S1041" s="3" t="str">
        <f t="shared" si="117"/>
        <v>88002711717XLift Cylinder LH</v>
      </c>
      <c r="T1041" s="3" t="s">
        <v>130</v>
      </c>
      <c r="U1041" s="3" t="s">
        <v>108</v>
      </c>
      <c r="V1041" t="str">
        <f t="shared" si="118"/>
        <v>5102LT</v>
      </c>
    </row>
    <row r="1042" spans="1:22">
      <c r="A1042" t="s">
        <v>3917</v>
      </c>
      <c r="B1042" t="s">
        <v>3918</v>
      </c>
      <c r="C1042" t="s">
        <v>4188</v>
      </c>
      <c r="D1042" t="s">
        <v>4189</v>
      </c>
      <c r="E1042" t="s">
        <v>4184</v>
      </c>
      <c r="F1042" t="s">
        <v>27</v>
      </c>
      <c r="G1042">
        <v>1</v>
      </c>
      <c r="H1042" t="s">
        <v>4190</v>
      </c>
      <c r="I1042" t="s">
        <v>4191</v>
      </c>
      <c r="J1042" t="s">
        <v>4192</v>
      </c>
      <c r="K1042" t="s">
        <v>4191</v>
      </c>
      <c r="L1042" t="s">
        <v>633</v>
      </c>
      <c r="M1042" s="1" t="str">
        <f t="shared" si="112"/>
        <v>07H313</v>
      </c>
      <c r="N1042" s="1" t="str">
        <f t="shared" si="113"/>
        <v>C/O</v>
      </c>
      <c r="O1042" s="1" t="str">
        <f t="shared" si="114"/>
        <v>Lift Cylinder RH</v>
      </c>
      <c r="P1042" s="1" t="str">
        <f t="shared" si="115"/>
        <v>8800</v>
      </c>
      <c r="Q1042" s="2" t="str">
        <f t="shared" si="116"/>
        <v>8800Lift Cylinder RH</v>
      </c>
      <c r="R1042" s="2" t="str">
        <f>New_Xref[[#This Row],[Serial Prefix]]&amp;IF(New_Xref[[#This Row],[Func Loc]]&lt;&gt;"",New_Xref[[#This Row],[Func Loc]],"NO MATCH")</f>
        <v>8800MYHD .CYLI.LIFR</v>
      </c>
      <c r="S1042" s="3" t="str">
        <f t="shared" si="117"/>
        <v>88002711716XLift Cylinder RH</v>
      </c>
      <c r="T1042" s="3" t="s">
        <v>130</v>
      </c>
      <c r="U1042" s="3" t="s">
        <v>115</v>
      </c>
      <c r="V1042" t="str">
        <f t="shared" si="118"/>
        <v>5102RI</v>
      </c>
    </row>
    <row r="1043" spans="1:22">
      <c r="A1043" t="s">
        <v>3917</v>
      </c>
      <c r="B1043" t="s">
        <v>3923</v>
      </c>
      <c r="H1043" t="s">
        <v>4193</v>
      </c>
      <c r="I1043" t="s">
        <v>4194</v>
      </c>
      <c r="J1043" t="s">
        <v>4195</v>
      </c>
      <c r="K1043" t="s">
        <v>4194</v>
      </c>
      <c r="L1043" t="s">
        <v>626</v>
      </c>
      <c r="M1043" s="1" t="str">
        <f t="shared" si="112"/>
        <v>07H117</v>
      </c>
      <c r="N1043" s="1" t="str">
        <f t="shared" si="113"/>
        <v>C/O</v>
      </c>
      <c r="O1043" s="1" t="str">
        <f t="shared" si="114"/>
        <v>Lift Cylinder LH</v>
      </c>
      <c r="P1043" s="1" t="str">
        <f t="shared" si="115"/>
        <v>H4C0</v>
      </c>
      <c r="Q1043" s="2" t="str">
        <f t="shared" si="116"/>
        <v>H4C0Lift Cylinder LH</v>
      </c>
      <c r="R1043" s="2" t="str">
        <f>New_Xref[[#This Row],[Serial Prefix]]&amp;IF(New_Xref[[#This Row],[Func Loc]]&lt;&gt;"",New_Xref[[#This Row],[Func Loc]],"NO MATCH")</f>
        <v>H4C0MYHD .CYLI.LIFL</v>
      </c>
      <c r="S1043" s="3" t="str">
        <f t="shared" si="117"/>
        <v>H4C0Lift Cylinder LH</v>
      </c>
      <c r="T1043" s="3" t="s">
        <v>130</v>
      </c>
      <c r="U1043" s="3" t="s">
        <v>108</v>
      </c>
      <c r="V1043" t="str">
        <f t="shared" si="118"/>
        <v>5102LT</v>
      </c>
    </row>
    <row r="1044" spans="1:22">
      <c r="A1044" t="s">
        <v>3917</v>
      </c>
      <c r="B1044" t="s">
        <v>3923</v>
      </c>
      <c r="H1044" t="s">
        <v>4196</v>
      </c>
      <c r="I1044" t="s">
        <v>4197</v>
      </c>
      <c r="J1044" t="s">
        <v>4198</v>
      </c>
      <c r="K1044" t="s">
        <v>4197</v>
      </c>
      <c r="L1044" t="s">
        <v>633</v>
      </c>
      <c r="M1044" s="1" t="str">
        <f t="shared" si="112"/>
        <v>07H117</v>
      </c>
      <c r="N1044" s="1" t="str">
        <f t="shared" si="113"/>
        <v>C/O</v>
      </c>
      <c r="O1044" s="1" t="str">
        <f t="shared" si="114"/>
        <v>Lift Cylinder RH</v>
      </c>
      <c r="P1044" s="1" t="str">
        <f t="shared" si="115"/>
        <v>H4C0</v>
      </c>
      <c r="Q1044" s="2" t="str">
        <f t="shared" si="116"/>
        <v>H4C0Lift Cylinder RH</v>
      </c>
      <c r="R1044" s="2" t="str">
        <f>New_Xref[[#This Row],[Serial Prefix]]&amp;IF(New_Xref[[#This Row],[Func Loc]]&lt;&gt;"",New_Xref[[#This Row],[Func Loc]],"NO MATCH")</f>
        <v>H4C0MYHD .CYLI.LIFR</v>
      </c>
      <c r="S1044" s="3" t="str">
        <f t="shared" si="117"/>
        <v>H4C0Lift Cylinder RH</v>
      </c>
      <c r="T1044" s="3" t="s">
        <v>130</v>
      </c>
      <c r="U1044" s="3" t="s">
        <v>115</v>
      </c>
      <c r="V1044" t="str">
        <f t="shared" si="118"/>
        <v>5102RI</v>
      </c>
    </row>
    <row r="1045" spans="1:22">
      <c r="A1045" t="s">
        <v>3917</v>
      </c>
      <c r="B1045" t="s">
        <v>3931</v>
      </c>
      <c r="C1045" t="s">
        <v>4182</v>
      </c>
      <c r="D1045" t="s">
        <v>4183</v>
      </c>
      <c r="E1045" t="s">
        <v>4184</v>
      </c>
      <c r="F1045" t="s">
        <v>27</v>
      </c>
      <c r="G1045">
        <v>1</v>
      </c>
      <c r="H1045" t="s">
        <v>4199</v>
      </c>
      <c r="I1045" t="s">
        <v>4200</v>
      </c>
      <c r="J1045" t="s">
        <v>4201</v>
      </c>
      <c r="K1045" t="s">
        <v>4200</v>
      </c>
      <c r="L1045" t="s">
        <v>626</v>
      </c>
      <c r="M1045" s="1" t="str">
        <f t="shared" si="112"/>
        <v>07H363</v>
      </c>
      <c r="N1045" s="1" t="str">
        <f t="shared" si="113"/>
        <v>C/O</v>
      </c>
      <c r="O1045" s="1" t="str">
        <f t="shared" si="114"/>
        <v>Lift Cylinder LH</v>
      </c>
      <c r="P1045" s="1" t="str">
        <f t="shared" si="115"/>
        <v>RM20</v>
      </c>
      <c r="Q1045" s="2" t="str">
        <f t="shared" si="116"/>
        <v>RM20Lift Cylinder LH</v>
      </c>
      <c r="R1045" s="2" t="str">
        <f>New_Xref[[#This Row],[Serial Prefix]]&amp;IF(New_Xref[[#This Row],[Func Loc]]&lt;&gt;"",New_Xref[[#This Row],[Func Loc]],"NO MATCH")</f>
        <v>RM20MYHD .CYLI.LIFL</v>
      </c>
      <c r="S1045" s="3" t="str">
        <f t="shared" si="117"/>
        <v>RM202711717XLift Cylinder LH</v>
      </c>
      <c r="T1045" s="3" t="s">
        <v>130</v>
      </c>
      <c r="U1045" s="3" t="s">
        <v>108</v>
      </c>
      <c r="V1045" t="str">
        <f t="shared" si="118"/>
        <v>5102LT</v>
      </c>
    </row>
    <row r="1046" spans="1:22">
      <c r="A1046" t="s">
        <v>3917</v>
      </c>
      <c r="B1046" t="s">
        <v>3931</v>
      </c>
      <c r="C1046" t="s">
        <v>4188</v>
      </c>
      <c r="D1046" t="s">
        <v>4189</v>
      </c>
      <c r="E1046" t="s">
        <v>4184</v>
      </c>
      <c r="F1046" t="s">
        <v>27</v>
      </c>
      <c r="G1046">
        <v>1</v>
      </c>
      <c r="H1046" t="s">
        <v>4202</v>
      </c>
      <c r="I1046" t="s">
        <v>4203</v>
      </c>
      <c r="J1046" t="s">
        <v>4204</v>
      </c>
      <c r="K1046" t="s">
        <v>4203</v>
      </c>
      <c r="L1046" t="s">
        <v>633</v>
      </c>
      <c r="M1046" s="1" t="str">
        <f t="shared" si="112"/>
        <v>07H363</v>
      </c>
      <c r="N1046" s="1" t="str">
        <f t="shared" si="113"/>
        <v>C/O</v>
      </c>
      <c r="O1046" s="1" t="str">
        <f t="shared" si="114"/>
        <v>Lift Cylinder RH</v>
      </c>
      <c r="P1046" s="1" t="str">
        <f t="shared" si="115"/>
        <v>RM20</v>
      </c>
      <c r="Q1046" s="2" t="str">
        <f t="shared" si="116"/>
        <v>RM20Lift Cylinder RH</v>
      </c>
      <c r="R1046" s="2" t="str">
        <f>New_Xref[[#This Row],[Serial Prefix]]&amp;IF(New_Xref[[#This Row],[Func Loc]]&lt;&gt;"",New_Xref[[#This Row],[Func Loc]],"NO MATCH")</f>
        <v>RM20MYHD .CYLI.LIFR</v>
      </c>
      <c r="S1046" s="3" t="str">
        <f t="shared" si="117"/>
        <v>RM202711716XLift Cylinder RH</v>
      </c>
      <c r="T1046" s="3" t="s">
        <v>130</v>
      </c>
      <c r="U1046" s="3" t="s">
        <v>115</v>
      </c>
      <c r="V1046" t="str">
        <f t="shared" si="118"/>
        <v>5102RI</v>
      </c>
    </row>
    <row r="1047" spans="1:22">
      <c r="A1047" t="s">
        <v>3917</v>
      </c>
      <c r="B1047" t="s">
        <v>3936</v>
      </c>
      <c r="C1047" t="s">
        <v>4182</v>
      </c>
      <c r="D1047" t="s">
        <v>4183</v>
      </c>
      <c r="E1047" t="s">
        <v>4205</v>
      </c>
      <c r="F1047" t="s">
        <v>27</v>
      </c>
      <c r="G1047">
        <v>1</v>
      </c>
      <c r="H1047" t="s">
        <v>4206</v>
      </c>
      <c r="I1047" t="s">
        <v>4207</v>
      </c>
      <c r="J1047" t="s">
        <v>4208</v>
      </c>
      <c r="K1047" t="s">
        <v>4207</v>
      </c>
      <c r="L1047" t="s">
        <v>626</v>
      </c>
      <c r="M1047" s="1" t="str">
        <f t="shared" si="112"/>
        <v>07B408</v>
      </c>
      <c r="N1047" s="1" t="str">
        <f t="shared" si="113"/>
        <v>C/O</v>
      </c>
      <c r="O1047" s="1" t="str">
        <f t="shared" si="114"/>
        <v>Lift Cylinder LH</v>
      </c>
      <c r="P1047" s="1" t="str">
        <f t="shared" si="115"/>
        <v>RM50</v>
      </c>
      <c r="Q1047" s="2" t="str">
        <f t="shared" si="116"/>
        <v>RM50Lift Cylinder LH</v>
      </c>
      <c r="R1047" s="2" t="str">
        <f>New_Xref[[#This Row],[Serial Prefix]]&amp;IF(New_Xref[[#This Row],[Func Loc]]&lt;&gt;"",New_Xref[[#This Row],[Func Loc]],"NO MATCH")</f>
        <v>RM50MYHD .CYLI.LIFL</v>
      </c>
      <c r="S1047" s="3" t="str">
        <f t="shared" si="117"/>
        <v>RM502711717XLift Cylinder LH</v>
      </c>
      <c r="T1047" s="3" t="s">
        <v>130</v>
      </c>
      <c r="U1047" s="3" t="s">
        <v>108</v>
      </c>
      <c r="V1047" t="str">
        <f t="shared" si="118"/>
        <v>5102LT</v>
      </c>
    </row>
    <row r="1048" spans="1:22">
      <c r="A1048" t="s">
        <v>3917</v>
      </c>
      <c r="B1048" t="s">
        <v>3936</v>
      </c>
      <c r="C1048" t="s">
        <v>4188</v>
      </c>
      <c r="D1048" t="s">
        <v>4189</v>
      </c>
      <c r="E1048" t="s">
        <v>4205</v>
      </c>
      <c r="F1048" t="s">
        <v>27</v>
      </c>
      <c r="G1048">
        <v>1</v>
      </c>
      <c r="H1048" t="s">
        <v>4209</v>
      </c>
      <c r="I1048" t="s">
        <v>4210</v>
      </c>
      <c r="J1048" t="s">
        <v>4211</v>
      </c>
      <c r="K1048" t="s">
        <v>4210</v>
      </c>
      <c r="L1048" t="s">
        <v>633</v>
      </c>
      <c r="M1048" s="1" t="str">
        <f t="shared" si="112"/>
        <v>07B408</v>
      </c>
      <c r="N1048" s="1" t="str">
        <f t="shared" si="113"/>
        <v>C/O</v>
      </c>
      <c r="O1048" s="1" t="str">
        <f t="shared" si="114"/>
        <v>Lift Cylinder RH</v>
      </c>
      <c r="P1048" s="1" t="str">
        <f t="shared" si="115"/>
        <v>RM50</v>
      </c>
      <c r="Q1048" s="2" t="str">
        <f t="shared" si="116"/>
        <v>RM50Lift Cylinder RH</v>
      </c>
      <c r="R1048" s="2" t="str">
        <f>New_Xref[[#This Row],[Serial Prefix]]&amp;IF(New_Xref[[#This Row],[Func Loc]]&lt;&gt;"",New_Xref[[#This Row],[Func Loc]],"NO MATCH")</f>
        <v>RM50MYHD .CYLI.LIFR</v>
      </c>
      <c r="S1048" s="3" t="str">
        <f t="shared" si="117"/>
        <v>RM502711716XLift Cylinder RH</v>
      </c>
      <c r="T1048" s="3" t="s">
        <v>130</v>
      </c>
      <c r="U1048" s="3" t="s">
        <v>115</v>
      </c>
      <c r="V1048" t="str">
        <f t="shared" si="118"/>
        <v>5102RI</v>
      </c>
    </row>
    <row r="1049" spans="1:22">
      <c r="A1049" t="s">
        <v>3917</v>
      </c>
      <c r="B1049" t="s">
        <v>3945</v>
      </c>
      <c r="H1049" t="s">
        <v>4212</v>
      </c>
      <c r="I1049" t="s">
        <v>4213</v>
      </c>
      <c r="J1049" t="s">
        <v>4214</v>
      </c>
      <c r="K1049" t="s">
        <v>4213</v>
      </c>
      <c r="L1049" t="s">
        <v>626</v>
      </c>
      <c r="M1049" s="1" t="str">
        <f t="shared" si="112"/>
        <v>07R191</v>
      </c>
      <c r="N1049" s="1" t="str">
        <f t="shared" si="113"/>
        <v>C/O</v>
      </c>
      <c r="O1049" s="1" t="str">
        <f t="shared" si="114"/>
        <v>Lift Cylinder LH</v>
      </c>
      <c r="P1049" s="1" t="str">
        <f t="shared" si="115"/>
        <v>ZMX0</v>
      </c>
      <c r="Q1049" s="2" t="str">
        <f t="shared" si="116"/>
        <v>ZMX0Lift Cylinder LH</v>
      </c>
      <c r="R1049" s="2" t="str">
        <f>New_Xref[[#This Row],[Serial Prefix]]&amp;IF(New_Xref[[#This Row],[Func Loc]]&lt;&gt;"",New_Xref[[#This Row],[Func Loc]],"NO MATCH")</f>
        <v>ZMX0MYHD .CYLI.LIFL</v>
      </c>
      <c r="S1049" s="3" t="str">
        <f t="shared" si="117"/>
        <v>ZMX0Lift Cylinder LH</v>
      </c>
      <c r="T1049" s="3" t="s">
        <v>130</v>
      </c>
      <c r="U1049" s="3" t="s">
        <v>108</v>
      </c>
      <c r="V1049" t="str">
        <f t="shared" si="118"/>
        <v>5102LT</v>
      </c>
    </row>
    <row r="1050" spans="1:22">
      <c r="A1050" t="s">
        <v>3917</v>
      </c>
      <c r="B1050" t="s">
        <v>3945</v>
      </c>
      <c r="H1050" t="s">
        <v>4215</v>
      </c>
      <c r="I1050" t="s">
        <v>4216</v>
      </c>
      <c r="J1050" t="s">
        <v>4217</v>
      </c>
      <c r="K1050" t="s">
        <v>4216</v>
      </c>
      <c r="L1050" t="s">
        <v>633</v>
      </c>
      <c r="M1050" s="1" t="str">
        <f t="shared" si="112"/>
        <v>07R191</v>
      </c>
      <c r="N1050" s="1" t="str">
        <f t="shared" si="113"/>
        <v>C/O</v>
      </c>
      <c r="O1050" s="1" t="str">
        <f t="shared" si="114"/>
        <v>Lift Cylinder RH</v>
      </c>
      <c r="P1050" s="1" t="str">
        <f t="shared" si="115"/>
        <v>ZMX0</v>
      </c>
      <c r="Q1050" s="2" t="str">
        <f t="shared" si="116"/>
        <v>ZMX0Lift Cylinder RH</v>
      </c>
      <c r="R1050" s="2" t="str">
        <f>New_Xref[[#This Row],[Serial Prefix]]&amp;IF(New_Xref[[#This Row],[Func Loc]]&lt;&gt;"",New_Xref[[#This Row],[Func Loc]],"NO MATCH")</f>
        <v>ZMX0MYHD .CYLI.LIFR</v>
      </c>
      <c r="S1050" s="3" t="str">
        <f t="shared" si="117"/>
        <v>ZMX0Lift Cylinder RH</v>
      </c>
      <c r="T1050" s="3" t="s">
        <v>130</v>
      </c>
      <c r="U1050" s="3" t="s">
        <v>115</v>
      </c>
      <c r="V1050" t="str">
        <f t="shared" si="118"/>
        <v>5102RI</v>
      </c>
    </row>
    <row r="1051" spans="1:22">
      <c r="A1051" t="s">
        <v>3917</v>
      </c>
      <c r="B1051" t="s">
        <v>3918</v>
      </c>
      <c r="C1051" t="s">
        <v>4218</v>
      </c>
      <c r="D1051" t="s">
        <v>4219</v>
      </c>
      <c r="E1051" t="s">
        <v>4220</v>
      </c>
      <c r="F1051" t="s">
        <v>27</v>
      </c>
      <c r="G1051">
        <v>1</v>
      </c>
      <c r="H1051" t="s">
        <v>4221</v>
      </c>
      <c r="I1051" t="s">
        <v>4222</v>
      </c>
      <c r="J1051" t="s">
        <v>4223</v>
      </c>
      <c r="K1051" t="s">
        <v>4222</v>
      </c>
      <c r="L1051" t="s">
        <v>707</v>
      </c>
      <c r="M1051" s="1" t="str">
        <f t="shared" si="112"/>
        <v>07H313</v>
      </c>
      <c r="N1051" s="1" t="str">
        <f t="shared" si="113"/>
        <v>C/O</v>
      </c>
      <c r="O1051" s="1" t="str">
        <f t="shared" si="114"/>
        <v>Tilt Cylinder</v>
      </c>
      <c r="P1051" s="1" t="str">
        <f t="shared" si="115"/>
        <v>8800</v>
      </c>
      <c r="Q1051" s="2" t="str">
        <f t="shared" si="116"/>
        <v>8800Tilt Cylinder</v>
      </c>
      <c r="R1051" s="2" t="str">
        <f>New_Xref[[#This Row],[Serial Prefix]]&amp;IF(New_Xref[[#This Row],[Func Loc]]&lt;&gt;"",New_Xref[[#This Row],[Func Loc]],"NO MATCH")</f>
        <v>8800MYHD .CYLI.TILT</v>
      </c>
      <c r="S1051" s="3" t="str">
        <f t="shared" si="117"/>
        <v>88002713572XTilt Cylinder</v>
      </c>
      <c r="T1051" s="3" t="s">
        <v>638</v>
      </c>
      <c r="U1051" s="3" t="s">
        <v>34</v>
      </c>
      <c r="V1051" t="str">
        <f t="shared" si="118"/>
        <v>510400</v>
      </c>
    </row>
    <row r="1052" spans="1:22">
      <c r="A1052" t="s">
        <v>3917</v>
      </c>
      <c r="B1052" t="s">
        <v>3923</v>
      </c>
      <c r="H1052" t="s">
        <v>4224</v>
      </c>
      <c r="I1052" t="s">
        <v>4225</v>
      </c>
      <c r="J1052" t="s">
        <v>4226</v>
      </c>
      <c r="K1052" t="s">
        <v>4225</v>
      </c>
      <c r="L1052" t="s">
        <v>707</v>
      </c>
      <c r="M1052" s="1" t="str">
        <f t="shared" si="112"/>
        <v>07H117</v>
      </c>
      <c r="N1052" s="1" t="str">
        <f t="shared" si="113"/>
        <v>C/O</v>
      </c>
      <c r="O1052" s="1" t="str">
        <f t="shared" si="114"/>
        <v>Tilt Cylinder</v>
      </c>
      <c r="P1052" s="1" t="str">
        <f t="shared" si="115"/>
        <v>H4C0</v>
      </c>
      <c r="Q1052" s="2" t="str">
        <f t="shared" si="116"/>
        <v>H4C0Tilt Cylinder</v>
      </c>
      <c r="R1052" s="2" t="str">
        <f>New_Xref[[#This Row],[Serial Prefix]]&amp;IF(New_Xref[[#This Row],[Func Loc]]&lt;&gt;"",New_Xref[[#This Row],[Func Loc]],"NO MATCH")</f>
        <v>H4C0MYHD .CYLI.TILT</v>
      </c>
      <c r="S1052" s="3" t="str">
        <f t="shared" si="117"/>
        <v>H4C0Tilt Cylinder</v>
      </c>
      <c r="T1052" s="3" t="s">
        <v>638</v>
      </c>
      <c r="U1052" s="3" t="s">
        <v>34</v>
      </c>
      <c r="V1052" t="str">
        <f t="shared" si="118"/>
        <v>510400</v>
      </c>
    </row>
    <row r="1053" spans="1:22">
      <c r="A1053" t="s">
        <v>3917</v>
      </c>
      <c r="B1053" t="s">
        <v>3931</v>
      </c>
      <c r="H1053" t="s">
        <v>4227</v>
      </c>
      <c r="I1053" t="s">
        <v>4228</v>
      </c>
      <c r="J1053" t="s">
        <v>4229</v>
      </c>
      <c r="K1053" t="s">
        <v>4228</v>
      </c>
      <c r="L1053" t="s">
        <v>707</v>
      </c>
      <c r="M1053" s="1" t="str">
        <f t="shared" si="112"/>
        <v>07H363</v>
      </c>
      <c r="N1053" s="1" t="str">
        <f t="shared" si="113"/>
        <v>C/O</v>
      </c>
      <c r="O1053" s="1" t="str">
        <f t="shared" si="114"/>
        <v>Tilt Cylinder</v>
      </c>
      <c r="P1053" s="1" t="str">
        <f t="shared" si="115"/>
        <v>RM20</v>
      </c>
      <c r="Q1053" s="2" t="str">
        <f t="shared" si="116"/>
        <v>RM20Tilt Cylinder</v>
      </c>
      <c r="R1053" s="2" t="str">
        <f>New_Xref[[#This Row],[Serial Prefix]]&amp;IF(New_Xref[[#This Row],[Func Loc]]&lt;&gt;"",New_Xref[[#This Row],[Func Loc]],"NO MATCH")</f>
        <v>RM20MYHD .CYLI.TILT</v>
      </c>
      <c r="S1053" s="3" t="str">
        <f t="shared" si="117"/>
        <v>RM20Tilt Cylinder</v>
      </c>
      <c r="T1053" s="3" t="s">
        <v>638</v>
      </c>
      <c r="U1053" s="3" t="s">
        <v>34</v>
      </c>
      <c r="V1053" t="str">
        <f t="shared" si="118"/>
        <v>510400</v>
      </c>
    </row>
    <row r="1054" spans="1:22">
      <c r="A1054" t="s">
        <v>3917</v>
      </c>
      <c r="B1054" t="s">
        <v>3936</v>
      </c>
      <c r="H1054" t="s">
        <v>4230</v>
      </c>
      <c r="I1054" t="s">
        <v>4231</v>
      </c>
      <c r="J1054" t="s">
        <v>4232</v>
      </c>
      <c r="K1054" t="s">
        <v>4231</v>
      </c>
      <c r="L1054" t="s">
        <v>707</v>
      </c>
      <c r="M1054" s="1" t="str">
        <f t="shared" si="112"/>
        <v>07B408</v>
      </c>
      <c r="N1054" s="1" t="str">
        <f t="shared" si="113"/>
        <v>C/O</v>
      </c>
      <c r="O1054" s="1" t="str">
        <f t="shared" si="114"/>
        <v>Tilt Cylinder</v>
      </c>
      <c r="P1054" s="1" t="str">
        <f t="shared" si="115"/>
        <v>RM50</v>
      </c>
      <c r="Q1054" s="2" t="str">
        <f t="shared" si="116"/>
        <v>RM50Tilt Cylinder</v>
      </c>
      <c r="R1054" s="2" t="str">
        <f>New_Xref[[#This Row],[Serial Prefix]]&amp;IF(New_Xref[[#This Row],[Func Loc]]&lt;&gt;"",New_Xref[[#This Row],[Func Loc]],"NO MATCH")</f>
        <v>RM50MYHD .CYLI.TILT</v>
      </c>
      <c r="S1054" s="3" t="str">
        <f t="shared" si="117"/>
        <v>RM50Tilt Cylinder</v>
      </c>
      <c r="T1054" s="3" t="s">
        <v>638</v>
      </c>
      <c r="U1054" s="3" t="s">
        <v>34</v>
      </c>
      <c r="V1054" t="str">
        <f t="shared" si="118"/>
        <v>510400</v>
      </c>
    </row>
    <row r="1055" spans="1:22">
      <c r="A1055" t="s">
        <v>3917</v>
      </c>
      <c r="B1055" t="s">
        <v>3941</v>
      </c>
      <c r="H1055" t="s">
        <v>4233</v>
      </c>
      <c r="I1055" t="s">
        <v>4234</v>
      </c>
      <c r="J1055" t="s">
        <v>4235</v>
      </c>
      <c r="K1055" t="s">
        <v>4234</v>
      </c>
      <c r="L1055" t="s">
        <v>707</v>
      </c>
      <c r="M1055" s="1" t="str">
        <f t="shared" si="112"/>
        <v>07H167</v>
      </c>
      <c r="N1055" s="1" t="str">
        <f t="shared" si="113"/>
        <v>C/O</v>
      </c>
      <c r="O1055" s="1" t="str">
        <f t="shared" si="114"/>
        <v>Tilt Cylinder</v>
      </c>
      <c r="P1055" s="1" t="str">
        <f t="shared" si="115"/>
        <v>ZMX0</v>
      </c>
      <c r="Q1055" s="2" t="str">
        <f t="shared" si="116"/>
        <v>ZMX0Tilt Cylinder</v>
      </c>
      <c r="R1055" s="2" t="str">
        <f>New_Xref[[#This Row],[Serial Prefix]]&amp;IF(New_Xref[[#This Row],[Func Loc]]&lt;&gt;"",New_Xref[[#This Row],[Func Loc]],"NO MATCH")</f>
        <v>ZMX0MYHD .CYLI.TILT</v>
      </c>
      <c r="S1055" s="3" t="str">
        <f t="shared" si="117"/>
        <v>ZMX0Tilt Cylinder</v>
      </c>
      <c r="T1055" s="3" t="s">
        <v>638</v>
      </c>
      <c r="U1055" s="3" t="s">
        <v>34</v>
      </c>
      <c r="V1055" t="str">
        <f t="shared" si="118"/>
        <v>510400</v>
      </c>
    </row>
    <row r="1056" spans="1:22">
      <c r="A1056" t="s">
        <v>4236</v>
      </c>
      <c r="B1056" t="s">
        <v>4237</v>
      </c>
      <c r="C1056" t="s">
        <v>4238</v>
      </c>
      <c r="D1056" t="s">
        <v>4239</v>
      </c>
      <c r="E1056" t="s">
        <v>4240</v>
      </c>
      <c r="F1056" t="s">
        <v>27</v>
      </c>
      <c r="G1056">
        <v>1</v>
      </c>
      <c r="H1056" t="s">
        <v>4241</v>
      </c>
      <c r="I1056" t="s">
        <v>4242</v>
      </c>
      <c r="J1056" t="s">
        <v>4243</v>
      </c>
      <c r="K1056" t="s">
        <v>4244</v>
      </c>
      <c r="L1056" t="s">
        <v>32</v>
      </c>
      <c r="M1056" s="1" t="str">
        <f t="shared" si="112"/>
        <v>07H126</v>
      </c>
      <c r="N1056" s="1" t="str">
        <f t="shared" si="113"/>
        <v>C/O</v>
      </c>
      <c r="O1056" s="1" t="str">
        <f t="shared" si="114"/>
        <v>Engine</v>
      </c>
      <c r="P1056" s="1" t="str">
        <f t="shared" si="115"/>
        <v>Z9K0</v>
      </c>
      <c r="Q1056" s="2" t="str">
        <f t="shared" si="116"/>
        <v>Z9K0Engine</v>
      </c>
      <c r="R1056" s="2" t="str">
        <f>New_Xref[[#This Row],[Serial Prefix]]&amp;IF(New_Xref[[#This Row],[Func Loc]]&lt;&gt;"",New_Xref[[#This Row],[Func Loc]],"NO MATCH")</f>
        <v>Z9K0ENGD</v>
      </c>
      <c r="S1056" s="3" t="str">
        <f t="shared" si="117"/>
        <v>Z9K02459772XEngine</v>
      </c>
      <c r="T1056" s="3" t="s">
        <v>33</v>
      </c>
      <c r="U1056" s="3" t="s">
        <v>34</v>
      </c>
      <c r="V1056" t="str">
        <f t="shared" si="118"/>
        <v>100000</v>
      </c>
    </row>
    <row r="1057" spans="1:22">
      <c r="A1057" t="s">
        <v>4236</v>
      </c>
      <c r="B1057" t="s">
        <v>4237</v>
      </c>
      <c r="C1057" t="s">
        <v>4245</v>
      </c>
      <c r="D1057" t="s">
        <v>4246</v>
      </c>
      <c r="E1057" t="s">
        <v>263</v>
      </c>
      <c r="F1057" t="s">
        <v>27</v>
      </c>
      <c r="G1057">
        <v>1</v>
      </c>
      <c r="H1057" t="s">
        <v>4247</v>
      </c>
      <c r="I1057" t="s">
        <v>4242</v>
      </c>
      <c r="J1057" t="s">
        <v>4248</v>
      </c>
      <c r="K1057" t="s">
        <v>4249</v>
      </c>
      <c r="L1057" t="s">
        <v>719</v>
      </c>
      <c r="M1057" s="1" t="str">
        <f t="shared" si="112"/>
        <v>07H126</v>
      </c>
      <c r="N1057" s="1" t="str">
        <f t="shared" si="113"/>
        <v>C/O</v>
      </c>
      <c r="O1057" s="1" t="str">
        <f t="shared" si="114"/>
        <v>Turbocharger LH</v>
      </c>
      <c r="P1057" s="1" t="str">
        <f t="shared" si="115"/>
        <v>Z9K0</v>
      </c>
      <c r="Q1057" s="2" t="str">
        <f t="shared" si="116"/>
        <v>Z9K0Turbocharger LH</v>
      </c>
      <c r="R1057" s="2" t="str">
        <f>New_Xref[[#This Row],[Serial Prefix]]&amp;IF(New_Xref[[#This Row],[Func Loc]]&lt;&gt;"",New_Xref[[#This Row],[Func Loc]],"NO MATCH")</f>
        <v>Z9K0ENGD .TURB.TC01</v>
      </c>
      <c r="S1057" s="3" t="str">
        <f t="shared" si="117"/>
        <v>Z9K010R8965Turbocharger LH</v>
      </c>
      <c r="T1057" s="3" t="s">
        <v>47</v>
      </c>
      <c r="U1057" s="3" t="s">
        <v>108</v>
      </c>
      <c r="V1057" t="str">
        <f t="shared" si="118"/>
        <v>1052LT</v>
      </c>
    </row>
    <row r="1058" spans="1:22">
      <c r="A1058" t="s">
        <v>4236</v>
      </c>
      <c r="B1058" t="s">
        <v>4237</v>
      </c>
      <c r="C1058" t="s">
        <v>4250</v>
      </c>
      <c r="D1058" t="s">
        <v>4251</v>
      </c>
      <c r="E1058" t="s">
        <v>263</v>
      </c>
      <c r="F1058" t="s">
        <v>27</v>
      </c>
      <c r="G1058">
        <v>1</v>
      </c>
      <c r="H1058" t="s">
        <v>4252</v>
      </c>
      <c r="I1058" t="s">
        <v>4242</v>
      </c>
      <c r="J1058" t="s">
        <v>4253</v>
      </c>
      <c r="K1058" t="s">
        <v>4254</v>
      </c>
      <c r="L1058" t="s">
        <v>722</v>
      </c>
      <c r="M1058" s="1" t="str">
        <f t="shared" si="112"/>
        <v>07H126</v>
      </c>
      <c r="N1058" s="1" t="str">
        <f t="shared" si="113"/>
        <v>C/O</v>
      </c>
      <c r="O1058" s="1" t="str">
        <f t="shared" si="114"/>
        <v>Turbocharger RH</v>
      </c>
      <c r="P1058" s="1" t="str">
        <f t="shared" si="115"/>
        <v>Z9K0</v>
      </c>
      <c r="Q1058" s="2" t="str">
        <f t="shared" si="116"/>
        <v>Z9K0Turbocharger RH</v>
      </c>
      <c r="R1058" s="2" t="str">
        <f>New_Xref[[#This Row],[Serial Prefix]]&amp;IF(New_Xref[[#This Row],[Func Loc]]&lt;&gt;"",New_Xref[[#This Row],[Func Loc]],"NO MATCH")</f>
        <v>Z9K0ENGD .TURB.TC02</v>
      </c>
      <c r="S1058" s="3" t="str">
        <f t="shared" si="117"/>
        <v>Z9K010R8972Turbocharger RH</v>
      </c>
      <c r="T1058" s="3" t="s">
        <v>47</v>
      </c>
      <c r="U1058" s="3" t="s">
        <v>115</v>
      </c>
      <c r="V1058" t="str">
        <f t="shared" si="118"/>
        <v>1052RI</v>
      </c>
    </row>
    <row r="1059" spans="1:22">
      <c r="A1059" t="s">
        <v>4236</v>
      </c>
      <c r="B1059" t="s">
        <v>4237</v>
      </c>
      <c r="C1059" t="s">
        <v>431</v>
      </c>
      <c r="D1059" t="s">
        <v>432</v>
      </c>
      <c r="E1059" t="s">
        <v>276</v>
      </c>
      <c r="F1059" t="s">
        <v>27</v>
      </c>
      <c r="G1059">
        <v>12</v>
      </c>
      <c r="H1059" t="s">
        <v>4255</v>
      </c>
      <c r="I1059" t="s">
        <v>4242</v>
      </c>
      <c r="J1059" t="s">
        <v>4256</v>
      </c>
      <c r="K1059" t="s">
        <v>4257</v>
      </c>
      <c r="L1059" t="s">
        <v>62</v>
      </c>
      <c r="M1059" s="1" t="str">
        <f t="shared" si="112"/>
        <v>07H126</v>
      </c>
      <c r="N1059" s="1" t="str">
        <f t="shared" si="113"/>
        <v>C/O</v>
      </c>
      <c r="O1059" s="1" t="str">
        <f t="shared" si="114"/>
        <v>Fuel Injectors</v>
      </c>
      <c r="P1059" s="1" t="str">
        <f t="shared" si="115"/>
        <v>Z9K0</v>
      </c>
      <c r="Q1059" s="2" t="str">
        <f t="shared" si="116"/>
        <v>Z9K0Fuel Injectors</v>
      </c>
      <c r="R1059" s="2" t="str">
        <f>New_Xref[[#This Row],[Serial Prefix]]&amp;IF(New_Xref[[#This Row],[Func Loc]]&lt;&gt;"",New_Xref[[#This Row],[Func Loc]],"NO MATCH")</f>
        <v>Z9K0ENGD .FUEL.INJE</v>
      </c>
      <c r="S1059" s="3" t="str">
        <f t="shared" si="117"/>
        <v>Z9K06470750Fuel Injectors</v>
      </c>
      <c r="T1059" s="3" t="s">
        <v>63</v>
      </c>
      <c r="U1059" s="3" t="s">
        <v>34</v>
      </c>
      <c r="V1059" t="str">
        <f t="shared" si="118"/>
        <v>125100</v>
      </c>
    </row>
    <row r="1060" spans="1:22">
      <c r="A1060" t="s">
        <v>4236</v>
      </c>
      <c r="B1060" t="s">
        <v>4237</v>
      </c>
      <c r="C1060" t="s">
        <v>4258</v>
      </c>
      <c r="D1060" t="s">
        <v>4259</v>
      </c>
      <c r="E1060" t="s">
        <v>191</v>
      </c>
      <c r="F1060" t="s">
        <v>27</v>
      </c>
      <c r="G1060">
        <v>1</v>
      </c>
      <c r="H1060" t="s">
        <v>4260</v>
      </c>
      <c r="I1060" t="s">
        <v>4261</v>
      </c>
      <c r="J1060" t="s">
        <v>4262</v>
      </c>
      <c r="K1060" t="s">
        <v>4261</v>
      </c>
      <c r="L1060" t="s">
        <v>72</v>
      </c>
      <c r="M1060" s="1" t="str">
        <f t="shared" si="112"/>
        <v>07H126</v>
      </c>
      <c r="N1060" s="1" t="str">
        <f t="shared" si="113"/>
        <v>C/O</v>
      </c>
      <c r="O1060" s="1" t="str">
        <f t="shared" si="114"/>
        <v>Transmission</v>
      </c>
      <c r="P1060" s="1" t="str">
        <f t="shared" si="115"/>
        <v>Z9K0</v>
      </c>
      <c r="Q1060" s="2" t="str">
        <f t="shared" si="116"/>
        <v>Z9K0Transmission</v>
      </c>
      <c r="R1060" s="2" t="str">
        <f>New_Xref[[#This Row],[Serial Prefix]]&amp;IF(New_Xref[[#This Row],[Func Loc]]&lt;&gt;"",New_Xref[[#This Row],[Func Loc]],"NO MATCH")</f>
        <v>Z9K0TRAN .TRAN</v>
      </c>
      <c r="S1060" s="3" t="str">
        <f t="shared" si="117"/>
        <v>Z9K02559332XTransmission</v>
      </c>
      <c r="T1060" s="3" t="s">
        <v>73</v>
      </c>
      <c r="U1060" s="3" t="s">
        <v>34</v>
      </c>
      <c r="V1060" t="str">
        <f t="shared" si="118"/>
        <v>303000</v>
      </c>
    </row>
    <row r="1061" spans="1:22">
      <c r="A1061" t="s">
        <v>4236</v>
      </c>
      <c r="B1061" t="s">
        <v>4237</v>
      </c>
      <c r="H1061" t="s">
        <v>4263</v>
      </c>
      <c r="I1061" t="s">
        <v>4264</v>
      </c>
      <c r="J1061" t="s">
        <v>4265</v>
      </c>
      <c r="K1061" t="s">
        <v>4264</v>
      </c>
      <c r="L1061" t="s">
        <v>304</v>
      </c>
      <c r="M1061" s="1" t="str">
        <f t="shared" si="112"/>
        <v>07H126</v>
      </c>
      <c r="N1061" s="1" t="str">
        <f t="shared" si="113"/>
        <v>C/O</v>
      </c>
      <c r="O1061" s="1" t="str">
        <f t="shared" si="114"/>
        <v>Torque Converter</v>
      </c>
      <c r="P1061" s="1" t="str">
        <f t="shared" si="115"/>
        <v>Z9K0</v>
      </c>
      <c r="Q1061" s="2" t="str">
        <f t="shared" si="116"/>
        <v>Z9K0Torque Converter</v>
      </c>
      <c r="R1061" s="2" t="str">
        <f>New_Xref[[#This Row],[Serial Prefix]]&amp;IF(New_Xref[[#This Row],[Func Loc]]&lt;&gt;"",New_Xref[[#This Row],[Func Loc]],"NO MATCH")</f>
        <v>Z9K0TRAN .TOCO</v>
      </c>
      <c r="S1061" s="3" t="str">
        <f t="shared" si="117"/>
        <v>Z9K0Torque Converter</v>
      </c>
      <c r="T1061" s="3" t="s">
        <v>305</v>
      </c>
      <c r="U1061" s="3" t="s">
        <v>34</v>
      </c>
      <c r="V1061" t="str">
        <f t="shared" si="118"/>
        <v>310100</v>
      </c>
    </row>
    <row r="1062" spans="1:22">
      <c r="A1062" t="s">
        <v>4236</v>
      </c>
      <c r="B1062" t="s">
        <v>4237</v>
      </c>
      <c r="C1062" t="s">
        <v>3734</v>
      </c>
      <c r="D1062" t="s">
        <v>3735</v>
      </c>
      <c r="E1062" t="s">
        <v>3736</v>
      </c>
      <c r="F1062" t="s">
        <v>27</v>
      </c>
      <c r="G1062">
        <v>1</v>
      </c>
      <c r="H1062" t="s">
        <v>4266</v>
      </c>
      <c r="I1062" t="s">
        <v>4267</v>
      </c>
      <c r="J1062" t="s">
        <v>4268</v>
      </c>
      <c r="K1062" t="s">
        <v>4267</v>
      </c>
      <c r="L1062" t="s">
        <v>688</v>
      </c>
      <c r="M1062" s="1" t="str">
        <f t="shared" si="112"/>
        <v>07H126</v>
      </c>
      <c r="N1062" s="1" t="str">
        <f t="shared" si="113"/>
        <v>C/O</v>
      </c>
      <c r="O1062" s="1" t="str">
        <f t="shared" si="114"/>
        <v>Primary Brake Pump</v>
      </c>
      <c r="P1062" s="1" t="str">
        <f t="shared" si="115"/>
        <v>Z9K0</v>
      </c>
      <c r="Q1062" s="2" t="str">
        <f t="shared" si="116"/>
        <v>Z9K0Primary Brake Pump</v>
      </c>
      <c r="R1062" s="2" t="str">
        <f>New_Xref[[#This Row],[Serial Prefix]]&amp;IF(New_Xref[[#This Row],[Func Loc]]&lt;&gt;"",New_Xref[[#This Row],[Func Loc]],"NO MATCH")</f>
        <v>Z9K0BRAK .PUMP.PRBP</v>
      </c>
      <c r="S1062" s="3" t="str">
        <f t="shared" si="117"/>
        <v>Z9K01645486Primary Brake Pump</v>
      </c>
      <c r="T1062" s="3" t="s">
        <v>689</v>
      </c>
      <c r="U1062" s="3" t="s">
        <v>34</v>
      </c>
      <c r="V1062" t="str">
        <f t="shared" si="118"/>
        <v>426800</v>
      </c>
    </row>
    <row r="1063" spans="1:22">
      <c r="A1063" t="s">
        <v>4236</v>
      </c>
      <c r="B1063" t="s">
        <v>4237</v>
      </c>
      <c r="C1063" t="s">
        <v>4269</v>
      </c>
      <c r="D1063" t="s">
        <v>4270</v>
      </c>
      <c r="E1063" t="s">
        <v>4271</v>
      </c>
      <c r="F1063" t="s">
        <v>27</v>
      </c>
      <c r="G1063">
        <v>1</v>
      </c>
      <c r="H1063" t="s">
        <v>4272</v>
      </c>
      <c r="I1063" t="s">
        <v>4273</v>
      </c>
      <c r="J1063" t="s">
        <v>4274</v>
      </c>
      <c r="K1063" t="s">
        <v>4273</v>
      </c>
      <c r="L1063" t="s">
        <v>767</v>
      </c>
      <c r="M1063" s="1" t="str">
        <f t="shared" si="112"/>
        <v>07H126</v>
      </c>
      <c r="N1063" s="1" t="str">
        <f t="shared" si="113"/>
        <v>C/O</v>
      </c>
      <c r="O1063" s="1" t="str">
        <f t="shared" si="114"/>
        <v>Steering Cylinder LH</v>
      </c>
      <c r="P1063" s="1" t="str">
        <f t="shared" si="115"/>
        <v>Z9K0</v>
      </c>
      <c r="Q1063" s="2" t="str">
        <f t="shared" si="116"/>
        <v>Z9K0Steering Cylinder LH</v>
      </c>
      <c r="R1063" s="2" t="str">
        <f>New_Xref[[#This Row],[Serial Prefix]]&amp;IF(New_Xref[[#This Row],[Func Loc]]&lt;&gt;"",New_Xref[[#This Row],[Func Loc]],"NO MATCH")</f>
        <v>Z9K0STRG .CYLI.SC01</v>
      </c>
      <c r="S1063" s="3" t="str">
        <f t="shared" si="117"/>
        <v>Z9K02885504XSteering Cylinder LH</v>
      </c>
      <c r="T1063" s="3" t="s">
        <v>107</v>
      </c>
      <c r="U1063" s="3" t="s">
        <v>108</v>
      </c>
      <c r="V1063" t="str">
        <f t="shared" si="118"/>
        <v>4303LT</v>
      </c>
    </row>
    <row r="1064" spans="1:22">
      <c r="A1064" t="s">
        <v>4236</v>
      </c>
      <c r="B1064" t="s">
        <v>4237</v>
      </c>
      <c r="C1064" t="s">
        <v>4269</v>
      </c>
      <c r="D1064" t="s">
        <v>4270</v>
      </c>
      <c r="E1064" t="s">
        <v>4271</v>
      </c>
      <c r="F1064" t="s">
        <v>27</v>
      </c>
      <c r="G1064">
        <v>1</v>
      </c>
      <c r="H1064" t="s">
        <v>4275</v>
      </c>
      <c r="I1064" t="s">
        <v>4276</v>
      </c>
      <c r="J1064" t="s">
        <v>4277</v>
      </c>
      <c r="K1064" t="s">
        <v>4276</v>
      </c>
      <c r="L1064" t="s">
        <v>770</v>
      </c>
      <c r="M1064" s="1" t="str">
        <f t="shared" si="112"/>
        <v>07H126</v>
      </c>
      <c r="N1064" s="1" t="str">
        <f t="shared" si="113"/>
        <v>C/O</v>
      </c>
      <c r="O1064" s="1" t="str">
        <f t="shared" si="114"/>
        <v>Steering Cylinder RH</v>
      </c>
      <c r="P1064" s="1" t="str">
        <f t="shared" si="115"/>
        <v>Z9K0</v>
      </c>
      <c r="Q1064" s="2" t="str">
        <f t="shared" si="116"/>
        <v>Z9K0Steering Cylinder RH</v>
      </c>
      <c r="R1064" s="2" t="str">
        <f>New_Xref[[#This Row],[Serial Prefix]]&amp;IF(New_Xref[[#This Row],[Func Loc]]&lt;&gt;"",New_Xref[[#This Row],[Func Loc]],"NO MATCH")</f>
        <v>Z9K0STRG .CYLI.SC02</v>
      </c>
      <c r="S1064" s="3" t="str">
        <f t="shared" si="117"/>
        <v>Z9K02885504XSteering Cylinder RH</v>
      </c>
      <c r="T1064" s="3" t="s">
        <v>107</v>
      </c>
      <c r="U1064" s="3" t="s">
        <v>115</v>
      </c>
      <c r="V1064" t="str">
        <f t="shared" si="118"/>
        <v>4303RI</v>
      </c>
    </row>
    <row r="1065" spans="1:22">
      <c r="A1065" t="s">
        <v>4236</v>
      </c>
      <c r="B1065" t="s">
        <v>4237</v>
      </c>
      <c r="C1065" t="s">
        <v>4278</v>
      </c>
      <c r="D1065" t="s">
        <v>4279</v>
      </c>
      <c r="E1065" t="s">
        <v>4280</v>
      </c>
      <c r="F1065" t="s">
        <v>27</v>
      </c>
      <c r="G1065">
        <v>1</v>
      </c>
      <c r="H1065" t="s">
        <v>4281</v>
      </c>
      <c r="I1065" t="s">
        <v>4282</v>
      </c>
      <c r="J1065" t="s">
        <v>4283</v>
      </c>
      <c r="K1065" t="s">
        <v>4282</v>
      </c>
      <c r="L1065" t="s">
        <v>2358</v>
      </c>
      <c r="M1065" s="1" t="str">
        <f t="shared" si="112"/>
        <v>07H126</v>
      </c>
      <c r="N1065" s="1" t="str">
        <f t="shared" si="113"/>
        <v>C/O</v>
      </c>
      <c r="O1065" s="1" t="str">
        <f t="shared" si="114"/>
        <v>Primary Steering Pump Front</v>
      </c>
      <c r="P1065" s="1" t="str">
        <f t="shared" si="115"/>
        <v>Z9K0</v>
      </c>
      <c r="Q1065" s="2" t="str">
        <f t="shared" si="116"/>
        <v>Z9K0Primary Steering Pump Front</v>
      </c>
      <c r="R1065" s="2" t="str">
        <f>New_Xref[[#This Row],[Serial Prefix]]&amp;IF(New_Xref[[#This Row],[Func Loc]]&lt;&gt;"",New_Xref[[#This Row],[Func Loc]],"NO MATCH")</f>
        <v>Z9K0STRG .PUMP.SP01</v>
      </c>
      <c r="S1065" s="3" t="str">
        <f t="shared" si="117"/>
        <v>Z9K020R0110Primary Steering Pump Front</v>
      </c>
      <c r="T1065" s="3" t="s">
        <v>342</v>
      </c>
      <c r="U1065" s="3" t="s">
        <v>386</v>
      </c>
      <c r="V1065" t="str">
        <f t="shared" si="118"/>
        <v>4306FR</v>
      </c>
    </row>
    <row r="1066" spans="1:22">
      <c r="A1066" t="s">
        <v>4236</v>
      </c>
      <c r="B1066" t="s">
        <v>4237</v>
      </c>
      <c r="C1066" t="s">
        <v>4284</v>
      </c>
      <c r="D1066" t="s">
        <v>4285</v>
      </c>
      <c r="E1066" t="s">
        <v>4286</v>
      </c>
      <c r="F1066" t="s">
        <v>27</v>
      </c>
      <c r="G1066">
        <v>1</v>
      </c>
      <c r="H1066" t="s">
        <v>4287</v>
      </c>
      <c r="I1066" t="s">
        <v>4288</v>
      </c>
      <c r="J1066" t="s">
        <v>4289</v>
      </c>
      <c r="K1066" t="s">
        <v>4288</v>
      </c>
      <c r="L1066" t="s">
        <v>4290</v>
      </c>
      <c r="M1066" s="1" t="str">
        <f t="shared" si="112"/>
        <v>07H126</v>
      </c>
      <c r="N1066" s="1" t="str">
        <f t="shared" si="113"/>
        <v>C/O</v>
      </c>
      <c r="O1066" s="1" t="str">
        <f t="shared" si="114"/>
        <v>Primary Steering Pump Centre</v>
      </c>
      <c r="P1066" s="1" t="str">
        <f t="shared" si="115"/>
        <v>Z9K0</v>
      </c>
      <c r="Q1066" s="2" t="str">
        <f t="shared" si="116"/>
        <v>Z9K0Primary Steering Pump Centre</v>
      </c>
      <c r="R1066" s="2" t="str">
        <f>New_Xref[[#This Row],[Serial Prefix]]&amp;IF(New_Xref[[#This Row],[Func Loc]]&lt;&gt;"",New_Xref[[#This Row],[Func Loc]],"NO MATCH")</f>
        <v>Z9K0STRG .PUMP.SP02</v>
      </c>
      <c r="S1066" s="3" t="str">
        <f t="shared" si="117"/>
        <v>Z9K020R7579Primary Steering Pump Centre</v>
      </c>
      <c r="T1066" s="3" t="s">
        <v>342</v>
      </c>
      <c r="U1066" s="3" t="s">
        <v>4144</v>
      </c>
      <c r="V1066" t="str">
        <f t="shared" si="118"/>
        <v>4306CE</v>
      </c>
    </row>
    <row r="1067" spans="1:22">
      <c r="A1067" t="s">
        <v>4236</v>
      </c>
      <c r="B1067" t="s">
        <v>4237</v>
      </c>
      <c r="C1067" t="s">
        <v>2466</v>
      </c>
      <c r="D1067" t="s">
        <v>2467</v>
      </c>
      <c r="E1067" t="s">
        <v>2468</v>
      </c>
      <c r="F1067" t="s">
        <v>27</v>
      </c>
      <c r="G1067">
        <v>1</v>
      </c>
      <c r="H1067" t="s">
        <v>4291</v>
      </c>
      <c r="I1067" t="s">
        <v>4292</v>
      </c>
      <c r="J1067" t="s">
        <v>4293</v>
      </c>
      <c r="K1067" t="s">
        <v>4292</v>
      </c>
      <c r="L1067" t="s">
        <v>83</v>
      </c>
      <c r="M1067" s="1" t="str">
        <f t="shared" si="112"/>
        <v>07H126</v>
      </c>
      <c r="N1067" s="1" t="str">
        <f t="shared" si="113"/>
        <v>C/O</v>
      </c>
      <c r="O1067" s="1" t="str">
        <f t="shared" si="114"/>
        <v>Axle Cooler Pump/Motor Front</v>
      </c>
      <c r="P1067" s="1" t="str">
        <f t="shared" si="115"/>
        <v>Z9K0</v>
      </c>
      <c r="Q1067" s="2" t="str">
        <f t="shared" si="116"/>
        <v>Z9K0Axle Cooler Pump/Motor Front</v>
      </c>
      <c r="R1067" s="2" t="str">
        <f>New_Xref[[#This Row],[Serial Prefix]]&amp;IF(New_Xref[[#This Row],[Func Loc]]&lt;&gt;"",New_Xref[[#This Row],[Func Loc]],"NO MATCH")</f>
        <v>Z9K0NO MATCH</v>
      </c>
      <c r="S1067" s="3" t="str">
        <f t="shared" si="117"/>
        <v>Z9K02497012Axle Cooler Pump/Motor Front</v>
      </c>
      <c r="T1067" s="3" t="s">
        <v>613</v>
      </c>
      <c r="U1067" s="3" t="s">
        <v>34</v>
      </c>
      <c r="V1067" t="str">
        <f t="shared" si="118"/>
        <v>506G00</v>
      </c>
    </row>
    <row r="1068" spans="1:22">
      <c r="A1068" t="s">
        <v>4236</v>
      </c>
      <c r="B1068" t="s">
        <v>4237</v>
      </c>
      <c r="C1068" t="s">
        <v>2466</v>
      </c>
      <c r="D1068" t="s">
        <v>2467</v>
      </c>
      <c r="E1068" t="s">
        <v>2468</v>
      </c>
      <c r="F1068" t="s">
        <v>27</v>
      </c>
      <c r="G1068">
        <v>1</v>
      </c>
      <c r="H1068" t="s">
        <v>4294</v>
      </c>
      <c r="I1068" t="s">
        <v>4295</v>
      </c>
      <c r="J1068" t="s">
        <v>4296</v>
      </c>
      <c r="K1068" t="s">
        <v>4295</v>
      </c>
      <c r="L1068" t="s">
        <v>83</v>
      </c>
      <c r="M1068" s="1" t="str">
        <f t="shared" si="112"/>
        <v>07H126</v>
      </c>
      <c r="N1068" s="1" t="str">
        <f t="shared" si="113"/>
        <v>C/O</v>
      </c>
      <c r="O1068" s="1" t="str">
        <f t="shared" si="114"/>
        <v>Axle Cooler Pump/Motor Rear</v>
      </c>
      <c r="P1068" s="1" t="str">
        <f t="shared" si="115"/>
        <v>Z9K0</v>
      </c>
      <c r="Q1068" s="2" t="str">
        <f t="shared" si="116"/>
        <v>Z9K0Axle Cooler Pump/Motor Rear</v>
      </c>
      <c r="R1068" s="2" t="str">
        <f>New_Xref[[#This Row],[Serial Prefix]]&amp;IF(New_Xref[[#This Row],[Func Loc]]&lt;&gt;"",New_Xref[[#This Row],[Func Loc]],"NO MATCH")</f>
        <v>Z9K0NO MATCH</v>
      </c>
      <c r="S1068" s="3" t="str">
        <f t="shared" si="117"/>
        <v>Z9K02497012Axle Cooler Pump/Motor Rear</v>
      </c>
      <c r="T1068" s="3" t="s">
        <v>613</v>
      </c>
      <c r="U1068" s="3" t="s">
        <v>34</v>
      </c>
      <c r="V1068" t="str">
        <f t="shared" si="118"/>
        <v>506G00</v>
      </c>
    </row>
    <row r="1069" spans="1:22">
      <c r="A1069" t="s">
        <v>4236</v>
      </c>
      <c r="B1069" t="s">
        <v>4237</v>
      </c>
      <c r="C1069" t="s">
        <v>4297</v>
      </c>
      <c r="D1069" t="s">
        <v>4298</v>
      </c>
      <c r="E1069" t="s">
        <v>4299</v>
      </c>
      <c r="F1069" t="s">
        <v>27</v>
      </c>
      <c r="G1069">
        <v>1</v>
      </c>
      <c r="H1069" t="s">
        <v>4300</v>
      </c>
      <c r="I1069" t="s">
        <v>4301</v>
      </c>
      <c r="J1069" t="s">
        <v>4302</v>
      </c>
      <c r="K1069" t="s">
        <v>4301</v>
      </c>
      <c r="L1069" t="s">
        <v>2453</v>
      </c>
      <c r="M1069" s="1" t="str">
        <f t="shared" si="112"/>
        <v>07H126</v>
      </c>
      <c r="N1069" s="1" t="str">
        <f t="shared" si="113"/>
        <v>C/O</v>
      </c>
      <c r="O1069" s="1" t="str">
        <f t="shared" si="114"/>
        <v>Hydraulic VD Pump RH</v>
      </c>
      <c r="P1069" s="1" t="str">
        <f t="shared" si="115"/>
        <v>Z9K0</v>
      </c>
      <c r="Q1069" s="2" t="str">
        <f t="shared" si="116"/>
        <v>Z9K0Hydraulic VD Pump RH</v>
      </c>
      <c r="R1069" s="2" t="str">
        <f>New_Xref[[#This Row],[Serial Prefix]]&amp;IF(New_Xref[[#This Row],[Func Loc]]&lt;&gt;"",New_Xref[[#This Row],[Func Loc]],"NO MATCH")</f>
        <v>Z9K0MYHD .PUMP.HP01</v>
      </c>
      <c r="S1069" s="3" t="str">
        <f t="shared" si="117"/>
        <v>Z9K010R9046Hydraulic VD Pump RH</v>
      </c>
      <c r="T1069" s="3" t="s">
        <v>220</v>
      </c>
      <c r="U1069" s="3" t="s">
        <v>115</v>
      </c>
      <c r="V1069" t="str">
        <f t="shared" si="118"/>
        <v>5070RI</v>
      </c>
    </row>
    <row r="1070" spans="1:22">
      <c r="A1070" t="s">
        <v>4236</v>
      </c>
      <c r="B1070" t="s">
        <v>4237</v>
      </c>
      <c r="C1070" t="s">
        <v>4303</v>
      </c>
      <c r="D1070" t="s">
        <v>4304</v>
      </c>
      <c r="E1070" t="s">
        <v>4299</v>
      </c>
      <c r="F1070" t="s">
        <v>27</v>
      </c>
      <c r="G1070">
        <v>1</v>
      </c>
      <c r="H1070" t="s">
        <v>4300</v>
      </c>
      <c r="I1070" t="s">
        <v>4301</v>
      </c>
      <c r="J1070" t="s">
        <v>4302</v>
      </c>
      <c r="K1070" t="s">
        <v>4301</v>
      </c>
      <c r="L1070" t="s">
        <v>2453</v>
      </c>
      <c r="M1070" s="1" t="str">
        <f t="shared" si="112"/>
        <v>07H126</v>
      </c>
      <c r="N1070" s="1" t="str">
        <f t="shared" si="113"/>
        <v>C/O</v>
      </c>
      <c r="O1070" s="1" t="str">
        <f t="shared" si="114"/>
        <v>Hydraulic VD Pump RH</v>
      </c>
      <c r="P1070" s="1" t="str">
        <f t="shared" si="115"/>
        <v>Z9K0</v>
      </c>
      <c r="Q1070" s="2" t="str">
        <f t="shared" si="116"/>
        <v>Z9K0Hydraulic VD Pump RH</v>
      </c>
      <c r="R1070" s="2" t="str">
        <f>New_Xref[[#This Row],[Serial Prefix]]&amp;IF(New_Xref[[#This Row],[Func Loc]]&lt;&gt;"",New_Xref[[#This Row],[Func Loc]],"NO MATCH")</f>
        <v>Z9K0MYHD .PUMP.HP01</v>
      </c>
      <c r="S1070" s="3" t="str">
        <f t="shared" si="117"/>
        <v>Z9K010R9047Hydraulic VD Pump RH</v>
      </c>
      <c r="T1070" s="3" t="s">
        <v>220</v>
      </c>
      <c r="U1070" s="3" t="s">
        <v>115</v>
      </c>
      <c r="V1070" t="str">
        <f t="shared" si="118"/>
        <v>5070RI</v>
      </c>
    </row>
    <row r="1071" spans="1:22">
      <c r="A1071" t="s">
        <v>4236</v>
      </c>
      <c r="B1071" t="s">
        <v>4237</v>
      </c>
      <c r="C1071" t="s">
        <v>4305</v>
      </c>
      <c r="D1071" t="s">
        <v>4306</v>
      </c>
      <c r="E1071" t="s">
        <v>4307</v>
      </c>
      <c r="F1071" t="s">
        <v>27</v>
      </c>
      <c r="G1071">
        <v>1</v>
      </c>
      <c r="H1071" t="s">
        <v>4308</v>
      </c>
      <c r="I1071" t="s">
        <v>4309</v>
      </c>
      <c r="J1071" t="s">
        <v>4310</v>
      </c>
      <c r="K1071" t="s">
        <v>4309</v>
      </c>
      <c r="L1071" t="s">
        <v>2478</v>
      </c>
      <c r="M1071" s="1" t="str">
        <f t="shared" si="112"/>
        <v>07H126</v>
      </c>
      <c r="N1071" s="1" t="str">
        <f t="shared" si="113"/>
        <v>C/O</v>
      </c>
      <c r="O1071" s="1" t="str">
        <f t="shared" si="114"/>
        <v>Hydraulic VD Pump Centre</v>
      </c>
      <c r="P1071" s="1" t="str">
        <f t="shared" si="115"/>
        <v>Z9K0</v>
      </c>
      <c r="Q1071" s="2" t="str">
        <f t="shared" si="116"/>
        <v>Z9K0Hydraulic VD Pump Centre</v>
      </c>
      <c r="R1071" s="2" t="str">
        <f>New_Xref[[#This Row],[Serial Prefix]]&amp;IF(New_Xref[[#This Row],[Func Loc]]&lt;&gt;"",New_Xref[[#This Row],[Func Loc]],"NO MATCH")</f>
        <v>Z9K0MYHD .PUMP.HP02</v>
      </c>
      <c r="S1071" s="3" t="str">
        <f t="shared" si="117"/>
        <v>Z9K010R9757Hydraulic VD Pump Centre</v>
      </c>
      <c r="T1071" s="3" t="s">
        <v>220</v>
      </c>
      <c r="U1071" s="3" t="s">
        <v>4144</v>
      </c>
      <c r="V1071" t="str">
        <f t="shared" si="118"/>
        <v>5070CE</v>
      </c>
    </row>
    <row r="1072" spans="1:22">
      <c r="A1072" t="s">
        <v>4236</v>
      </c>
      <c r="B1072" t="s">
        <v>4237</v>
      </c>
      <c r="C1072" t="s">
        <v>4311</v>
      </c>
      <c r="D1072" t="s">
        <v>4312</v>
      </c>
      <c r="E1072" t="s">
        <v>4313</v>
      </c>
      <c r="F1072" t="s">
        <v>27</v>
      </c>
      <c r="G1072">
        <v>1</v>
      </c>
      <c r="H1072" t="s">
        <v>4314</v>
      </c>
      <c r="I1072" t="s">
        <v>4315</v>
      </c>
      <c r="J1072" t="s">
        <v>4316</v>
      </c>
      <c r="K1072" t="s">
        <v>4315</v>
      </c>
      <c r="L1072" t="s">
        <v>626</v>
      </c>
      <c r="M1072" s="1" t="str">
        <f t="shared" si="112"/>
        <v>07H126</v>
      </c>
      <c r="N1072" s="1" t="str">
        <f t="shared" si="113"/>
        <v>C/O</v>
      </c>
      <c r="O1072" s="1" t="str">
        <f t="shared" si="114"/>
        <v>Lift Cylinder LH</v>
      </c>
      <c r="P1072" s="1" t="str">
        <f t="shared" si="115"/>
        <v>Z9K0</v>
      </c>
      <c r="Q1072" s="2" t="str">
        <f t="shared" si="116"/>
        <v>Z9K0Lift Cylinder LH</v>
      </c>
      <c r="R1072" s="2" t="str">
        <f>New_Xref[[#This Row],[Serial Prefix]]&amp;IF(New_Xref[[#This Row],[Func Loc]]&lt;&gt;"",New_Xref[[#This Row],[Func Loc]],"NO MATCH")</f>
        <v>Z9K0MYHD .CYLI.LIFL</v>
      </c>
      <c r="S1072" s="3" t="str">
        <f t="shared" si="117"/>
        <v>Z9K03080831XLift Cylinder LH</v>
      </c>
      <c r="T1072" s="3" t="s">
        <v>130</v>
      </c>
      <c r="U1072" s="3" t="s">
        <v>108</v>
      </c>
      <c r="V1072" t="str">
        <f t="shared" si="118"/>
        <v>5102LT</v>
      </c>
    </row>
    <row r="1073" spans="1:22">
      <c r="A1073" t="s">
        <v>4236</v>
      </c>
      <c r="B1073" t="s">
        <v>4237</v>
      </c>
      <c r="C1073" t="s">
        <v>4317</v>
      </c>
      <c r="D1073" t="s">
        <v>4318</v>
      </c>
      <c r="E1073" t="s">
        <v>4319</v>
      </c>
      <c r="F1073" t="s">
        <v>27</v>
      </c>
      <c r="G1073">
        <v>1</v>
      </c>
      <c r="H1073" t="s">
        <v>4320</v>
      </c>
      <c r="I1073" t="s">
        <v>4321</v>
      </c>
      <c r="J1073" t="s">
        <v>4322</v>
      </c>
      <c r="K1073" t="s">
        <v>4321</v>
      </c>
      <c r="L1073" t="s">
        <v>633</v>
      </c>
      <c r="M1073" s="1" t="str">
        <f t="shared" si="112"/>
        <v>07H126</v>
      </c>
      <c r="N1073" s="1" t="str">
        <f t="shared" si="113"/>
        <v>C/O</v>
      </c>
      <c r="O1073" s="1" t="str">
        <f t="shared" si="114"/>
        <v>Lift Cylinder RH</v>
      </c>
      <c r="P1073" s="1" t="str">
        <f t="shared" si="115"/>
        <v>Z9K0</v>
      </c>
      <c r="Q1073" s="2" t="str">
        <f t="shared" si="116"/>
        <v>Z9K0Lift Cylinder RH</v>
      </c>
      <c r="R1073" s="2" t="str">
        <f>New_Xref[[#This Row],[Serial Prefix]]&amp;IF(New_Xref[[#This Row],[Func Loc]]&lt;&gt;"",New_Xref[[#This Row],[Func Loc]],"NO MATCH")</f>
        <v>Z9K0MYHD .CYLI.LIFR</v>
      </c>
      <c r="S1073" s="3" t="str">
        <f t="shared" si="117"/>
        <v>Z9K03080830XLift Cylinder RH</v>
      </c>
      <c r="T1073" s="3" t="s">
        <v>130</v>
      </c>
      <c r="U1073" s="3" t="s">
        <v>115</v>
      </c>
      <c r="V1073" t="str">
        <f t="shared" si="118"/>
        <v>5102RI</v>
      </c>
    </row>
    <row r="1074" spans="1:22">
      <c r="A1074" t="s">
        <v>4236</v>
      </c>
      <c r="B1074" t="s">
        <v>4237</v>
      </c>
      <c r="C1074" t="s">
        <v>4323</v>
      </c>
      <c r="D1074" t="s">
        <v>4324</v>
      </c>
      <c r="E1074" t="s">
        <v>4325</v>
      </c>
      <c r="F1074" t="s">
        <v>27</v>
      </c>
      <c r="G1074">
        <v>1</v>
      </c>
      <c r="H1074" t="s">
        <v>4326</v>
      </c>
      <c r="I1074" t="s">
        <v>4327</v>
      </c>
      <c r="J1074" t="s">
        <v>4328</v>
      </c>
      <c r="K1074" t="s">
        <v>4329</v>
      </c>
      <c r="L1074" t="s">
        <v>637</v>
      </c>
      <c r="M1074" s="1" t="str">
        <f t="shared" si="112"/>
        <v>07H126</v>
      </c>
      <c r="N1074" s="1" t="str">
        <f t="shared" si="113"/>
        <v>C/O</v>
      </c>
      <c r="O1074" s="1" t="str">
        <f t="shared" si="114"/>
        <v>Tilt Cylinder LH</v>
      </c>
      <c r="P1074" s="1" t="str">
        <f t="shared" si="115"/>
        <v>Z9K0</v>
      </c>
      <c r="Q1074" s="2" t="str">
        <f t="shared" si="116"/>
        <v>Z9K0Tilt Cylinder LH</v>
      </c>
      <c r="R1074" s="2" t="str">
        <f>New_Xref[[#This Row],[Serial Prefix]]&amp;IF(New_Xref[[#This Row],[Func Loc]]&lt;&gt;"",New_Xref[[#This Row],[Func Loc]],"NO MATCH")</f>
        <v>Z9K0MYHD .CYLI.TILL</v>
      </c>
      <c r="S1074" s="3" t="str">
        <f t="shared" si="117"/>
        <v>Z9K04519084XTilt Cylinder LH</v>
      </c>
      <c r="T1074" s="3" t="s">
        <v>638</v>
      </c>
      <c r="U1074" s="3" t="s">
        <v>108</v>
      </c>
      <c r="V1074" t="str">
        <f t="shared" si="118"/>
        <v>5104LT</v>
      </c>
    </row>
    <row r="1075" spans="1:22">
      <c r="A1075" t="s">
        <v>4236</v>
      </c>
      <c r="B1075" t="s">
        <v>4237</v>
      </c>
      <c r="C1075" t="s">
        <v>4330</v>
      </c>
      <c r="D1075" t="s">
        <v>4331</v>
      </c>
      <c r="E1075" t="s">
        <v>4325</v>
      </c>
      <c r="F1075" t="s">
        <v>27</v>
      </c>
      <c r="G1075">
        <v>1</v>
      </c>
      <c r="H1075" t="s">
        <v>4332</v>
      </c>
      <c r="I1075" t="s">
        <v>4333</v>
      </c>
      <c r="J1075" t="s">
        <v>4334</v>
      </c>
      <c r="K1075" t="s">
        <v>4335</v>
      </c>
      <c r="L1075" t="s">
        <v>642</v>
      </c>
      <c r="M1075" s="1" t="str">
        <f t="shared" si="112"/>
        <v>07H126</v>
      </c>
      <c r="N1075" s="1" t="str">
        <f t="shared" si="113"/>
        <v>C/O</v>
      </c>
      <c r="O1075" s="1" t="str">
        <f t="shared" si="114"/>
        <v>Tilt Cylinder RH</v>
      </c>
      <c r="P1075" s="1" t="str">
        <f t="shared" si="115"/>
        <v>Z9K0</v>
      </c>
      <c r="Q1075" s="2" t="str">
        <f t="shared" si="116"/>
        <v>Z9K0Tilt Cylinder RH</v>
      </c>
      <c r="R1075" s="2" t="str">
        <f>New_Xref[[#This Row],[Serial Prefix]]&amp;IF(New_Xref[[#This Row],[Func Loc]]&lt;&gt;"",New_Xref[[#This Row],[Func Loc]],"NO MATCH")</f>
        <v>Z9K0MYHD .CYLI.TILR</v>
      </c>
      <c r="S1075" s="3" t="str">
        <f t="shared" si="117"/>
        <v>Z9K03080835XTilt Cylinder RH</v>
      </c>
      <c r="T1075" s="3" t="s">
        <v>638</v>
      </c>
      <c r="U1075" s="3" t="s">
        <v>115</v>
      </c>
      <c r="V1075" t="str">
        <f t="shared" si="118"/>
        <v>5104RI</v>
      </c>
    </row>
    <row r="1076" spans="1:22">
      <c r="A1076" t="s">
        <v>4236</v>
      </c>
      <c r="B1076" t="s">
        <v>4336</v>
      </c>
      <c r="C1076" t="s">
        <v>4337</v>
      </c>
      <c r="D1076" t="s">
        <v>4338</v>
      </c>
      <c r="E1076" t="s">
        <v>4325</v>
      </c>
      <c r="F1076" t="s">
        <v>27</v>
      </c>
      <c r="G1076">
        <v>1</v>
      </c>
      <c r="H1076" t="s">
        <v>4326</v>
      </c>
      <c r="I1076" t="s">
        <v>4339</v>
      </c>
      <c r="J1076" t="s">
        <v>4340</v>
      </c>
      <c r="K1076" t="s">
        <v>4339</v>
      </c>
      <c r="L1076" t="s">
        <v>637</v>
      </c>
      <c r="M1076" s="1" t="str">
        <f t="shared" si="112"/>
        <v>07H127</v>
      </c>
      <c r="N1076" s="1" t="str">
        <f t="shared" si="113"/>
        <v>C/O</v>
      </c>
      <c r="O1076" s="1" t="str">
        <f t="shared" si="114"/>
        <v>Tilt Cylinder LH</v>
      </c>
      <c r="P1076" s="1" t="str">
        <f t="shared" si="115"/>
        <v>Z9K0</v>
      </c>
      <c r="Q1076" s="2" t="str">
        <f t="shared" si="116"/>
        <v>Z9K0Tilt Cylinder LH</v>
      </c>
      <c r="R1076" s="2" t="str">
        <f>New_Xref[[#This Row],[Serial Prefix]]&amp;IF(New_Xref[[#This Row],[Func Loc]]&lt;&gt;"",New_Xref[[#This Row],[Func Loc]],"NO MATCH")</f>
        <v>Z9K0MYHD .CYLI.TILL</v>
      </c>
      <c r="S1076" s="3" t="str">
        <f t="shared" si="117"/>
        <v>Z9K03694558XTilt Cylinder LH</v>
      </c>
      <c r="T1076" s="3" t="s">
        <v>638</v>
      </c>
      <c r="U1076" s="3" t="s">
        <v>108</v>
      </c>
      <c r="V1076" t="str">
        <f t="shared" si="118"/>
        <v>5104LT</v>
      </c>
    </row>
    <row r="1077" spans="1:22">
      <c r="A1077" t="s">
        <v>4236</v>
      </c>
      <c r="B1077" t="s">
        <v>4336</v>
      </c>
      <c r="C1077" t="s">
        <v>4341</v>
      </c>
      <c r="D1077" t="s">
        <v>4342</v>
      </c>
      <c r="E1077" t="s">
        <v>4325</v>
      </c>
      <c r="F1077" t="s">
        <v>27</v>
      </c>
      <c r="G1077">
        <v>1</v>
      </c>
      <c r="H1077" t="s">
        <v>4332</v>
      </c>
      <c r="I1077" t="s">
        <v>4343</v>
      </c>
      <c r="J1077" t="s">
        <v>4344</v>
      </c>
      <c r="K1077" t="s">
        <v>4343</v>
      </c>
      <c r="L1077" t="s">
        <v>642</v>
      </c>
      <c r="M1077" s="1" t="str">
        <f t="shared" si="112"/>
        <v>07H127</v>
      </c>
      <c r="N1077" s="1" t="str">
        <f t="shared" si="113"/>
        <v>C/O</v>
      </c>
      <c r="O1077" s="1" t="str">
        <f t="shared" si="114"/>
        <v>Tilt Cylinder RH</v>
      </c>
      <c r="P1077" s="1" t="str">
        <f t="shared" si="115"/>
        <v>Z9K0</v>
      </c>
      <c r="Q1077" s="2" t="str">
        <f t="shared" si="116"/>
        <v>Z9K0Tilt Cylinder RH</v>
      </c>
      <c r="R1077" s="2" t="str">
        <f>New_Xref[[#This Row],[Serial Prefix]]&amp;IF(New_Xref[[#This Row],[Func Loc]]&lt;&gt;"",New_Xref[[#This Row],[Func Loc]],"NO MATCH")</f>
        <v>Z9K0MYHD .CYLI.TILR</v>
      </c>
      <c r="S1077" s="3" t="str">
        <f t="shared" si="117"/>
        <v>Z9K03694557XTilt Cylinder RH</v>
      </c>
      <c r="T1077" s="3" t="s">
        <v>638</v>
      </c>
      <c r="U1077" s="3" t="s">
        <v>115</v>
      </c>
      <c r="V1077" t="str">
        <f t="shared" si="118"/>
        <v>5104RI</v>
      </c>
    </row>
    <row r="1078" spans="1:22">
      <c r="A1078" t="s">
        <v>4345</v>
      </c>
      <c r="B1078" t="s">
        <v>4346</v>
      </c>
      <c r="C1078" t="s">
        <v>4347</v>
      </c>
      <c r="D1078" t="s">
        <v>4348</v>
      </c>
      <c r="E1078" t="s">
        <v>4349</v>
      </c>
      <c r="F1078" t="s">
        <v>27</v>
      </c>
      <c r="G1078">
        <v>1</v>
      </c>
      <c r="H1078" t="s">
        <v>4350</v>
      </c>
      <c r="I1078" t="s">
        <v>4351</v>
      </c>
      <c r="J1078" t="s">
        <v>4352</v>
      </c>
      <c r="K1078" t="s">
        <v>4353</v>
      </c>
      <c r="L1078" t="s">
        <v>32</v>
      </c>
      <c r="M1078" s="1" t="str">
        <f t="shared" si="112"/>
        <v>07B307</v>
      </c>
      <c r="N1078" s="1" t="str">
        <f t="shared" si="113"/>
        <v>C/O</v>
      </c>
      <c r="O1078" s="1" t="str">
        <f t="shared" si="114"/>
        <v>Engine</v>
      </c>
      <c r="P1078" s="1" t="str">
        <f t="shared" si="115"/>
        <v>MM90</v>
      </c>
      <c r="Q1078" s="2" t="str">
        <f t="shared" si="116"/>
        <v>MM90Engine</v>
      </c>
      <c r="R1078" s="2" t="str">
        <f>New_Xref[[#This Row],[Serial Prefix]]&amp;IF(New_Xref[[#This Row],[Func Loc]]&lt;&gt;"",New_Xref[[#This Row],[Func Loc]],"NO MATCH")</f>
        <v>MM90ENGD</v>
      </c>
      <c r="S1078" s="3" t="str">
        <f t="shared" si="117"/>
        <v>MM904998893XEngine</v>
      </c>
      <c r="T1078" s="3" t="s">
        <v>33</v>
      </c>
      <c r="U1078" s="3" t="s">
        <v>34</v>
      </c>
      <c r="V1078" t="str">
        <f t="shared" si="118"/>
        <v>100000</v>
      </c>
    </row>
    <row r="1079" spans="1:22">
      <c r="A1079" t="s">
        <v>4345</v>
      </c>
      <c r="B1079" t="s">
        <v>4346</v>
      </c>
      <c r="C1079" t="s">
        <v>4354</v>
      </c>
      <c r="D1079" t="s">
        <v>4355</v>
      </c>
      <c r="E1079" t="s">
        <v>263</v>
      </c>
      <c r="F1079" t="s">
        <v>27</v>
      </c>
      <c r="G1079">
        <v>1</v>
      </c>
      <c r="H1079" t="s">
        <v>4356</v>
      </c>
      <c r="I1079" t="s">
        <v>4351</v>
      </c>
      <c r="J1079" t="s">
        <v>4357</v>
      </c>
      <c r="K1079" t="s">
        <v>4358</v>
      </c>
      <c r="L1079" t="s">
        <v>2659</v>
      </c>
      <c r="M1079" s="1" t="str">
        <f t="shared" si="112"/>
        <v>07B307</v>
      </c>
      <c r="N1079" s="1" t="str">
        <f t="shared" si="113"/>
        <v>C/O</v>
      </c>
      <c r="O1079" s="1" t="str">
        <f t="shared" si="114"/>
        <v>Turbocharger LHF</v>
      </c>
      <c r="P1079" s="1" t="str">
        <f t="shared" si="115"/>
        <v>MM90</v>
      </c>
      <c r="Q1079" s="2" t="str">
        <f t="shared" si="116"/>
        <v>MM90Turbocharger LHF</v>
      </c>
      <c r="R1079" s="2" t="str">
        <f>New_Xref[[#This Row],[Serial Prefix]]&amp;IF(New_Xref[[#This Row],[Func Loc]]&lt;&gt;"",New_Xref[[#This Row],[Func Loc]],"NO MATCH")</f>
        <v>MM90ENGD .TURB.TCLF</v>
      </c>
      <c r="S1079" s="3" t="str">
        <f t="shared" si="117"/>
        <v>MM9020R9675Turbocharger LHF</v>
      </c>
      <c r="T1079" s="3" t="s">
        <v>47</v>
      </c>
      <c r="U1079" s="3" t="s">
        <v>89</v>
      </c>
      <c r="V1079" t="str">
        <f t="shared" si="118"/>
        <v>1052LF</v>
      </c>
    </row>
    <row r="1080" spans="1:22">
      <c r="A1080" t="s">
        <v>4345</v>
      </c>
      <c r="B1080" t="s">
        <v>4346</v>
      </c>
      <c r="C1080" t="s">
        <v>4354</v>
      </c>
      <c r="D1080" t="s">
        <v>4355</v>
      </c>
      <c r="E1080" t="s">
        <v>263</v>
      </c>
      <c r="F1080" t="s">
        <v>27</v>
      </c>
      <c r="G1080">
        <v>1</v>
      </c>
      <c r="H1080" t="s">
        <v>4356</v>
      </c>
      <c r="I1080" t="s">
        <v>4351</v>
      </c>
      <c r="J1080" t="s">
        <v>4359</v>
      </c>
      <c r="K1080" t="s">
        <v>4360</v>
      </c>
      <c r="L1080" t="s">
        <v>2662</v>
      </c>
      <c r="M1080" s="1" t="str">
        <f t="shared" si="112"/>
        <v>07B307</v>
      </c>
      <c r="N1080" s="1" t="str">
        <f t="shared" si="113"/>
        <v>C/O</v>
      </c>
      <c r="O1080" s="1" t="str">
        <f t="shared" si="114"/>
        <v>Turbocharger LHR</v>
      </c>
      <c r="P1080" s="1" t="str">
        <f t="shared" si="115"/>
        <v>MM90</v>
      </c>
      <c r="Q1080" s="2" t="str">
        <f t="shared" si="116"/>
        <v>MM90Turbocharger LHR</v>
      </c>
      <c r="R1080" s="2" t="str">
        <f>New_Xref[[#This Row],[Serial Prefix]]&amp;IF(New_Xref[[#This Row],[Func Loc]]&lt;&gt;"",New_Xref[[#This Row],[Func Loc]],"NO MATCH")</f>
        <v>MM90ENGD .TURB.TCLR</v>
      </c>
      <c r="S1080" s="3" t="str">
        <f t="shared" si="117"/>
        <v>MM9020R9675Turbocharger LHR</v>
      </c>
      <c r="T1080" s="3" t="s">
        <v>47</v>
      </c>
      <c r="U1080" s="3" t="s">
        <v>96</v>
      </c>
      <c r="V1080" t="str">
        <f t="shared" si="118"/>
        <v>1052LR</v>
      </c>
    </row>
    <row r="1081" spans="1:22">
      <c r="A1081" t="s">
        <v>4345</v>
      </c>
      <c r="B1081" t="s">
        <v>4346</v>
      </c>
      <c r="C1081" t="s">
        <v>4354</v>
      </c>
      <c r="D1081" t="s">
        <v>4355</v>
      </c>
      <c r="E1081" t="s">
        <v>263</v>
      </c>
      <c r="F1081" t="s">
        <v>27</v>
      </c>
      <c r="G1081">
        <v>1</v>
      </c>
      <c r="H1081" t="s">
        <v>4356</v>
      </c>
      <c r="I1081" t="s">
        <v>4351</v>
      </c>
      <c r="J1081" t="s">
        <v>4361</v>
      </c>
      <c r="K1081" t="s">
        <v>4362</v>
      </c>
      <c r="L1081" t="s">
        <v>2665</v>
      </c>
      <c r="M1081" s="1" t="str">
        <f t="shared" si="112"/>
        <v>07B307</v>
      </c>
      <c r="N1081" s="1" t="str">
        <f t="shared" si="113"/>
        <v>C/O</v>
      </c>
      <c r="O1081" s="1" t="str">
        <f t="shared" si="114"/>
        <v>Turbocharger RHF</v>
      </c>
      <c r="P1081" s="1" t="str">
        <f t="shared" si="115"/>
        <v>MM90</v>
      </c>
      <c r="Q1081" s="2" t="str">
        <f t="shared" si="116"/>
        <v>MM90Turbocharger RHF</v>
      </c>
      <c r="R1081" s="2" t="str">
        <f>New_Xref[[#This Row],[Serial Prefix]]&amp;IF(New_Xref[[#This Row],[Func Loc]]&lt;&gt;"",New_Xref[[#This Row],[Func Loc]],"NO MATCH")</f>
        <v>MM90ENGD .TURB.TCRF</v>
      </c>
      <c r="S1081" s="3" t="str">
        <f t="shared" si="117"/>
        <v>MM9020R9675Turbocharger RHF</v>
      </c>
      <c r="T1081" s="3" t="s">
        <v>47</v>
      </c>
      <c r="U1081" s="3" t="s">
        <v>92</v>
      </c>
      <c r="V1081" t="str">
        <f t="shared" si="118"/>
        <v>1052RF</v>
      </c>
    </row>
    <row r="1082" spans="1:22">
      <c r="A1082" t="s">
        <v>4345</v>
      </c>
      <c r="B1082" t="s">
        <v>4346</v>
      </c>
      <c r="C1082" t="s">
        <v>4354</v>
      </c>
      <c r="D1082" t="s">
        <v>4355</v>
      </c>
      <c r="E1082" t="s">
        <v>263</v>
      </c>
      <c r="F1082" t="s">
        <v>27</v>
      </c>
      <c r="G1082">
        <v>1</v>
      </c>
      <c r="H1082" t="s">
        <v>4356</v>
      </c>
      <c r="I1082" t="s">
        <v>4351</v>
      </c>
      <c r="J1082" t="s">
        <v>4363</v>
      </c>
      <c r="K1082" t="s">
        <v>4364</v>
      </c>
      <c r="L1082" t="s">
        <v>2668</v>
      </c>
      <c r="M1082" s="1" t="str">
        <f t="shared" si="112"/>
        <v>07B307</v>
      </c>
      <c r="N1082" s="1" t="str">
        <f t="shared" si="113"/>
        <v>C/O</v>
      </c>
      <c r="O1082" s="1" t="str">
        <f t="shared" si="114"/>
        <v>Turbocharger RHR</v>
      </c>
      <c r="P1082" s="1" t="str">
        <f t="shared" si="115"/>
        <v>MM90</v>
      </c>
      <c r="Q1082" s="2" t="str">
        <f t="shared" si="116"/>
        <v>MM90Turbocharger RHR</v>
      </c>
      <c r="R1082" s="2" t="str">
        <f>New_Xref[[#This Row],[Serial Prefix]]&amp;IF(New_Xref[[#This Row],[Func Loc]]&lt;&gt;"",New_Xref[[#This Row],[Func Loc]],"NO MATCH")</f>
        <v>MM90ENGD .TURB.TCRR</v>
      </c>
      <c r="S1082" s="3" t="str">
        <f t="shared" si="117"/>
        <v>MM9020R9675Turbocharger RHR</v>
      </c>
      <c r="T1082" s="3" t="s">
        <v>47</v>
      </c>
      <c r="U1082" s="3" t="s">
        <v>99</v>
      </c>
      <c r="V1082" t="str">
        <f t="shared" si="118"/>
        <v>1052RR</v>
      </c>
    </row>
    <row r="1083" spans="1:22">
      <c r="A1083" t="s">
        <v>4345</v>
      </c>
      <c r="B1083" t="s">
        <v>4346</v>
      </c>
      <c r="C1083" t="s">
        <v>4365</v>
      </c>
      <c r="D1083" t="s">
        <v>4366</v>
      </c>
      <c r="E1083" t="s">
        <v>58</v>
      </c>
      <c r="F1083" t="s">
        <v>27</v>
      </c>
      <c r="G1083">
        <v>16</v>
      </c>
      <c r="H1083" t="s">
        <v>4367</v>
      </c>
      <c r="I1083" t="s">
        <v>4351</v>
      </c>
      <c r="J1083" t="s">
        <v>4368</v>
      </c>
      <c r="K1083" t="s">
        <v>4369</v>
      </c>
      <c r="L1083" t="s">
        <v>62</v>
      </c>
      <c r="M1083" s="1" t="str">
        <f t="shared" si="112"/>
        <v>07B307</v>
      </c>
      <c r="N1083" s="1" t="str">
        <f t="shared" si="113"/>
        <v>C/O</v>
      </c>
      <c r="O1083" s="1" t="str">
        <f t="shared" si="114"/>
        <v>Fuel Injectors</v>
      </c>
      <c r="P1083" s="1" t="str">
        <f t="shared" si="115"/>
        <v>MM90</v>
      </c>
      <c r="Q1083" s="2" t="str">
        <f t="shared" si="116"/>
        <v>MM90Fuel Injectors</v>
      </c>
      <c r="R1083" s="2" t="str">
        <f>New_Xref[[#This Row],[Serial Prefix]]&amp;IF(New_Xref[[#This Row],[Func Loc]]&lt;&gt;"",New_Xref[[#This Row],[Func Loc]],"NO MATCH")</f>
        <v>MM90ENGD .FUEL.INJE</v>
      </c>
      <c r="S1083" s="3" t="str">
        <f t="shared" si="117"/>
        <v>MM9020R8049Fuel Injectors</v>
      </c>
      <c r="T1083" s="3" t="s">
        <v>63</v>
      </c>
      <c r="U1083" s="3" t="s">
        <v>34</v>
      </c>
      <c r="V1083" t="str">
        <f t="shared" si="118"/>
        <v>125100</v>
      </c>
    </row>
    <row r="1084" spans="1:22">
      <c r="A1084" t="s">
        <v>4345</v>
      </c>
      <c r="B1084" t="s">
        <v>4346</v>
      </c>
      <c r="H1084" t="s">
        <v>4370</v>
      </c>
      <c r="I1084" t="s">
        <v>4371</v>
      </c>
      <c r="J1084" t="s">
        <v>4372</v>
      </c>
      <c r="K1084" t="s">
        <v>4371</v>
      </c>
      <c r="L1084" t="s">
        <v>67</v>
      </c>
      <c r="M1084" s="1" t="str">
        <f t="shared" si="112"/>
        <v>07B307</v>
      </c>
      <c r="N1084" s="1" t="str">
        <f t="shared" si="113"/>
        <v>C/O</v>
      </c>
      <c r="O1084" s="1" t="str">
        <f t="shared" si="114"/>
        <v>Engine Radiator</v>
      </c>
      <c r="P1084" s="1" t="str">
        <f t="shared" si="115"/>
        <v>MM90</v>
      </c>
      <c r="Q1084" s="2" t="str">
        <f t="shared" si="116"/>
        <v>MM90Engine Radiator</v>
      </c>
      <c r="R1084" s="2" t="str">
        <f>New_Xref[[#This Row],[Serial Prefix]]&amp;IF(New_Xref[[#This Row],[Func Loc]]&lt;&gt;"",New_Xref[[#This Row],[Func Loc]],"NO MATCH")</f>
        <v>MM90ENGD .ENCS.RADI</v>
      </c>
      <c r="S1084" s="3" t="str">
        <f t="shared" si="117"/>
        <v>MM90Engine Radiator</v>
      </c>
      <c r="T1084" s="3" t="s">
        <v>68</v>
      </c>
      <c r="U1084" s="3" t="s">
        <v>34</v>
      </c>
      <c r="V1084" t="str">
        <f t="shared" si="118"/>
        <v>135300</v>
      </c>
    </row>
    <row r="1085" spans="1:22">
      <c r="A1085" t="s">
        <v>4345</v>
      </c>
      <c r="B1085" t="s">
        <v>4346</v>
      </c>
      <c r="C1085" t="s">
        <v>4373</v>
      </c>
      <c r="D1085" t="s">
        <v>4374</v>
      </c>
      <c r="E1085" t="s">
        <v>4375</v>
      </c>
      <c r="F1085" t="s">
        <v>27</v>
      </c>
      <c r="G1085">
        <v>1</v>
      </c>
      <c r="H1085" t="s">
        <v>4376</v>
      </c>
      <c r="I1085" t="s">
        <v>4351</v>
      </c>
      <c r="J1085" t="s">
        <v>4377</v>
      </c>
      <c r="K1085" t="s">
        <v>4378</v>
      </c>
      <c r="L1085" t="s">
        <v>739</v>
      </c>
      <c r="M1085" s="1" t="str">
        <f t="shared" si="112"/>
        <v>07B307</v>
      </c>
      <c r="N1085" s="1" t="str">
        <f t="shared" si="113"/>
        <v>C/O</v>
      </c>
      <c r="O1085" s="1" t="str">
        <f t="shared" si="114"/>
        <v>Water Pump Main</v>
      </c>
      <c r="P1085" s="1" t="str">
        <f t="shared" si="115"/>
        <v>MM90</v>
      </c>
      <c r="Q1085" s="2" t="str">
        <f t="shared" si="116"/>
        <v>MM90Water Pump Main</v>
      </c>
      <c r="R1085" s="2" t="str">
        <f>New_Xref[[#This Row],[Serial Prefix]]&amp;IF(New_Xref[[#This Row],[Func Loc]]&lt;&gt;"",New_Xref[[#This Row],[Func Loc]],"NO MATCH")</f>
        <v>MM90ENGD .WAPU.WP01</v>
      </c>
      <c r="S1085" s="3" t="str">
        <f t="shared" si="117"/>
        <v>MM905537200Water Pump Main</v>
      </c>
      <c r="T1085" s="3" t="s">
        <v>183</v>
      </c>
      <c r="U1085" s="3" t="s">
        <v>34</v>
      </c>
      <c r="V1085" t="str">
        <f t="shared" si="118"/>
        <v>136100</v>
      </c>
    </row>
    <row r="1086" spans="1:22">
      <c r="A1086" t="s">
        <v>4345</v>
      </c>
      <c r="B1086" t="s">
        <v>4346</v>
      </c>
      <c r="C1086" t="s">
        <v>4379</v>
      </c>
      <c r="D1086" t="s">
        <v>4380</v>
      </c>
      <c r="E1086" t="s">
        <v>988</v>
      </c>
      <c r="F1086" t="s">
        <v>27</v>
      </c>
      <c r="G1086">
        <v>1</v>
      </c>
      <c r="H1086" t="s">
        <v>4381</v>
      </c>
      <c r="I1086" t="s">
        <v>4382</v>
      </c>
      <c r="J1086" t="s">
        <v>4383</v>
      </c>
      <c r="K1086" t="s">
        <v>4384</v>
      </c>
      <c r="L1086" t="s">
        <v>4014</v>
      </c>
      <c r="M1086" s="1" t="str">
        <f t="shared" si="112"/>
        <v>07B307</v>
      </c>
      <c r="N1086" s="1" t="str">
        <f t="shared" si="113"/>
        <v>C/O</v>
      </c>
      <c r="O1086" s="1" t="str">
        <f t="shared" si="114"/>
        <v>Engine Cooling Fan Pump</v>
      </c>
      <c r="P1086" s="1" t="str">
        <f t="shared" si="115"/>
        <v>MM90</v>
      </c>
      <c r="Q1086" s="2" t="str">
        <f t="shared" si="116"/>
        <v>MM90Engine Cooling Fan Pump</v>
      </c>
      <c r="R1086" s="2" t="str">
        <f>New_Xref[[#This Row],[Serial Prefix]]&amp;IF(New_Xref[[#This Row],[Func Loc]]&lt;&gt;"",New_Xref[[#This Row],[Func Loc]],"NO MATCH")</f>
        <v>MM90MYHD .PUMP.HP04</v>
      </c>
      <c r="S1086" s="3" t="str">
        <f t="shared" si="117"/>
        <v>MM9020R9372Engine Cooling Fan Pump</v>
      </c>
      <c r="T1086" s="3" t="s">
        <v>869</v>
      </c>
      <c r="U1086" s="3" t="s">
        <v>34</v>
      </c>
      <c r="V1086" t="str">
        <f t="shared" si="118"/>
        <v>138700</v>
      </c>
    </row>
    <row r="1087" spans="1:22">
      <c r="A1087" t="s">
        <v>4345</v>
      </c>
      <c r="B1087" t="s">
        <v>4346</v>
      </c>
      <c r="C1087" t="s">
        <v>4385</v>
      </c>
      <c r="D1087" t="s">
        <v>4386</v>
      </c>
      <c r="E1087" t="s">
        <v>4387</v>
      </c>
      <c r="F1087" t="s">
        <v>27</v>
      </c>
      <c r="G1087">
        <v>1</v>
      </c>
      <c r="H1087" t="s">
        <v>4388</v>
      </c>
      <c r="I1087" t="s">
        <v>4389</v>
      </c>
      <c r="J1087" t="s">
        <v>4390</v>
      </c>
      <c r="K1087" t="s">
        <v>4389</v>
      </c>
      <c r="L1087" t="s">
        <v>72</v>
      </c>
      <c r="M1087" s="1" t="str">
        <f t="shared" si="112"/>
        <v>07B307</v>
      </c>
      <c r="N1087" s="1" t="str">
        <f t="shared" si="113"/>
        <v>C/O</v>
      </c>
      <c r="O1087" s="1" t="str">
        <f t="shared" si="114"/>
        <v>Transmission</v>
      </c>
      <c r="P1087" s="1" t="str">
        <f t="shared" si="115"/>
        <v>MM90</v>
      </c>
      <c r="Q1087" s="2" t="str">
        <f t="shared" si="116"/>
        <v>MM90Transmission</v>
      </c>
      <c r="R1087" s="2" t="str">
        <f>New_Xref[[#This Row],[Serial Prefix]]&amp;IF(New_Xref[[#This Row],[Func Loc]]&lt;&gt;"",New_Xref[[#This Row],[Func Loc]],"NO MATCH")</f>
        <v>MM90TRAN .TRAN</v>
      </c>
      <c r="S1087" s="3" t="str">
        <f t="shared" si="117"/>
        <v>MM903882728XTransmission</v>
      </c>
      <c r="T1087" s="3" t="s">
        <v>73</v>
      </c>
      <c r="U1087" s="3" t="s">
        <v>34</v>
      </c>
      <c r="V1087" t="str">
        <f t="shared" si="118"/>
        <v>303000</v>
      </c>
    </row>
    <row r="1088" spans="1:22">
      <c r="A1088" t="s">
        <v>4345</v>
      </c>
      <c r="B1088" t="s">
        <v>4346</v>
      </c>
      <c r="C1088" t="s">
        <v>4391</v>
      </c>
      <c r="D1088" t="s">
        <v>4392</v>
      </c>
      <c r="E1088" t="s">
        <v>4393</v>
      </c>
      <c r="F1088" t="s">
        <v>27</v>
      </c>
      <c r="G1088">
        <v>1</v>
      </c>
      <c r="H1088" t="s">
        <v>4394</v>
      </c>
      <c r="I1088" t="s">
        <v>4395</v>
      </c>
      <c r="J1088" t="s">
        <v>4396</v>
      </c>
      <c r="K1088" t="s">
        <v>4397</v>
      </c>
      <c r="L1088" t="s">
        <v>83</v>
      </c>
      <c r="M1088" s="1" t="str">
        <f t="shared" si="112"/>
        <v>07B307</v>
      </c>
      <c r="N1088" s="1" t="str">
        <f t="shared" si="113"/>
        <v>C/O</v>
      </c>
      <c r="O1088" s="1" t="str">
        <f t="shared" si="114"/>
        <v>Transmission Charge Pump</v>
      </c>
      <c r="P1088" s="1" t="str">
        <f t="shared" si="115"/>
        <v>MM90</v>
      </c>
      <c r="Q1088" s="2" t="str">
        <f t="shared" si="116"/>
        <v>MM90Transmission Charge Pump</v>
      </c>
      <c r="R1088" s="2" t="str">
        <f>New_Xref[[#This Row],[Serial Prefix]]&amp;IF(New_Xref[[#This Row],[Func Loc]]&lt;&gt;"",New_Xref[[#This Row],[Func Loc]],"NO MATCH")</f>
        <v>MM90NO MATCH</v>
      </c>
      <c r="S1088" s="3" t="str">
        <f t="shared" si="117"/>
        <v>MM9010R7115Transmission Charge Pump</v>
      </c>
      <c r="T1088" s="3" t="s">
        <v>584</v>
      </c>
      <c r="U1088" s="3" t="s">
        <v>34</v>
      </c>
      <c r="V1088" t="str">
        <f t="shared" si="118"/>
        <v>306600</v>
      </c>
    </row>
    <row r="1089" spans="1:22">
      <c r="A1089" t="s">
        <v>4345</v>
      </c>
      <c r="B1089" t="s">
        <v>4346</v>
      </c>
      <c r="C1089" t="s">
        <v>4398</v>
      </c>
      <c r="D1089" t="s">
        <v>4399</v>
      </c>
      <c r="E1089" t="s">
        <v>4400</v>
      </c>
      <c r="F1089" t="s">
        <v>27</v>
      </c>
      <c r="G1089">
        <v>1</v>
      </c>
      <c r="H1089" t="s">
        <v>4401</v>
      </c>
      <c r="I1089" t="s">
        <v>4402</v>
      </c>
      <c r="J1089" t="s">
        <v>4403</v>
      </c>
      <c r="K1089" t="s">
        <v>4402</v>
      </c>
      <c r="L1089" t="s">
        <v>304</v>
      </c>
      <c r="M1089" s="1" t="str">
        <f t="shared" si="112"/>
        <v>07B307</v>
      </c>
      <c r="N1089" s="1" t="str">
        <f t="shared" si="113"/>
        <v>C/O</v>
      </c>
      <c r="O1089" s="1" t="str">
        <f t="shared" si="114"/>
        <v>Torque Converter</v>
      </c>
      <c r="P1089" s="1" t="str">
        <f t="shared" si="115"/>
        <v>MM90</v>
      </c>
      <c r="Q1089" s="2" t="str">
        <f t="shared" si="116"/>
        <v>MM90Torque Converter</v>
      </c>
      <c r="R1089" s="2" t="str">
        <f>New_Xref[[#This Row],[Serial Prefix]]&amp;IF(New_Xref[[#This Row],[Func Loc]]&lt;&gt;"",New_Xref[[#This Row],[Func Loc]],"NO MATCH")</f>
        <v>MM90TRAN .TOCO</v>
      </c>
      <c r="S1089" s="3" t="str">
        <f t="shared" si="117"/>
        <v>MM903904072XTorque Converter</v>
      </c>
      <c r="T1089" s="3" t="s">
        <v>305</v>
      </c>
      <c r="U1089" s="3" t="s">
        <v>34</v>
      </c>
      <c r="V1089" t="str">
        <f t="shared" si="118"/>
        <v>310100</v>
      </c>
    </row>
    <row r="1090" spans="1:22">
      <c r="A1090" t="s">
        <v>4345</v>
      </c>
      <c r="B1090" t="s">
        <v>4346</v>
      </c>
      <c r="C1090" t="s">
        <v>4404</v>
      </c>
      <c r="D1090" t="s">
        <v>4405</v>
      </c>
      <c r="E1090" t="s">
        <v>4406</v>
      </c>
      <c r="F1090" t="s">
        <v>27</v>
      </c>
      <c r="G1090">
        <v>1</v>
      </c>
      <c r="H1090" t="s">
        <v>4407</v>
      </c>
      <c r="I1090" t="s">
        <v>4408</v>
      </c>
      <c r="J1090" t="s">
        <v>4409</v>
      </c>
      <c r="K1090" t="s">
        <v>4408</v>
      </c>
      <c r="L1090" t="s">
        <v>4410</v>
      </c>
      <c r="M1090" s="1" t="str">
        <f t="shared" si="112"/>
        <v>07B307</v>
      </c>
      <c r="N1090" s="1" t="str">
        <f t="shared" si="113"/>
        <v>C/O</v>
      </c>
      <c r="O1090" s="1" t="str">
        <f t="shared" si="114"/>
        <v>Main Pump Drive Trans Front</v>
      </c>
      <c r="P1090" s="1" t="str">
        <f t="shared" si="115"/>
        <v>MM90</v>
      </c>
      <c r="Q1090" s="2" t="str">
        <f t="shared" si="116"/>
        <v>MM90Main Pump Drive Trans Front</v>
      </c>
      <c r="R1090" s="2" t="str">
        <f>New_Xref[[#This Row],[Serial Prefix]]&amp;IF(New_Xref[[#This Row],[Func Loc]]&lt;&gt;"",New_Xref[[#This Row],[Func Loc]],"NO MATCH")</f>
        <v>MM90TRAN .MPD1</v>
      </c>
      <c r="S1090" s="3" t="str">
        <f t="shared" si="117"/>
        <v>MM903894896XMain Pump Drive Trans Front</v>
      </c>
      <c r="T1090" s="3" t="s">
        <v>1234</v>
      </c>
      <c r="U1090" s="3" t="s">
        <v>386</v>
      </c>
      <c r="V1090" t="str">
        <f t="shared" si="118"/>
        <v>3108FR</v>
      </c>
    </row>
    <row r="1091" spans="1:22">
      <c r="A1091" t="s">
        <v>4345</v>
      </c>
      <c r="B1091" t="s">
        <v>4346</v>
      </c>
      <c r="C1091" t="s">
        <v>4411</v>
      </c>
      <c r="D1091" t="s">
        <v>4412</v>
      </c>
      <c r="E1091" t="s">
        <v>4413</v>
      </c>
      <c r="F1091" t="s">
        <v>27</v>
      </c>
      <c r="G1091">
        <v>1</v>
      </c>
      <c r="H1091" t="s">
        <v>4414</v>
      </c>
      <c r="I1091" t="s">
        <v>4415</v>
      </c>
      <c r="J1091" t="s">
        <v>4416</v>
      </c>
      <c r="K1091" t="s">
        <v>4415</v>
      </c>
      <c r="L1091" t="s">
        <v>4417</v>
      </c>
      <c r="M1091" s="1" t="str">
        <f t="shared" ref="M1091:M1154" si="119">LEFT(K1091,FIND(" ",K1091,1)-1)</f>
        <v>07B307</v>
      </c>
      <c r="N1091" s="1" t="str">
        <f t="shared" ref="N1091:N1154" si="120">MID(K1091,LEN(M1091)+2,FIND(" ",K1091,LEN(M1091)+2)-LEN(M1091)-2)</f>
        <v>C/O</v>
      </c>
      <c r="O1091" s="1" t="str">
        <f t="shared" ref="O1091:O1154" si="121">MID(K1091,FIND(N1091,K1091,1)+LEN(N1091)+1, 150)</f>
        <v>Main Pump Drive Trans Rear</v>
      </c>
      <c r="P1091" s="1" t="str">
        <f t="shared" ref="P1091:P1154" si="122">LEFT(B1091,4)</f>
        <v>MM90</v>
      </c>
      <c r="Q1091" s="2" t="str">
        <f t="shared" ref="Q1091:Q1154" si="123">P1091&amp;O1091</f>
        <v>MM90Main Pump Drive Trans Rear</v>
      </c>
      <c r="R1091" s="2" t="str">
        <f>New_Xref[[#This Row],[Serial Prefix]]&amp;IF(New_Xref[[#This Row],[Func Loc]]&lt;&gt;"",New_Xref[[#This Row],[Func Loc]],"NO MATCH")</f>
        <v>MM90TRAN .MPD2</v>
      </c>
      <c r="S1091" s="3" t="str">
        <f t="shared" ref="S1091:S1154" si="124">P1091&amp;D1091&amp;O1091</f>
        <v>MM903894906XMain Pump Drive Trans Rear</v>
      </c>
      <c r="T1091" s="3" t="s">
        <v>1234</v>
      </c>
      <c r="U1091" s="3" t="s">
        <v>317</v>
      </c>
      <c r="V1091" t="str">
        <f t="shared" ref="V1091:V1154" si="125">LEFT(T1091,FIND(" -",T1091,1)-1)&amp;LEFT(U1091,FIND(" -",U1091,1)-1)</f>
        <v>3108RE</v>
      </c>
    </row>
    <row r="1092" spans="1:22">
      <c r="A1092" t="s">
        <v>4345</v>
      </c>
      <c r="B1092" t="s">
        <v>4346</v>
      </c>
      <c r="C1092" t="s">
        <v>4418</v>
      </c>
      <c r="D1092" t="s">
        <v>4419</v>
      </c>
      <c r="E1092" t="s">
        <v>4420</v>
      </c>
      <c r="F1092" t="s">
        <v>27</v>
      </c>
      <c r="G1092">
        <v>1</v>
      </c>
      <c r="H1092" t="s">
        <v>4421</v>
      </c>
      <c r="I1092" t="s">
        <v>4422</v>
      </c>
      <c r="J1092" t="s">
        <v>4423</v>
      </c>
      <c r="K1092" t="s">
        <v>4422</v>
      </c>
      <c r="L1092" t="s">
        <v>4424</v>
      </c>
      <c r="M1092" s="1" t="str">
        <f t="shared" si="119"/>
        <v>07B307</v>
      </c>
      <c r="N1092" s="1" t="str">
        <f t="shared" si="120"/>
        <v>C/O</v>
      </c>
      <c r="O1092" s="1" t="str">
        <f t="shared" si="121"/>
        <v>Transfer Gearbox</v>
      </c>
      <c r="P1092" s="1" t="str">
        <f t="shared" si="122"/>
        <v>MM90</v>
      </c>
      <c r="Q1092" s="2" t="str">
        <f t="shared" si="123"/>
        <v>MM90Transfer Gearbox</v>
      </c>
      <c r="R1092" s="2" t="str">
        <f>New_Xref[[#This Row],[Serial Prefix]]&amp;IF(New_Xref[[#This Row],[Func Loc]]&lt;&gt;"",New_Xref[[#This Row],[Func Loc]],"NO MATCH")</f>
        <v>MM90TRAN .TRAN.TRGE</v>
      </c>
      <c r="S1092" s="3" t="str">
        <f t="shared" si="124"/>
        <v>MM903882729XTransfer Gearbox</v>
      </c>
      <c r="T1092" s="3" t="s">
        <v>4425</v>
      </c>
      <c r="U1092" s="3" t="s">
        <v>34</v>
      </c>
      <c r="V1092" t="str">
        <f t="shared" si="125"/>
        <v>315900</v>
      </c>
    </row>
    <row r="1093" spans="1:22">
      <c r="A1093" t="s">
        <v>4345</v>
      </c>
      <c r="B1093" t="s">
        <v>4346</v>
      </c>
      <c r="C1093" t="s">
        <v>4426</v>
      </c>
      <c r="D1093" t="s">
        <v>4427</v>
      </c>
      <c r="E1093" t="s">
        <v>4428</v>
      </c>
      <c r="F1093" t="s">
        <v>27</v>
      </c>
      <c r="G1093">
        <v>1</v>
      </c>
      <c r="H1093" t="s">
        <v>4429</v>
      </c>
      <c r="I1093" t="s">
        <v>4430</v>
      </c>
      <c r="J1093" t="s">
        <v>4431</v>
      </c>
      <c r="K1093" t="s">
        <v>4432</v>
      </c>
      <c r="L1093" t="s">
        <v>83</v>
      </c>
      <c r="M1093" s="1" t="str">
        <f t="shared" si="119"/>
        <v>07B307</v>
      </c>
      <c r="N1093" s="1" t="str">
        <f t="shared" si="120"/>
        <v>C/O</v>
      </c>
      <c r="O1093" s="1" t="str">
        <f t="shared" si="121"/>
        <v>Driveshaft Front Axle</v>
      </c>
      <c r="P1093" s="1" t="str">
        <f t="shared" si="122"/>
        <v>MM90</v>
      </c>
      <c r="Q1093" s="2" t="str">
        <f t="shared" si="123"/>
        <v>MM90Driveshaft Front Axle</v>
      </c>
      <c r="R1093" s="2" t="str">
        <f>New_Xref[[#This Row],[Serial Prefix]]&amp;IF(New_Xref[[#This Row],[Func Loc]]&lt;&gt;"",New_Xref[[#This Row],[Func Loc]],"NO MATCH")</f>
        <v>MM90NO MATCH</v>
      </c>
      <c r="S1093" s="3" t="str">
        <f t="shared" si="124"/>
        <v>MM903978071Driveshaft Front Axle</v>
      </c>
      <c r="T1093" s="3" t="s">
        <v>674</v>
      </c>
      <c r="U1093" s="3" t="s">
        <v>386</v>
      </c>
      <c r="V1093" t="str">
        <f t="shared" si="125"/>
        <v>3253FR</v>
      </c>
    </row>
    <row r="1094" spans="1:22">
      <c r="A1094" t="s">
        <v>4345</v>
      </c>
      <c r="B1094" t="s">
        <v>4346</v>
      </c>
      <c r="C1094" t="s">
        <v>4433</v>
      </c>
      <c r="D1094" t="s">
        <v>4434</v>
      </c>
      <c r="E1094" t="s">
        <v>4428</v>
      </c>
      <c r="F1094" t="s">
        <v>27</v>
      </c>
      <c r="G1094">
        <v>1</v>
      </c>
      <c r="H1094" t="s">
        <v>4435</v>
      </c>
      <c r="I1094" t="s">
        <v>4436</v>
      </c>
      <c r="J1094" t="s">
        <v>4437</v>
      </c>
      <c r="K1094" t="s">
        <v>4438</v>
      </c>
      <c r="L1094" t="s">
        <v>83</v>
      </c>
      <c r="M1094" s="1" t="str">
        <f t="shared" si="119"/>
        <v>07B307</v>
      </c>
      <c r="N1094" s="1" t="str">
        <f t="shared" si="120"/>
        <v>C/O</v>
      </c>
      <c r="O1094" s="1" t="str">
        <f t="shared" si="121"/>
        <v>Driveshaft Rear Axle</v>
      </c>
      <c r="P1094" s="1" t="str">
        <f t="shared" si="122"/>
        <v>MM90</v>
      </c>
      <c r="Q1094" s="2" t="str">
        <f t="shared" si="123"/>
        <v>MM90Driveshaft Rear Axle</v>
      </c>
      <c r="R1094" s="2" t="str">
        <f>New_Xref[[#This Row],[Serial Prefix]]&amp;IF(New_Xref[[#This Row],[Func Loc]]&lt;&gt;"",New_Xref[[#This Row],[Func Loc]],"NO MATCH")</f>
        <v>MM90NO MATCH</v>
      </c>
      <c r="S1094" s="3" t="str">
        <f t="shared" si="124"/>
        <v>MM903978068Driveshaft Rear Axle</v>
      </c>
      <c r="T1094" s="3" t="s">
        <v>674</v>
      </c>
      <c r="U1094" s="3" t="s">
        <v>317</v>
      </c>
      <c r="V1094" t="str">
        <f t="shared" si="125"/>
        <v>3253RE</v>
      </c>
    </row>
    <row r="1095" spans="1:22">
      <c r="A1095" t="s">
        <v>4345</v>
      </c>
      <c r="B1095" t="s">
        <v>4346</v>
      </c>
      <c r="C1095" t="s">
        <v>4439</v>
      </c>
      <c r="D1095" t="s">
        <v>4440</v>
      </c>
      <c r="E1095" t="s">
        <v>4441</v>
      </c>
      <c r="F1095" t="s">
        <v>27</v>
      </c>
      <c r="G1095">
        <v>1</v>
      </c>
      <c r="H1095" t="s">
        <v>4442</v>
      </c>
      <c r="I1095" t="s">
        <v>4443</v>
      </c>
      <c r="J1095" t="s">
        <v>4444</v>
      </c>
      <c r="K1095" t="s">
        <v>4445</v>
      </c>
      <c r="L1095" t="s">
        <v>83</v>
      </c>
      <c r="M1095" s="1" t="str">
        <f t="shared" si="119"/>
        <v>07B307</v>
      </c>
      <c r="N1095" s="1" t="str">
        <f t="shared" si="120"/>
        <v>C/O</v>
      </c>
      <c r="O1095" s="1" t="str">
        <f t="shared" si="121"/>
        <v>Driveshaft Trans Input</v>
      </c>
      <c r="P1095" s="1" t="str">
        <f t="shared" si="122"/>
        <v>MM90</v>
      </c>
      <c r="Q1095" s="2" t="str">
        <f t="shared" si="123"/>
        <v>MM90Driveshaft Trans Input</v>
      </c>
      <c r="R1095" s="2" t="str">
        <f>New_Xref[[#This Row],[Serial Prefix]]&amp;IF(New_Xref[[#This Row],[Func Loc]]&lt;&gt;"",New_Xref[[#This Row],[Func Loc]],"NO MATCH")</f>
        <v>MM90NO MATCH</v>
      </c>
      <c r="S1095" s="3" t="str">
        <f t="shared" si="124"/>
        <v>MM903978077Driveshaft Trans Input</v>
      </c>
      <c r="T1095" s="3" t="s">
        <v>674</v>
      </c>
      <c r="U1095" s="3" t="s">
        <v>34</v>
      </c>
      <c r="V1095" t="str">
        <f t="shared" si="125"/>
        <v>325300</v>
      </c>
    </row>
    <row r="1096" spans="1:22">
      <c r="A1096" t="s">
        <v>4345</v>
      </c>
      <c r="B1096" t="s">
        <v>4346</v>
      </c>
      <c r="C1096" t="s">
        <v>4446</v>
      </c>
      <c r="D1096" t="s">
        <v>4447</v>
      </c>
      <c r="E1096" t="s">
        <v>459</v>
      </c>
      <c r="F1096" t="s">
        <v>27</v>
      </c>
      <c r="G1096">
        <v>1</v>
      </c>
      <c r="H1096" t="s">
        <v>4448</v>
      </c>
      <c r="I1096" t="s">
        <v>4449</v>
      </c>
      <c r="J1096" t="s">
        <v>4450</v>
      </c>
      <c r="K1096" t="s">
        <v>4449</v>
      </c>
      <c r="L1096" t="s">
        <v>678</v>
      </c>
      <c r="M1096" s="1" t="str">
        <f t="shared" si="119"/>
        <v>07B307</v>
      </c>
      <c r="N1096" s="1" t="str">
        <f t="shared" si="120"/>
        <v>C/O</v>
      </c>
      <c r="O1096" s="1" t="str">
        <f t="shared" si="121"/>
        <v>Differential Front</v>
      </c>
      <c r="P1096" s="1" t="str">
        <f t="shared" si="122"/>
        <v>MM90</v>
      </c>
      <c r="Q1096" s="2" t="str">
        <f t="shared" si="123"/>
        <v>MM90Differential Front</v>
      </c>
      <c r="R1096" s="2" t="str">
        <f>New_Xref[[#This Row],[Serial Prefix]]&amp;IF(New_Xref[[#This Row],[Func Loc]]&lt;&gt;"",New_Xref[[#This Row],[Func Loc]],"NO MATCH")</f>
        <v>MM90FDRV .AXAF.DIFF</v>
      </c>
      <c r="S1096" s="3" t="str">
        <f t="shared" si="124"/>
        <v>MM904806730XDifferential Front</v>
      </c>
      <c r="T1096" s="3" t="s">
        <v>464</v>
      </c>
      <c r="U1096" s="3" t="s">
        <v>386</v>
      </c>
      <c r="V1096" t="str">
        <f t="shared" si="125"/>
        <v>3258FR</v>
      </c>
    </row>
    <row r="1097" spans="1:22">
      <c r="A1097" t="s">
        <v>4345</v>
      </c>
      <c r="B1097" t="s">
        <v>4346</v>
      </c>
      <c r="C1097" t="s">
        <v>4451</v>
      </c>
      <c r="D1097" t="s">
        <v>4452</v>
      </c>
      <c r="E1097" t="s">
        <v>459</v>
      </c>
      <c r="F1097" t="s">
        <v>27</v>
      </c>
      <c r="G1097">
        <v>1</v>
      </c>
      <c r="H1097" t="s">
        <v>4453</v>
      </c>
      <c r="I1097" t="s">
        <v>4454</v>
      </c>
      <c r="J1097" t="s">
        <v>4455</v>
      </c>
      <c r="K1097" t="s">
        <v>4454</v>
      </c>
      <c r="L1097" t="s">
        <v>463</v>
      </c>
      <c r="M1097" s="1" t="str">
        <f t="shared" si="119"/>
        <v>07B307</v>
      </c>
      <c r="N1097" s="1" t="str">
        <f t="shared" si="120"/>
        <v>C/O</v>
      </c>
      <c r="O1097" s="1" t="str">
        <f t="shared" si="121"/>
        <v>Differential Rear</v>
      </c>
      <c r="P1097" s="1" t="str">
        <f t="shared" si="122"/>
        <v>MM90</v>
      </c>
      <c r="Q1097" s="2" t="str">
        <f t="shared" si="123"/>
        <v>MM90Differential Rear</v>
      </c>
      <c r="R1097" s="2" t="str">
        <f>New_Xref[[#This Row],[Serial Prefix]]&amp;IF(New_Xref[[#This Row],[Func Loc]]&lt;&gt;"",New_Xref[[#This Row],[Func Loc]],"NO MATCH")</f>
        <v>MM90FDRV .AXAR.DIFF</v>
      </c>
      <c r="S1097" s="3" t="str">
        <f t="shared" si="124"/>
        <v>MM904806731XDifferential Rear</v>
      </c>
      <c r="T1097" s="3" t="s">
        <v>464</v>
      </c>
      <c r="U1097" s="3" t="s">
        <v>317</v>
      </c>
      <c r="V1097" t="str">
        <f t="shared" si="125"/>
        <v>3258RE</v>
      </c>
    </row>
    <row r="1098" spans="1:22">
      <c r="A1098" t="s">
        <v>4345</v>
      </c>
      <c r="B1098" t="s">
        <v>4346</v>
      </c>
      <c r="C1098" t="s">
        <v>4456</v>
      </c>
      <c r="D1098" t="s">
        <v>4457</v>
      </c>
      <c r="E1098" t="s">
        <v>4458</v>
      </c>
      <c r="F1098" t="s">
        <v>27</v>
      </c>
      <c r="G1098">
        <v>1</v>
      </c>
      <c r="H1098" t="s">
        <v>4459</v>
      </c>
      <c r="I1098" t="s">
        <v>4460</v>
      </c>
      <c r="J1098" t="s">
        <v>4461</v>
      </c>
      <c r="K1098" t="s">
        <v>4460</v>
      </c>
      <c r="L1098" t="s">
        <v>4462</v>
      </c>
      <c r="M1098" s="1" t="str">
        <f t="shared" si="119"/>
        <v>07B307</v>
      </c>
      <c r="N1098" s="1" t="str">
        <f t="shared" si="120"/>
        <v>C/O</v>
      </c>
      <c r="O1098" s="1" t="str">
        <f t="shared" si="121"/>
        <v>Final Drive LHF</v>
      </c>
      <c r="P1098" s="1" t="str">
        <f t="shared" si="122"/>
        <v>MM90</v>
      </c>
      <c r="Q1098" s="2" t="str">
        <f t="shared" si="123"/>
        <v>MM90Final Drive LHF</v>
      </c>
      <c r="R1098" s="2" t="str">
        <f>New_Xref[[#This Row],[Serial Prefix]]&amp;IF(New_Xref[[#This Row],[Func Loc]]&lt;&gt;"",New_Xref[[#This Row],[Func Loc]],"NO MATCH")</f>
        <v>MM90FDRV .AXAF.FDLH</v>
      </c>
      <c r="S1098" s="3" t="str">
        <f t="shared" si="124"/>
        <v>MM903894696XFinal Drive LHF</v>
      </c>
      <c r="T1098" s="3" t="s">
        <v>908</v>
      </c>
      <c r="U1098" s="3" t="s">
        <v>89</v>
      </c>
      <c r="V1098" t="str">
        <f t="shared" si="125"/>
        <v>4050LF</v>
      </c>
    </row>
    <row r="1099" spans="1:22">
      <c r="A1099" t="s">
        <v>4345</v>
      </c>
      <c r="B1099" t="s">
        <v>4346</v>
      </c>
      <c r="C1099" t="s">
        <v>4456</v>
      </c>
      <c r="D1099" t="s">
        <v>4457</v>
      </c>
      <c r="E1099" t="s">
        <v>4458</v>
      </c>
      <c r="F1099" t="s">
        <v>27</v>
      </c>
      <c r="G1099">
        <v>1</v>
      </c>
      <c r="H1099" t="s">
        <v>4459</v>
      </c>
      <c r="I1099" t="s">
        <v>4463</v>
      </c>
      <c r="J1099" t="s">
        <v>4464</v>
      </c>
      <c r="K1099" t="s">
        <v>4463</v>
      </c>
      <c r="L1099" t="s">
        <v>1605</v>
      </c>
      <c r="M1099" s="1" t="str">
        <f t="shared" si="119"/>
        <v>07B307</v>
      </c>
      <c r="N1099" s="1" t="str">
        <f t="shared" si="120"/>
        <v>C/O</v>
      </c>
      <c r="O1099" s="1" t="str">
        <f t="shared" si="121"/>
        <v>Final Drive LHR</v>
      </c>
      <c r="P1099" s="1" t="str">
        <f t="shared" si="122"/>
        <v>MM90</v>
      </c>
      <c r="Q1099" s="2" t="str">
        <f t="shared" si="123"/>
        <v>MM90Final Drive LHR</v>
      </c>
      <c r="R1099" s="2" t="str">
        <f>New_Xref[[#This Row],[Serial Prefix]]&amp;IF(New_Xref[[#This Row],[Func Loc]]&lt;&gt;"",New_Xref[[#This Row],[Func Loc]],"NO MATCH")</f>
        <v>MM90FDRV .AXAR.FDLH</v>
      </c>
      <c r="S1099" s="3" t="str">
        <f t="shared" si="124"/>
        <v>MM903894696XFinal Drive LHR</v>
      </c>
      <c r="T1099" s="3" t="s">
        <v>908</v>
      </c>
      <c r="U1099" s="3" t="s">
        <v>96</v>
      </c>
      <c r="V1099" t="str">
        <f t="shared" si="125"/>
        <v>4050LR</v>
      </c>
    </row>
    <row r="1100" spans="1:22">
      <c r="A1100" t="s">
        <v>4345</v>
      </c>
      <c r="B1100" t="s">
        <v>4346</v>
      </c>
      <c r="C1100" t="s">
        <v>4456</v>
      </c>
      <c r="D1100" t="s">
        <v>4457</v>
      </c>
      <c r="E1100" t="s">
        <v>4458</v>
      </c>
      <c r="F1100" t="s">
        <v>27</v>
      </c>
      <c r="G1100">
        <v>1</v>
      </c>
      <c r="H1100" t="s">
        <v>4459</v>
      </c>
      <c r="I1100" t="s">
        <v>4465</v>
      </c>
      <c r="J1100" t="s">
        <v>4466</v>
      </c>
      <c r="K1100" t="s">
        <v>4465</v>
      </c>
      <c r="L1100" t="s">
        <v>4467</v>
      </c>
      <c r="M1100" s="1" t="str">
        <f t="shared" si="119"/>
        <v>07B307</v>
      </c>
      <c r="N1100" s="1" t="str">
        <f t="shared" si="120"/>
        <v>C/O</v>
      </c>
      <c r="O1100" s="1" t="str">
        <f t="shared" si="121"/>
        <v>Final Drive RHF</v>
      </c>
      <c r="P1100" s="1" t="str">
        <f t="shared" si="122"/>
        <v>MM90</v>
      </c>
      <c r="Q1100" s="2" t="str">
        <f t="shared" si="123"/>
        <v>MM90Final Drive RHF</v>
      </c>
      <c r="R1100" s="2" t="str">
        <f>New_Xref[[#This Row],[Serial Prefix]]&amp;IF(New_Xref[[#This Row],[Func Loc]]&lt;&gt;"",New_Xref[[#This Row],[Func Loc]],"NO MATCH")</f>
        <v>MM90FDRV .AXAF.FDRH</v>
      </c>
      <c r="S1100" s="3" t="str">
        <f t="shared" si="124"/>
        <v>MM903894696XFinal Drive RHF</v>
      </c>
      <c r="T1100" s="3" t="s">
        <v>908</v>
      </c>
      <c r="U1100" s="3" t="s">
        <v>92</v>
      </c>
      <c r="V1100" t="str">
        <f t="shared" si="125"/>
        <v>4050RF</v>
      </c>
    </row>
    <row r="1101" spans="1:22">
      <c r="A1101" t="s">
        <v>4345</v>
      </c>
      <c r="B1101" t="s">
        <v>4346</v>
      </c>
      <c r="C1101" t="s">
        <v>4456</v>
      </c>
      <c r="D1101" t="s">
        <v>4457</v>
      </c>
      <c r="E1101" t="s">
        <v>4458</v>
      </c>
      <c r="F1101" t="s">
        <v>27</v>
      </c>
      <c r="G1101">
        <v>1</v>
      </c>
      <c r="H1101" t="s">
        <v>4459</v>
      </c>
      <c r="I1101" t="s">
        <v>4468</v>
      </c>
      <c r="J1101" t="s">
        <v>4469</v>
      </c>
      <c r="K1101" t="s">
        <v>4468</v>
      </c>
      <c r="L1101" t="s">
        <v>1608</v>
      </c>
      <c r="M1101" s="1" t="str">
        <f t="shared" si="119"/>
        <v>07B307</v>
      </c>
      <c r="N1101" s="1" t="str">
        <f t="shared" si="120"/>
        <v>C/O</v>
      </c>
      <c r="O1101" s="1" t="str">
        <f t="shared" si="121"/>
        <v>Final Drive RHR</v>
      </c>
      <c r="P1101" s="1" t="str">
        <f t="shared" si="122"/>
        <v>MM90</v>
      </c>
      <c r="Q1101" s="2" t="str">
        <f t="shared" si="123"/>
        <v>MM90Final Drive RHR</v>
      </c>
      <c r="R1101" s="2" t="str">
        <f>New_Xref[[#This Row],[Serial Prefix]]&amp;IF(New_Xref[[#This Row],[Func Loc]]&lt;&gt;"",New_Xref[[#This Row],[Func Loc]],"NO MATCH")</f>
        <v>MM90FDRV .AXAR.FDRH</v>
      </c>
      <c r="S1101" s="3" t="str">
        <f t="shared" si="124"/>
        <v>MM903894696XFinal Drive RHR</v>
      </c>
      <c r="T1101" s="3" t="s">
        <v>908</v>
      </c>
      <c r="U1101" s="3" t="s">
        <v>99</v>
      </c>
      <c r="V1101" t="str">
        <f t="shared" si="125"/>
        <v>4050RR</v>
      </c>
    </row>
    <row r="1102" spans="1:22">
      <c r="A1102" t="s">
        <v>4345</v>
      </c>
      <c r="B1102" t="s">
        <v>4346</v>
      </c>
      <c r="C1102" t="s">
        <v>4470</v>
      </c>
      <c r="D1102" t="s">
        <v>4471</v>
      </c>
      <c r="E1102" t="s">
        <v>4472</v>
      </c>
      <c r="F1102" t="s">
        <v>27</v>
      </c>
      <c r="G1102">
        <v>1</v>
      </c>
      <c r="H1102" t="s">
        <v>4473</v>
      </c>
      <c r="I1102" t="s">
        <v>4474</v>
      </c>
      <c r="J1102" t="s">
        <v>4475</v>
      </c>
      <c r="K1102" t="s">
        <v>4474</v>
      </c>
      <c r="L1102" t="s">
        <v>83</v>
      </c>
      <c r="M1102" s="1" t="str">
        <f t="shared" si="119"/>
        <v>07B307</v>
      </c>
      <c r="N1102" s="1" t="str">
        <f t="shared" si="120"/>
        <v>C/O</v>
      </c>
      <c r="O1102" s="1" t="str">
        <f t="shared" si="121"/>
        <v>Service Brake LHF</v>
      </c>
      <c r="P1102" s="1" t="str">
        <f t="shared" si="122"/>
        <v>MM90</v>
      </c>
      <c r="Q1102" s="2" t="str">
        <f t="shared" si="123"/>
        <v>MM90Service Brake LHF</v>
      </c>
      <c r="R1102" s="2" t="str">
        <f>New_Xref[[#This Row],[Serial Prefix]]&amp;IF(New_Xref[[#This Row],[Func Loc]]&lt;&gt;"",New_Xref[[#This Row],[Func Loc]],"NO MATCH")</f>
        <v>MM90NO MATCH</v>
      </c>
      <c r="S1102" s="3" t="str">
        <f t="shared" si="124"/>
        <v>MM905105052XService Brake LHF</v>
      </c>
      <c r="T1102" s="3" t="s">
        <v>205</v>
      </c>
      <c r="U1102" s="3" t="s">
        <v>89</v>
      </c>
      <c r="V1102" t="str">
        <f t="shared" si="125"/>
        <v>4251LF</v>
      </c>
    </row>
    <row r="1103" spans="1:22">
      <c r="A1103" t="s">
        <v>4345</v>
      </c>
      <c r="B1103" t="s">
        <v>4346</v>
      </c>
      <c r="C1103" t="s">
        <v>4470</v>
      </c>
      <c r="D1103" t="s">
        <v>4471</v>
      </c>
      <c r="E1103" t="s">
        <v>4472</v>
      </c>
      <c r="F1103" t="s">
        <v>27</v>
      </c>
      <c r="G1103">
        <v>1</v>
      </c>
      <c r="H1103" t="s">
        <v>4473</v>
      </c>
      <c r="I1103" t="s">
        <v>4476</v>
      </c>
      <c r="J1103" t="s">
        <v>4477</v>
      </c>
      <c r="K1103" t="s">
        <v>4476</v>
      </c>
      <c r="L1103" t="s">
        <v>83</v>
      </c>
      <c r="M1103" s="1" t="str">
        <f t="shared" si="119"/>
        <v>07B307</v>
      </c>
      <c r="N1103" s="1" t="str">
        <f t="shared" si="120"/>
        <v>C/O</v>
      </c>
      <c r="O1103" s="1" t="str">
        <f t="shared" si="121"/>
        <v>Service Brake LHR</v>
      </c>
      <c r="P1103" s="1" t="str">
        <f t="shared" si="122"/>
        <v>MM90</v>
      </c>
      <c r="Q1103" s="2" t="str">
        <f t="shared" si="123"/>
        <v>MM90Service Brake LHR</v>
      </c>
      <c r="R1103" s="2" t="str">
        <f>New_Xref[[#This Row],[Serial Prefix]]&amp;IF(New_Xref[[#This Row],[Func Loc]]&lt;&gt;"",New_Xref[[#This Row],[Func Loc]],"NO MATCH")</f>
        <v>MM90NO MATCH</v>
      </c>
      <c r="S1103" s="3" t="str">
        <f t="shared" si="124"/>
        <v>MM905105052XService Brake LHR</v>
      </c>
      <c r="T1103" s="3" t="s">
        <v>205</v>
      </c>
      <c r="U1103" s="3" t="s">
        <v>96</v>
      </c>
      <c r="V1103" t="str">
        <f t="shared" si="125"/>
        <v>4251LR</v>
      </c>
    </row>
    <row r="1104" spans="1:22">
      <c r="A1104" t="s">
        <v>4345</v>
      </c>
      <c r="B1104" t="s">
        <v>4346</v>
      </c>
      <c r="C1104" t="s">
        <v>4470</v>
      </c>
      <c r="D1104" t="s">
        <v>4471</v>
      </c>
      <c r="E1104" t="s">
        <v>4472</v>
      </c>
      <c r="F1104" t="s">
        <v>27</v>
      </c>
      <c r="G1104">
        <v>1</v>
      </c>
      <c r="H1104" t="s">
        <v>4473</v>
      </c>
      <c r="I1104" t="s">
        <v>4478</v>
      </c>
      <c r="J1104" t="s">
        <v>4479</v>
      </c>
      <c r="K1104" t="s">
        <v>4478</v>
      </c>
      <c r="L1104" t="s">
        <v>83</v>
      </c>
      <c r="M1104" s="1" t="str">
        <f t="shared" si="119"/>
        <v>07B307</v>
      </c>
      <c r="N1104" s="1" t="str">
        <f t="shared" si="120"/>
        <v>C/O</v>
      </c>
      <c r="O1104" s="1" t="str">
        <f t="shared" si="121"/>
        <v>Service Brake RHF</v>
      </c>
      <c r="P1104" s="1" t="str">
        <f t="shared" si="122"/>
        <v>MM90</v>
      </c>
      <c r="Q1104" s="2" t="str">
        <f t="shared" si="123"/>
        <v>MM90Service Brake RHF</v>
      </c>
      <c r="R1104" s="2" t="str">
        <f>New_Xref[[#This Row],[Serial Prefix]]&amp;IF(New_Xref[[#This Row],[Func Loc]]&lt;&gt;"",New_Xref[[#This Row],[Func Loc]],"NO MATCH")</f>
        <v>MM90NO MATCH</v>
      </c>
      <c r="S1104" s="3" t="str">
        <f t="shared" si="124"/>
        <v>MM905105052XService Brake RHF</v>
      </c>
      <c r="T1104" s="3" t="s">
        <v>205</v>
      </c>
      <c r="U1104" s="3" t="s">
        <v>92</v>
      </c>
      <c r="V1104" t="str">
        <f t="shared" si="125"/>
        <v>4251RF</v>
      </c>
    </row>
    <row r="1105" spans="1:22">
      <c r="A1105" t="s">
        <v>4345</v>
      </c>
      <c r="B1105" t="s">
        <v>4346</v>
      </c>
      <c r="C1105" t="s">
        <v>4470</v>
      </c>
      <c r="D1105" t="s">
        <v>4471</v>
      </c>
      <c r="E1105" t="s">
        <v>4472</v>
      </c>
      <c r="F1105" t="s">
        <v>27</v>
      </c>
      <c r="G1105">
        <v>1</v>
      </c>
      <c r="H1105" t="s">
        <v>4473</v>
      </c>
      <c r="I1105" t="s">
        <v>4480</v>
      </c>
      <c r="J1105" t="s">
        <v>4481</v>
      </c>
      <c r="K1105" t="s">
        <v>4480</v>
      </c>
      <c r="L1105" t="s">
        <v>83</v>
      </c>
      <c r="M1105" s="1" t="str">
        <f t="shared" si="119"/>
        <v>07B307</v>
      </c>
      <c r="N1105" s="1" t="str">
        <f t="shared" si="120"/>
        <v>C/O</v>
      </c>
      <c r="O1105" s="1" t="str">
        <f t="shared" si="121"/>
        <v>Service Brake RHR</v>
      </c>
      <c r="P1105" s="1" t="str">
        <f t="shared" si="122"/>
        <v>MM90</v>
      </c>
      <c r="Q1105" s="2" t="str">
        <f t="shared" si="123"/>
        <v>MM90Service Brake RHR</v>
      </c>
      <c r="R1105" s="2" t="str">
        <f>New_Xref[[#This Row],[Serial Prefix]]&amp;IF(New_Xref[[#This Row],[Func Loc]]&lt;&gt;"",New_Xref[[#This Row],[Func Loc]],"NO MATCH")</f>
        <v>MM90NO MATCH</v>
      </c>
      <c r="S1105" s="3" t="str">
        <f t="shared" si="124"/>
        <v>MM905105052XService Brake RHR</v>
      </c>
      <c r="T1105" s="3" t="s">
        <v>205</v>
      </c>
      <c r="U1105" s="3" t="s">
        <v>99</v>
      </c>
      <c r="V1105" t="str">
        <f t="shared" si="125"/>
        <v>4251RR</v>
      </c>
    </row>
    <row r="1106" spans="1:22">
      <c r="A1106" t="s">
        <v>4345</v>
      </c>
      <c r="B1106" t="s">
        <v>4346</v>
      </c>
      <c r="C1106" t="s">
        <v>682</v>
      </c>
      <c r="D1106" t="s">
        <v>683</v>
      </c>
      <c r="E1106" t="s">
        <v>684</v>
      </c>
      <c r="F1106" t="s">
        <v>27</v>
      </c>
      <c r="G1106">
        <v>1</v>
      </c>
      <c r="H1106" t="s">
        <v>4482</v>
      </c>
      <c r="I1106" t="s">
        <v>4483</v>
      </c>
      <c r="J1106" t="s">
        <v>4484</v>
      </c>
      <c r="K1106" t="s">
        <v>4483</v>
      </c>
      <c r="L1106" t="s">
        <v>688</v>
      </c>
      <c r="M1106" s="1" t="str">
        <f t="shared" si="119"/>
        <v>07B307</v>
      </c>
      <c r="N1106" s="1" t="str">
        <f t="shared" si="120"/>
        <v>C/O</v>
      </c>
      <c r="O1106" s="1" t="str">
        <f t="shared" si="121"/>
        <v>Primary Brake Pump</v>
      </c>
      <c r="P1106" s="1" t="str">
        <f t="shared" si="122"/>
        <v>MM90</v>
      </c>
      <c r="Q1106" s="2" t="str">
        <f t="shared" si="123"/>
        <v>MM90Primary Brake Pump</v>
      </c>
      <c r="R1106" s="2" t="str">
        <f>New_Xref[[#This Row],[Serial Prefix]]&amp;IF(New_Xref[[#This Row],[Func Loc]]&lt;&gt;"",New_Xref[[#This Row],[Func Loc]],"NO MATCH")</f>
        <v>MM90BRAK .PUMP.PRBP</v>
      </c>
      <c r="S1106" s="3" t="str">
        <f t="shared" si="124"/>
        <v>MM9030R0120Primary Brake Pump</v>
      </c>
      <c r="T1106" s="3" t="s">
        <v>689</v>
      </c>
      <c r="U1106" s="3" t="s">
        <v>34</v>
      </c>
      <c r="V1106" t="str">
        <f t="shared" si="125"/>
        <v>426800</v>
      </c>
    </row>
    <row r="1107" spans="1:22">
      <c r="A1107" t="s">
        <v>4345</v>
      </c>
      <c r="B1107" t="s">
        <v>4346</v>
      </c>
      <c r="C1107" t="s">
        <v>4485</v>
      </c>
      <c r="D1107" t="s">
        <v>4486</v>
      </c>
      <c r="E1107" t="s">
        <v>2976</v>
      </c>
      <c r="F1107" t="s">
        <v>27</v>
      </c>
      <c r="G1107">
        <v>1</v>
      </c>
      <c r="H1107" t="s">
        <v>4487</v>
      </c>
      <c r="I1107" t="s">
        <v>4488</v>
      </c>
      <c r="J1107" t="s">
        <v>4489</v>
      </c>
      <c r="K1107" t="s">
        <v>4488</v>
      </c>
      <c r="L1107" t="s">
        <v>767</v>
      </c>
      <c r="M1107" s="1" t="str">
        <f t="shared" si="119"/>
        <v>07B307</v>
      </c>
      <c r="N1107" s="1" t="str">
        <f t="shared" si="120"/>
        <v>C/O</v>
      </c>
      <c r="O1107" s="1" t="str">
        <f t="shared" si="121"/>
        <v>Steering Cylinder LH</v>
      </c>
      <c r="P1107" s="1" t="str">
        <f t="shared" si="122"/>
        <v>MM90</v>
      </c>
      <c r="Q1107" s="2" t="str">
        <f t="shared" si="123"/>
        <v>MM90Steering Cylinder LH</v>
      </c>
      <c r="R1107" s="2" t="str">
        <f>New_Xref[[#This Row],[Serial Prefix]]&amp;IF(New_Xref[[#This Row],[Func Loc]]&lt;&gt;"",New_Xref[[#This Row],[Func Loc]],"NO MATCH")</f>
        <v>MM90STRG .CYLI.SC01</v>
      </c>
      <c r="S1107" s="3" t="str">
        <f t="shared" si="124"/>
        <v>MM904164020XSteering Cylinder LH</v>
      </c>
      <c r="T1107" s="3" t="s">
        <v>107</v>
      </c>
      <c r="U1107" s="3" t="s">
        <v>89</v>
      </c>
      <c r="V1107" t="str">
        <f t="shared" si="125"/>
        <v>4303LF</v>
      </c>
    </row>
    <row r="1108" spans="1:22">
      <c r="A1108" t="s">
        <v>4345</v>
      </c>
      <c r="B1108" t="s">
        <v>4346</v>
      </c>
      <c r="C1108" t="s">
        <v>4485</v>
      </c>
      <c r="D1108" t="s">
        <v>4486</v>
      </c>
      <c r="E1108" t="s">
        <v>2976</v>
      </c>
      <c r="F1108" t="s">
        <v>27</v>
      </c>
      <c r="G1108">
        <v>1</v>
      </c>
      <c r="H1108" t="s">
        <v>4487</v>
      </c>
      <c r="I1108" t="s">
        <v>4490</v>
      </c>
      <c r="J1108" t="s">
        <v>4491</v>
      </c>
      <c r="K1108" t="s">
        <v>4490</v>
      </c>
      <c r="L1108" t="s">
        <v>770</v>
      </c>
      <c r="M1108" s="1" t="str">
        <f t="shared" si="119"/>
        <v>07B307</v>
      </c>
      <c r="N1108" s="1" t="str">
        <f t="shared" si="120"/>
        <v>C/O</v>
      </c>
      <c r="O1108" s="1" t="str">
        <f t="shared" si="121"/>
        <v>Steering Cylinder RH</v>
      </c>
      <c r="P1108" s="1" t="str">
        <f t="shared" si="122"/>
        <v>MM90</v>
      </c>
      <c r="Q1108" s="2" t="str">
        <f t="shared" si="123"/>
        <v>MM90Steering Cylinder RH</v>
      </c>
      <c r="R1108" s="2" t="str">
        <f>New_Xref[[#This Row],[Serial Prefix]]&amp;IF(New_Xref[[#This Row],[Func Loc]]&lt;&gt;"",New_Xref[[#This Row],[Func Loc]],"NO MATCH")</f>
        <v>MM90STRG .CYLI.SC02</v>
      </c>
      <c r="S1108" s="3" t="str">
        <f t="shared" si="124"/>
        <v>MM904164020XSteering Cylinder RH</v>
      </c>
      <c r="T1108" s="3" t="s">
        <v>107</v>
      </c>
      <c r="U1108" s="3" t="s">
        <v>92</v>
      </c>
      <c r="V1108" t="str">
        <f t="shared" si="125"/>
        <v>4303RF</v>
      </c>
    </row>
    <row r="1109" spans="1:22">
      <c r="A1109" t="s">
        <v>4345</v>
      </c>
      <c r="B1109" t="s">
        <v>4346</v>
      </c>
      <c r="C1109" t="s">
        <v>4492</v>
      </c>
      <c r="D1109" t="s">
        <v>4493</v>
      </c>
      <c r="E1109" t="s">
        <v>4494</v>
      </c>
      <c r="F1109" t="s">
        <v>27</v>
      </c>
      <c r="G1109">
        <v>1</v>
      </c>
      <c r="H1109" t="s">
        <v>4495</v>
      </c>
      <c r="I1109" t="s">
        <v>4496</v>
      </c>
      <c r="J1109" t="s">
        <v>4497</v>
      </c>
      <c r="K1109" t="s">
        <v>4498</v>
      </c>
      <c r="L1109" t="s">
        <v>2358</v>
      </c>
      <c r="M1109" s="1" t="str">
        <f t="shared" si="119"/>
        <v>07B307</v>
      </c>
      <c r="N1109" s="1" t="str">
        <f t="shared" si="120"/>
        <v>C/O</v>
      </c>
      <c r="O1109" s="1" t="str">
        <f t="shared" si="121"/>
        <v>Steering Pump</v>
      </c>
      <c r="P1109" s="1" t="str">
        <f t="shared" si="122"/>
        <v>MM90</v>
      </c>
      <c r="Q1109" s="2" t="str">
        <f t="shared" si="123"/>
        <v>MM90Steering Pump</v>
      </c>
      <c r="R1109" s="2" t="str">
        <f>New_Xref[[#This Row],[Serial Prefix]]&amp;IF(New_Xref[[#This Row],[Func Loc]]&lt;&gt;"",New_Xref[[#This Row],[Func Loc]],"NO MATCH")</f>
        <v>MM90STRG .PUMP.SP01</v>
      </c>
      <c r="S1109" s="3" t="str">
        <f t="shared" si="124"/>
        <v>MM904164594XSteering Pump</v>
      </c>
      <c r="T1109" s="3" t="s">
        <v>342</v>
      </c>
      <c r="U1109" s="3" t="s">
        <v>34</v>
      </c>
      <c r="V1109" t="str">
        <f t="shared" si="125"/>
        <v>430600</v>
      </c>
    </row>
    <row r="1110" spans="1:22">
      <c r="A1110" t="s">
        <v>4345</v>
      </c>
      <c r="B1110" t="s">
        <v>4499</v>
      </c>
      <c r="H1110" t="s">
        <v>4500</v>
      </c>
      <c r="I1110" t="s">
        <v>4501</v>
      </c>
      <c r="J1110" t="s">
        <v>4502</v>
      </c>
      <c r="K1110" t="s">
        <v>4503</v>
      </c>
      <c r="L1110" t="s">
        <v>4504</v>
      </c>
      <c r="M1110" s="1" t="str">
        <f t="shared" si="119"/>
        <v>07H261</v>
      </c>
      <c r="N1110" s="1" t="str">
        <f t="shared" si="120"/>
        <v>C/O</v>
      </c>
      <c r="O1110" s="1" t="str">
        <f t="shared" si="121"/>
        <v>Main Steering Valve</v>
      </c>
      <c r="P1110" s="1" t="str">
        <f t="shared" si="122"/>
        <v>MM90</v>
      </c>
      <c r="Q1110" s="2" t="str">
        <f t="shared" si="123"/>
        <v>MM90Main Steering Valve</v>
      </c>
      <c r="R1110" s="2" t="str">
        <f>New_Xref[[#This Row],[Serial Prefix]]&amp;IF(New_Xref[[#This Row],[Func Loc]]&lt;&gt;"",New_Xref[[#This Row],[Func Loc]],"NO MATCH")</f>
        <v>MM90STRG .VALV.SV01</v>
      </c>
      <c r="S1110" s="3" t="str">
        <f t="shared" si="124"/>
        <v>MM90Main Steering Valve</v>
      </c>
      <c r="T1110" s="3" t="s">
        <v>4505</v>
      </c>
      <c r="U1110" s="3" t="s">
        <v>34</v>
      </c>
      <c r="V1110" t="str">
        <f t="shared" si="125"/>
        <v>430700</v>
      </c>
    </row>
    <row r="1111" spans="1:22">
      <c r="A1111" t="s">
        <v>4345</v>
      </c>
      <c r="B1111" t="s">
        <v>4499</v>
      </c>
      <c r="H1111" t="s">
        <v>4506</v>
      </c>
      <c r="I1111" t="s">
        <v>4507</v>
      </c>
      <c r="J1111" t="s">
        <v>4508</v>
      </c>
      <c r="K1111" t="s">
        <v>4507</v>
      </c>
      <c r="L1111" t="s">
        <v>4509</v>
      </c>
      <c r="M1111" s="1" t="str">
        <f t="shared" si="119"/>
        <v>07H261</v>
      </c>
      <c r="N1111" s="1" t="str">
        <f t="shared" si="120"/>
        <v>C/O</v>
      </c>
      <c r="O1111" s="1" t="str">
        <f t="shared" si="121"/>
        <v>Main Control Valve LH</v>
      </c>
      <c r="P1111" s="1" t="str">
        <f t="shared" si="122"/>
        <v>MM90</v>
      </c>
      <c r="Q1111" s="2" t="str">
        <f t="shared" si="123"/>
        <v>MM90Main Control Valve LH</v>
      </c>
      <c r="R1111" s="2" t="str">
        <f>New_Xref[[#This Row],[Serial Prefix]]&amp;IF(New_Xref[[#This Row],[Func Loc]]&lt;&gt;"",New_Xref[[#This Row],[Func Loc]],"NO MATCH")</f>
        <v>MM90MYHD .VALV.MCVL</v>
      </c>
      <c r="S1111" s="3" t="str">
        <f t="shared" si="124"/>
        <v>MM90Main Control Valve LH</v>
      </c>
      <c r="T1111" s="3" t="s">
        <v>1346</v>
      </c>
      <c r="U1111" s="3" t="s">
        <v>108</v>
      </c>
      <c r="V1111" t="str">
        <f t="shared" si="125"/>
        <v>5051LT</v>
      </c>
    </row>
    <row r="1112" spans="1:22">
      <c r="A1112" t="s">
        <v>4345</v>
      </c>
      <c r="B1112" t="s">
        <v>4499</v>
      </c>
      <c r="H1112" t="s">
        <v>4510</v>
      </c>
      <c r="I1112" t="s">
        <v>4511</v>
      </c>
      <c r="J1112" t="s">
        <v>4512</v>
      </c>
      <c r="K1112" t="s">
        <v>4511</v>
      </c>
      <c r="L1112" t="s">
        <v>4513</v>
      </c>
      <c r="M1112" s="1" t="str">
        <f t="shared" si="119"/>
        <v>07H261</v>
      </c>
      <c r="N1112" s="1" t="str">
        <f t="shared" si="120"/>
        <v>C/O</v>
      </c>
      <c r="O1112" s="1" t="str">
        <f t="shared" si="121"/>
        <v>Main Control Valve RH</v>
      </c>
      <c r="P1112" s="1" t="str">
        <f t="shared" si="122"/>
        <v>MM90</v>
      </c>
      <c r="Q1112" s="2" t="str">
        <f t="shared" si="123"/>
        <v>MM90Main Control Valve RH</v>
      </c>
      <c r="R1112" s="2" t="str">
        <f>New_Xref[[#This Row],[Serial Prefix]]&amp;IF(New_Xref[[#This Row],[Func Loc]]&lt;&gt;"",New_Xref[[#This Row],[Func Loc]],"NO MATCH")</f>
        <v>MM90MYHD .VALV.MCVR</v>
      </c>
      <c r="S1112" s="3" t="str">
        <f t="shared" si="124"/>
        <v>MM90Main Control Valve RH</v>
      </c>
      <c r="T1112" s="3" t="s">
        <v>1346</v>
      </c>
      <c r="U1112" s="3" t="s">
        <v>115</v>
      </c>
      <c r="V1112" t="str">
        <f t="shared" si="125"/>
        <v>5051RI</v>
      </c>
    </row>
    <row r="1113" spans="1:22">
      <c r="A1113" t="s">
        <v>4345</v>
      </c>
      <c r="B1113" t="s">
        <v>4346</v>
      </c>
      <c r="C1113" t="s">
        <v>4514</v>
      </c>
      <c r="D1113" t="s">
        <v>4515</v>
      </c>
      <c r="E1113" t="s">
        <v>4516</v>
      </c>
      <c r="F1113" t="s">
        <v>27</v>
      </c>
      <c r="G1113">
        <v>1</v>
      </c>
      <c r="H1113" t="s">
        <v>4517</v>
      </c>
      <c r="I1113" t="s">
        <v>4518</v>
      </c>
      <c r="J1113" t="s">
        <v>4519</v>
      </c>
      <c r="K1113" t="s">
        <v>4520</v>
      </c>
      <c r="L1113" t="s">
        <v>4521</v>
      </c>
      <c r="M1113" s="1" t="str">
        <f t="shared" si="119"/>
        <v>07B307</v>
      </c>
      <c r="N1113" s="1" t="str">
        <f t="shared" si="120"/>
        <v>C/O</v>
      </c>
      <c r="O1113" s="1" t="str">
        <f t="shared" si="121"/>
        <v>Engine Cooling Fan Motor</v>
      </c>
      <c r="P1113" s="1" t="str">
        <f t="shared" si="122"/>
        <v>MM90</v>
      </c>
      <c r="Q1113" s="2" t="str">
        <f t="shared" si="123"/>
        <v>MM90Engine Cooling Fan Motor</v>
      </c>
      <c r="R1113" s="2" t="str">
        <f>New_Xref[[#This Row],[Serial Prefix]]&amp;IF(New_Xref[[#This Row],[Func Loc]]&lt;&gt;"",New_Xref[[#This Row],[Func Loc]],"NO MATCH")</f>
        <v>MM90MYHD .MOTO.HM01</v>
      </c>
      <c r="S1113" s="3" t="str">
        <f t="shared" si="124"/>
        <v>MM9010R5466Engine Cooling Fan Motor</v>
      </c>
      <c r="T1113" s="3" t="s">
        <v>4522</v>
      </c>
      <c r="U1113" s="3" t="s">
        <v>34</v>
      </c>
      <c r="V1113" t="str">
        <f t="shared" si="125"/>
        <v>505800</v>
      </c>
    </row>
    <row r="1114" spans="1:22">
      <c r="A1114" t="s">
        <v>4345</v>
      </c>
      <c r="B1114" t="s">
        <v>4346</v>
      </c>
      <c r="C1114" t="s">
        <v>4523</v>
      </c>
      <c r="D1114" t="s">
        <v>4524</v>
      </c>
      <c r="E1114" t="s">
        <v>4525</v>
      </c>
      <c r="F1114" t="s">
        <v>27</v>
      </c>
      <c r="G1114">
        <v>1</v>
      </c>
      <c r="H1114" t="s">
        <v>4526</v>
      </c>
      <c r="I1114" t="s">
        <v>4527</v>
      </c>
      <c r="J1114" t="s">
        <v>4528</v>
      </c>
      <c r="K1114" t="s">
        <v>4529</v>
      </c>
      <c r="L1114" t="s">
        <v>2453</v>
      </c>
      <c r="M1114" s="1" t="str">
        <f t="shared" si="119"/>
        <v>07B307</v>
      </c>
      <c r="N1114" s="1" t="str">
        <f t="shared" si="120"/>
        <v>C/O</v>
      </c>
      <c r="O1114" s="1" t="str">
        <f t="shared" si="121"/>
        <v>Main Hydraulic Pump LH</v>
      </c>
      <c r="P1114" s="1" t="str">
        <f t="shared" si="122"/>
        <v>MM90</v>
      </c>
      <c r="Q1114" s="2" t="str">
        <f t="shared" si="123"/>
        <v>MM90Main Hydraulic Pump LH</v>
      </c>
      <c r="R1114" s="2" t="str">
        <f>New_Xref[[#This Row],[Serial Prefix]]&amp;IF(New_Xref[[#This Row],[Func Loc]]&lt;&gt;"",New_Xref[[#This Row],[Func Loc]],"NO MATCH")</f>
        <v>MM90MYHD .PUMP.HP01</v>
      </c>
      <c r="S1114" s="3" t="str">
        <f t="shared" si="124"/>
        <v>MM905120769XMain Hydraulic Pump LH</v>
      </c>
      <c r="T1114" s="3" t="s">
        <v>220</v>
      </c>
      <c r="U1114" s="3" t="s">
        <v>108</v>
      </c>
      <c r="V1114" t="str">
        <f t="shared" si="125"/>
        <v>5070LT</v>
      </c>
    </row>
    <row r="1115" spans="1:22">
      <c r="A1115" t="s">
        <v>4345</v>
      </c>
      <c r="B1115" t="s">
        <v>4346</v>
      </c>
      <c r="C1115" t="s">
        <v>4523</v>
      </c>
      <c r="D1115" t="s">
        <v>4524</v>
      </c>
      <c r="E1115" t="s">
        <v>4525</v>
      </c>
      <c r="F1115" t="s">
        <v>27</v>
      </c>
      <c r="G1115">
        <v>1</v>
      </c>
      <c r="H1115" t="s">
        <v>4530</v>
      </c>
      <c r="I1115" t="s">
        <v>4531</v>
      </c>
      <c r="J1115" t="s">
        <v>4532</v>
      </c>
      <c r="K1115" t="s">
        <v>4533</v>
      </c>
      <c r="L1115" t="s">
        <v>2478</v>
      </c>
      <c r="M1115" s="1" t="str">
        <f t="shared" si="119"/>
        <v>07B307</v>
      </c>
      <c r="N1115" s="1" t="str">
        <f t="shared" si="120"/>
        <v>C/O</v>
      </c>
      <c r="O1115" s="1" t="str">
        <f t="shared" si="121"/>
        <v>Main Hydraulic Pump RH</v>
      </c>
      <c r="P1115" s="1" t="str">
        <f t="shared" si="122"/>
        <v>MM90</v>
      </c>
      <c r="Q1115" s="2" t="str">
        <f t="shared" si="123"/>
        <v>MM90Main Hydraulic Pump RH</v>
      </c>
      <c r="R1115" s="2" t="str">
        <f>New_Xref[[#This Row],[Serial Prefix]]&amp;IF(New_Xref[[#This Row],[Func Loc]]&lt;&gt;"",New_Xref[[#This Row],[Func Loc]],"NO MATCH")</f>
        <v>MM90MYHD .PUMP.HP02</v>
      </c>
      <c r="S1115" s="3" t="str">
        <f t="shared" si="124"/>
        <v>MM905120769XMain Hydraulic Pump RH</v>
      </c>
      <c r="T1115" s="3" t="s">
        <v>220</v>
      </c>
      <c r="U1115" s="3" t="s">
        <v>115</v>
      </c>
      <c r="V1115" t="str">
        <f t="shared" si="125"/>
        <v>5070RI</v>
      </c>
    </row>
    <row r="1116" spans="1:22">
      <c r="A1116" t="s">
        <v>4345</v>
      </c>
      <c r="B1116" t="s">
        <v>4346</v>
      </c>
      <c r="C1116" t="s">
        <v>4534</v>
      </c>
      <c r="D1116" t="s">
        <v>4535</v>
      </c>
      <c r="E1116" t="s">
        <v>4536</v>
      </c>
      <c r="F1116" t="s">
        <v>27</v>
      </c>
      <c r="G1116">
        <v>1</v>
      </c>
      <c r="H1116" t="s">
        <v>4537</v>
      </c>
      <c r="I1116" t="s">
        <v>4538</v>
      </c>
      <c r="J1116" t="s">
        <v>4539</v>
      </c>
      <c r="K1116" t="s">
        <v>4540</v>
      </c>
      <c r="L1116" t="s">
        <v>2482</v>
      </c>
      <c r="M1116" s="1" t="str">
        <f t="shared" si="119"/>
        <v>07B307</v>
      </c>
      <c r="N1116" s="1" t="str">
        <f t="shared" si="120"/>
        <v>C/O</v>
      </c>
      <c r="O1116" s="1" t="str">
        <f t="shared" si="121"/>
        <v>Pilot Hydraulic Pump</v>
      </c>
      <c r="P1116" s="1" t="str">
        <f t="shared" si="122"/>
        <v>MM90</v>
      </c>
      <c r="Q1116" s="2" t="str">
        <f t="shared" si="123"/>
        <v>MM90Pilot Hydraulic Pump</v>
      </c>
      <c r="R1116" s="2" t="str">
        <f>New_Xref[[#This Row],[Serial Prefix]]&amp;IF(New_Xref[[#This Row],[Func Loc]]&lt;&gt;"",New_Xref[[#This Row],[Func Loc]],"NO MATCH")</f>
        <v>MM90MYHD .PUMP.HP03</v>
      </c>
      <c r="S1116" s="3" t="str">
        <f t="shared" si="124"/>
        <v>MM904241866Pilot Hydraulic Pump</v>
      </c>
      <c r="T1116" s="3" t="s">
        <v>993</v>
      </c>
      <c r="U1116" s="3" t="s">
        <v>34</v>
      </c>
      <c r="V1116" t="str">
        <f t="shared" si="125"/>
        <v>508500</v>
      </c>
    </row>
    <row r="1117" spans="1:22">
      <c r="A1117" t="s">
        <v>4345</v>
      </c>
      <c r="B1117" t="s">
        <v>4346</v>
      </c>
      <c r="C1117" t="s">
        <v>4541</v>
      </c>
      <c r="D1117" t="s">
        <v>4542</v>
      </c>
      <c r="E1117" t="s">
        <v>4543</v>
      </c>
      <c r="F1117" t="s">
        <v>27</v>
      </c>
      <c r="G1117">
        <v>1</v>
      </c>
      <c r="H1117" t="s">
        <v>4544</v>
      </c>
      <c r="I1117" t="s">
        <v>4545</v>
      </c>
      <c r="J1117" t="s">
        <v>4546</v>
      </c>
      <c r="K1117" t="s">
        <v>4545</v>
      </c>
      <c r="L1117" t="s">
        <v>626</v>
      </c>
      <c r="M1117" s="1" t="str">
        <f t="shared" si="119"/>
        <v>07B307</v>
      </c>
      <c r="N1117" s="1" t="str">
        <f t="shared" si="120"/>
        <v>C/O</v>
      </c>
      <c r="O1117" s="1" t="str">
        <f t="shared" si="121"/>
        <v>Lift Cylinder LH</v>
      </c>
      <c r="P1117" s="1" t="str">
        <f t="shared" si="122"/>
        <v>MM90</v>
      </c>
      <c r="Q1117" s="2" t="str">
        <f t="shared" si="123"/>
        <v>MM90Lift Cylinder LH</v>
      </c>
      <c r="R1117" s="2" t="str">
        <f>New_Xref[[#This Row],[Serial Prefix]]&amp;IF(New_Xref[[#This Row],[Func Loc]]&lt;&gt;"",New_Xref[[#This Row],[Func Loc]],"NO MATCH")</f>
        <v>MM90MYHD .CYLI.LIFL</v>
      </c>
      <c r="S1117" s="3" t="str">
        <f t="shared" si="124"/>
        <v>MM904164017XLift Cylinder LH</v>
      </c>
      <c r="T1117" s="3" t="s">
        <v>130</v>
      </c>
      <c r="U1117" s="3" t="s">
        <v>108</v>
      </c>
      <c r="V1117" t="str">
        <f t="shared" si="125"/>
        <v>5102LT</v>
      </c>
    </row>
    <row r="1118" spans="1:22">
      <c r="A1118" t="s">
        <v>4345</v>
      </c>
      <c r="B1118" t="s">
        <v>4346</v>
      </c>
      <c r="C1118" t="s">
        <v>4541</v>
      </c>
      <c r="D1118" t="s">
        <v>4542</v>
      </c>
      <c r="E1118" t="s">
        <v>4543</v>
      </c>
      <c r="F1118" t="s">
        <v>27</v>
      </c>
      <c r="G1118">
        <v>1</v>
      </c>
      <c r="H1118" t="s">
        <v>4547</v>
      </c>
      <c r="I1118" t="s">
        <v>4548</v>
      </c>
      <c r="J1118" t="s">
        <v>4549</v>
      </c>
      <c r="K1118" t="s">
        <v>4548</v>
      </c>
      <c r="L1118" t="s">
        <v>633</v>
      </c>
      <c r="M1118" s="1" t="str">
        <f t="shared" si="119"/>
        <v>07B307</v>
      </c>
      <c r="N1118" s="1" t="str">
        <f t="shared" si="120"/>
        <v>C/O</v>
      </c>
      <c r="O1118" s="1" t="str">
        <f t="shared" si="121"/>
        <v>Lift Cylinder RH</v>
      </c>
      <c r="P1118" s="1" t="str">
        <f t="shared" si="122"/>
        <v>MM90</v>
      </c>
      <c r="Q1118" s="2" t="str">
        <f t="shared" si="123"/>
        <v>MM90Lift Cylinder RH</v>
      </c>
      <c r="R1118" s="2" t="str">
        <f>New_Xref[[#This Row],[Serial Prefix]]&amp;IF(New_Xref[[#This Row],[Func Loc]]&lt;&gt;"",New_Xref[[#This Row],[Func Loc]],"NO MATCH")</f>
        <v>MM90MYHD .CYLI.LIFR</v>
      </c>
      <c r="S1118" s="3" t="str">
        <f t="shared" si="124"/>
        <v>MM904164017XLift Cylinder RH</v>
      </c>
      <c r="T1118" s="3" t="s">
        <v>130</v>
      </c>
      <c r="U1118" s="3" t="s">
        <v>115</v>
      </c>
      <c r="V1118" t="str">
        <f t="shared" si="125"/>
        <v>5102RI</v>
      </c>
    </row>
    <row r="1119" spans="1:22">
      <c r="A1119" t="s">
        <v>4345</v>
      </c>
      <c r="B1119" t="s">
        <v>4346</v>
      </c>
      <c r="C1119" t="s">
        <v>4550</v>
      </c>
      <c r="D1119" t="s">
        <v>4551</v>
      </c>
      <c r="E1119" t="s">
        <v>4552</v>
      </c>
      <c r="F1119" t="s">
        <v>27</v>
      </c>
      <c r="G1119">
        <v>1</v>
      </c>
      <c r="H1119" t="s">
        <v>4553</v>
      </c>
      <c r="I1119" t="s">
        <v>4554</v>
      </c>
      <c r="J1119" t="s">
        <v>4555</v>
      </c>
      <c r="K1119" t="s">
        <v>4554</v>
      </c>
      <c r="L1119" t="s">
        <v>637</v>
      </c>
      <c r="M1119" s="1" t="str">
        <f t="shared" si="119"/>
        <v>07B307</v>
      </c>
      <c r="N1119" s="1" t="str">
        <f t="shared" si="120"/>
        <v>C/O</v>
      </c>
      <c r="O1119" s="1" t="str">
        <f t="shared" si="121"/>
        <v>Tilt Cylinder LH</v>
      </c>
      <c r="P1119" s="1" t="str">
        <f t="shared" si="122"/>
        <v>MM90</v>
      </c>
      <c r="Q1119" s="2" t="str">
        <f t="shared" si="123"/>
        <v>MM90Tilt Cylinder LH</v>
      </c>
      <c r="R1119" s="2" t="str">
        <f>New_Xref[[#This Row],[Serial Prefix]]&amp;IF(New_Xref[[#This Row],[Func Loc]]&lt;&gt;"",New_Xref[[#This Row],[Func Loc]],"NO MATCH")</f>
        <v>MM90MYHD .CYLI.TILL</v>
      </c>
      <c r="S1119" s="3" t="str">
        <f t="shared" si="124"/>
        <v>MM904164019XTilt Cylinder LH</v>
      </c>
      <c r="T1119" s="3" t="s">
        <v>638</v>
      </c>
      <c r="U1119" s="3" t="s">
        <v>108</v>
      </c>
      <c r="V1119" t="str">
        <f t="shared" si="125"/>
        <v>5104LT</v>
      </c>
    </row>
    <row r="1120" spans="1:22">
      <c r="A1120" t="s">
        <v>4345</v>
      </c>
      <c r="B1120" t="s">
        <v>4346</v>
      </c>
      <c r="C1120" t="s">
        <v>4556</v>
      </c>
      <c r="D1120" t="s">
        <v>4557</v>
      </c>
      <c r="E1120" t="s">
        <v>4558</v>
      </c>
      <c r="F1120" t="s">
        <v>27</v>
      </c>
      <c r="G1120">
        <v>1</v>
      </c>
      <c r="H1120" t="s">
        <v>4559</v>
      </c>
      <c r="I1120" t="s">
        <v>4560</v>
      </c>
      <c r="J1120" t="s">
        <v>4561</v>
      </c>
      <c r="K1120" t="s">
        <v>4560</v>
      </c>
      <c r="L1120" t="s">
        <v>642</v>
      </c>
      <c r="M1120" s="1" t="str">
        <f t="shared" si="119"/>
        <v>07B307</v>
      </c>
      <c r="N1120" s="1" t="str">
        <f t="shared" si="120"/>
        <v>C/O</v>
      </c>
      <c r="O1120" s="1" t="str">
        <f t="shared" si="121"/>
        <v>Tilt Cylinder RH</v>
      </c>
      <c r="P1120" s="1" t="str">
        <f t="shared" si="122"/>
        <v>MM90</v>
      </c>
      <c r="Q1120" s="2" t="str">
        <f t="shared" si="123"/>
        <v>MM90Tilt Cylinder RH</v>
      </c>
      <c r="R1120" s="2" t="str">
        <f>New_Xref[[#This Row],[Serial Prefix]]&amp;IF(New_Xref[[#This Row],[Func Loc]]&lt;&gt;"",New_Xref[[#This Row],[Func Loc]],"NO MATCH")</f>
        <v>MM90MYHD .CYLI.TILR</v>
      </c>
      <c r="S1120" s="3" t="str">
        <f t="shared" si="124"/>
        <v>MM904164018XTilt Cylinder RH</v>
      </c>
      <c r="T1120" s="3" t="s">
        <v>638</v>
      </c>
      <c r="U1120" s="3" t="s">
        <v>115</v>
      </c>
      <c r="V1120" t="str">
        <f t="shared" si="125"/>
        <v>5104RI</v>
      </c>
    </row>
    <row r="1121" spans="1:22">
      <c r="A1121" t="s">
        <v>4562</v>
      </c>
      <c r="B1121" t="s">
        <v>4563</v>
      </c>
      <c r="H1121" t="s">
        <v>4564</v>
      </c>
      <c r="I1121" t="s">
        <v>4565</v>
      </c>
      <c r="J1121" t="s">
        <v>4566</v>
      </c>
      <c r="K1121" t="s">
        <v>4565</v>
      </c>
      <c r="L1121" t="s">
        <v>32</v>
      </c>
      <c r="M1121" s="1" t="str">
        <f t="shared" si="119"/>
        <v>08R373</v>
      </c>
      <c r="N1121" s="1" t="str">
        <f t="shared" si="120"/>
        <v>C/O</v>
      </c>
      <c r="O1121" s="1" t="str">
        <f t="shared" si="121"/>
        <v>Engine</v>
      </c>
      <c r="P1121" s="1" t="str">
        <f t="shared" si="122"/>
        <v>MGY0</v>
      </c>
      <c r="Q1121" s="2" t="str">
        <f t="shared" si="123"/>
        <v>MGY0Engine</v>
      </c>
      <c r="R1121" s="2" t="str">
        <f>New_Xref[[#This Row],[Serial Prefix]]&amp;IF(New_Xref[[#This Row],[Func Loc]]&lt;&gt;"",New_Xref[[#This Row],[Func Loc]],"NO MATCH")</f>
        <v>MGY0ENGD</v>
      </c>
      <c r="S1121" s="3" t="str">
        <f t="shared" si="124"/>
        <v>MGY0Engine</v>
      </c>
      <c r="T1121" s="3" t="s">
        <v>33</v>
      </c>
      <c r="U1121" s="3" t="s">
        <v>34</v>
      </c>
      <c r="V1121" t="str">
        <f t="shared" si="125"/>
        <v>100000</v>
      </c>
    </row>
    <row r="1122" spans="1:22">
      <c r="A1122" t="s">
        <v>4562</v>
      </c>
      <c r="B1122" t="s">
        <v>4563</v>
      </c>
      <c r="H1122" t="s">
        <v>4567</v>
      </c>
      <c r="I1122" t="s">
        <v>4565</v>
      </c>
      <c r="J1122" t="s">
        <v>4568</v>
      </c>
      <c r="K1122" t="s">
        <v>4569</v>
      </c>
      <c r="L1122" t="s">
        <v>62</v>
      </c>
      <c r="M1122" s="1" t="str">
        <f t="shared" si="119"/>
        <v>08R373</v>
      </c>
      <c r="N1122" s="1" t="str">
        <f t="shared" si="120"/>
        <v>C/O</v>
      </c>
      <c r="O1122" s="1" t="str">
        <f t="shared" si="121"/>
        <v>Fuel Injectors</v>
      </c>
      <c r="P1122" s="1" t="str">
        <f t="shared" si="122"/>
        <v>MGY0</v>
      </c>
      <c r="Q1122" s="2" t="str">
        <f t="shared" si="123"/>
        <v>MGY0Fuel Injectors</v>
      </c>
      <c r="R1122" s="2" t="str">
        <f>New_Xref[[#This Row],[Serial Prefix]]&amp;IF(New_Xref[[#This Row],[Func Loc]]&lt;&gt;"",New_Xref[[#This Row],[Func Loc]],"NO MATCH")</f>
        <v>MGY0ENGD .FUEL.INJE</v>
      </c>
      <c r="S1122" s="3" t="str">
        <f t="shared" si="124"/>
        <v>MGY0Fuel Injectors</v>
      </c>
      <c r="T1122" s="3" t="s">
        <v>63</v>
      </c>
      <c r="U1122" s="3" t="s">
        <v>34</v>
      </c>
      <c r="V1122" t="str">
        <f t="shared" si="125"/>
        <v>125100</v>
      </c>
    </row>
    <row r="1123" spans="1:22">
      <c r="A1123" t="s">
        <v>4562</v>
      </c>
      <c r="B1123" t="s">
        <v>4563</v>
      </c>
      <c r="H1123" t="s">
        <v>4570</v>
      </c>
      <c r="I1123" t="s">
        <v>4571</v>
      </c>
      <c r="J1123" t="s">
        <v>4572</v>
      </c>
      <c r="K1123" t="s">
        <v>4571</v>
      </c>
      <c r="L1123" t="s">
        <v>67</v>
      </c>
      <c r="M1123" s="1" t="str">
        <f t="shared" si="119"/>
        <v>08R373</v>
      </c>
      <c r="N1123" s="1" t="str">
        <f t="shared" si="120"/>
        <v>C/O</v>
      </c>
      <c r="O1123" s="1" t="str">
        <f t="shared" si="121"/>
        <v>Engine Radiator</v>
      </c>
      <c r="P1123" s="1" t="str">
        <f t="shared" si="122"/>
        <v>MGY0</v>
      </c>
      <c r="Q1123" s="2" t="str">
        <f t="shared" si="123"/>
        <v>MGY0Engine Radiator</v>
      </c>
      <c r="R1123" s="2" t="str">
        <f>New_Xref[[#This Row],[Serial Prefix]]&amp;IF(New_Xref[[#This Row],[Func Loc]]&lt;&gt;"",New_Xref[[#This Row],[Func Loc]],"NO MATCH")</f>
        <v>MGY0ENGD .ENCS.RADI</v>
      </c>
      <c r="S1123" s="3" t="str">
        <f t="shared" si="124"/>
        <v>MGY0Engine Radiator</v>
      </c>
      <c r="T1123" s="3" t="s">
        <v>68</v>
      </c>
      <c r="U1123" s="3" t="s">
        <v>34</v>
      </c>
      <c r="V1123" t="str">
        <f t="shared" si="125"/>
        <v>135300</v>
      </c>
    </row>
    <row r="1124" spans="1:22">
      <c r="A1124" t="s">
        <v>4562</v>
      </c>
      <c r="B1124" t="s">
        <v>4563</v>
      </c>
      <c r="C1124" t="s">
        <v>286</v>
      </c>
      <c r="D1124" t="s">
        <v>287</v>
      </c>
      <c r="E1124" t="s">
        <v>288</v>
      </c>
      <c r="F1124" t="s">
        <v>27</v>
      </c>
      <c r="G1124">
        <v>1</v>
      </c>
      <c r="H1124" t="s">
        <v>4573</v>
      </c>
      <c r="I1124" t="s">
        <v>4565</v>
      </c>
      <c r="J1124" t="s">
        <v>4574</v>
      </c>
      <c r="K1124" t="s">
        <v>4575</v>
      </c>
      <c r="L1124" t="s">
        <v>182</v>
      </c>
      <c r="M1124" s="1" t="str">
        <f t="shared" si="119"/>
        <v>08R373</v>
      </c>
      <c r="N1124" s="1" t="str">
        <f t="shared" si="120"/>
        <v>C/O</v>
      </c>
      <c r="O1124" s="1" t="str">
        <f t="shared" si="121"/>
        <v>Water Pump Main</v>
      </c>
      <c r="P1124" s="1" t="str">
        <f t="shared" si="122"/>
        <v>MGY0</v>
      </c>
      <c r="Q1124" s="2" t="str">
        <f t="shared" si="123"/>
        <v>MGY0Water Pump Main</v>
      </c>
      <c r="R1124" s="2" t="str">
        <f>New_Xref[[#This Row],[Serial Prefix]]&amp;IF(New_Xref[[#This Row],[Func Loc]]&lt;&gt;"",New_Xref[[#This Row],[Func Loc]],"NO MATCH")</f>
        <v>MGY0ENGD .WAPU.WAPM</v>
      </c>
      <c r="S1124" s="3" t="str">
        <f t="shared" si="124"/>
        <v>MGY020R1859Water Pump Main</v>
      </c>
      <c r="T1124" s="3" t="s">
        <v>183</v>
      </c>
      <c r="U1124" s="3" t="s">
        <v>34</v>
      </c>
      <c r="V1124" t="str">
        <f t="shared" si="125"/>
        <v>136100</v>
      </c>
    </row>
    <row r="1125" spans="1:22">
      <c r="A1125" t="s">
        <v>4562</v>
      </c>
      <c r="B1125" t="s">
        <v>4563</v>
      </c>
      <c r="H1125" t="s">
        <v>4576</v>
      </c>
      <c r="I1125" t="s">
        <v>4577</v>
      </c>
      <c r="J1125" t="s">
        <v>4578</v>
      </c>
      <c r="K1125" t="s">
        <v>4577</v>
      </c>
      <c r="L1125" t="s">
        <v>187</v>
      </c>
      <c r="M1125" s="1" t="str">
        <f t="shared" si="119"/>
        <v>08R373</v>
      </c>
      <c r="N1125" s="1" t="str">
        <f t="shared" si="120"/>
        <v>C/O</v>
      </c>
      <c r="O1125" s="1" t="str">
        <f t="shared" si="121"/>
        <v>Engine Cooling Fan Motor</v>
      </c>
      <c r="P1125" s="1" t="str">
        <f t="shared" si="122"/>
        <v>MGY0</v>
      </c>
      <c r="Q1125" s="2" t="str">
        <f t="shared" si="123"/>
        <v>MGY0Engine Cooling Fan Motor</v>
      </c>
      <c r="R1125" s="2" t="str">
        <f>New_Xref[[#This Row],[Serial Prefix]]&amp;IF(New_Xref[[#This Row],[Func Loc]]&lt;&gt;"",New_Xref[[#This Row],[Func Loc]],"NO MATCH")</f>
        <v>MGY0MYHD .MOTO.ECFM</v>
      </c>
      <c r="S1125" s="3" t="str">
        <f t="shared" si="124"/>
        <v>MGY0Engine Cooling Fan Motor</v>
      </c>
      <c r="T1125" s="3" t="s">
        <v>188</v>
      </c>
      <c r="U1125" s="3" t="s">
        <v>34</v>
      </c>
      <c r="V1125" t="str">
        <f t="shared" si="125"/>
        <v>138600</v>
      </c>
    </row>
    <row r="1126" spans="1:22">
      <c r="A1126" t="s">
        <v>4562</v>
      </c>
      <c r="B1126" t="s">
        <v>4563</v>
      </c>
      <c r="H1126" t="s">
        <v>4579</v>
      </c>
      <c r="I1126" t="s">
        <v>4580</v>
      </c>
      <c r="J1126" t="s">
        <v>4581</v>
      </c>
      <c r="K1126" t="s">
        <v>4582</v>
      </c>
      <c r="L1126" t="s">
        <v>365</v>
      </c>
      <c r="M1126" s="1" t="str">
        <f t="shared" si="119"/>
        <v>08R373</v>
      </c>
      <c r="N1126" s="1" t="str">
        <f t="shared" si="120"/>
        <v>C/O</v>
      </c>
      <c r="O1126" s="1" t="str">
        <f t="shared" si="121"/>
        <v>Engine Cooling Fan Pump</v>
      </c>
      <c r="P1126" s="1" t="str">
        <f t="shared" si="122"/>
        <v>MGY0</v>
      </c>
      <c r="Q1126" s="2" t="str">
        <f t="shared" si="123"/>
        <v>MGY0Engine Cooling Fan Pump</v>
      </c>
      <c r="R1126" s="2" t="str">
        <f>New_Xref[[#This Row],[Serial Prefix]]&amp;IF(New_Xref[[#This Row],[Func Loc]]&lt;&gt;"",New_Xref[[#This Row],[Func Loc]],"NO MATCH")</f>
        <v>MGY0MYHD .PUMP.ECFP</v>
      </c>
      <c r="S1126" s="3" t="str">
        <f t="shared" si="124"/>
        <v>MGY0Engine Cooling Fan Pump</v>
      </c>
      <c r="T1126" t="s">
        <v>869</v>
      </c>
      <c r="U1126" t="s">
        <v>34</v>
      </c>
      <c r="V1126" t="str">
        <f t="shared" si="125"/>
        <v>138700</v>
      </c>
    </row>
    <row r="1127" spans="1:22">
      <c r="A1127" t="s">
        <v>4562</v>
      </c>
      <c r="B1127" t="s">
        <v>4563</v>
      </c>
      <c r="C1127" t="s">
        <v>875</v>
      </c>
      <c r="D1127" t="s">
        <v>876</v>
      </c>
      <c r="E1127" t="s">
        <v>877</v>
      </c>
      <c r="F1127" t="s">
        <v>27</v>
      </c>
      <c r="G1127">
        <v>1</v>
      </c>
      <c r="H1127" t="s">
        <v>4583</v>
      </c>
      <c r="I1127" t="s">
        <v>4565</v>
      </c>
      <c r="J1127" t="s">
        <v>4584</v>
      </c>
      <c r="K1127" t="s">
        <v>4585</v>
      </c>
      <c r="L1127" t="s">
        <v>4586</v>
      </c>
      <c r="M1127" s="1" t="str">
        <f t="shared" si="119"/>
        <v>08R373</v>
      </c>
      <c r="N1127" s="1" t="str">
        <f t="shared" si="120"/>
        <v>C/O</v>
      </c>
      <c r="O1127" s="1" t="str">
        <f t="shared" si="121"/>
        <v>Starter Motor</v>
      </c>
      <c r="P1127" s="1" t="str">
        <f t="shared" si="122"/>
        <v>MGY0</v>
      </c>
      <c r="Q1127" s="2" t="str">
        <f t="shared" si="123"/>
        <v>MGY0Starter Motor</v>
      </c>
      <c r="R1127" s="2" t="str">
        <f>New_Xref[[#This Row],[Serial Prefix]]&amp;IF(New_Xref[[#This Row],[Func Loc]]&lt;&gt;"",New_Xref[[#This Row],[Func Loc]],"NO MATCH")</f>
        <v>MGY0LVEL .STSY.STMO</v>
      </c>
      <c r="S1127" s="3" t="str">
        <f t="shared" si="124"/>
        <v>MGY020R1312Starter Motor</v>
      </c>
      <c r="T1127" s="3" t="s">
        <v>881</v>
      </c>
      <c r="U1127" s="3" t="s">
        <v>34</v>
      </c>
      <c r="V1127" t="str">
        <f t="shared" si="125"/>
        <v>145300</v>
      </c>
    </row>
    <row r="1128" spans="1:22">
      <c r="A1128" t="s">
        <v>4562</v>
      </c>
      <c r="B1128" t="s">
        <v>4563</v>
      </c>
      <c r="H1128" t="s">
        <v>4587</v>
      </c>
      <c r="I1128" t="s">
        <v>4588</v>
      </c>
      <c r="J1128" t="s">
        <v>4589</v>
      </c>
      <c r="K1128" t="s">
        <v>4588</v>
      </c>
      <c r="L1128" t="s">
        <v>72</v>
      </c>
      <c r="M1128" s="1" t="str">
        <f t="shared" si="119"/>
        <v>08R373</v>
      </c>
      <c r="N1128" s="1" t="str">
        <f t="shared" si="120"/>
        <v>C/O</v>
      </c>
      <c r="O1128" s="1" t="str">
        <f t="shared" si="121"/>
        <v>Transmission</v>
      </c>
      <c r="P1128" s="1" t="str">
        <f t="shared" si="122"/>
        <v>MGY0</v>
      </c>
      <c r="Q1128" s="2" t="str">
        <f t="shared" si="123"/>
        <v>MGY0Transmission</v>
      </c>
      <c r="R1128" s="2" t="str">
        <f>New_Xref[[#This Row],[Serial Prefix]]&amp;IF(New_Xref[[#This Row],[Func Loc]]&lt;&gt;"",New_Xref[[#This Row],[Func Loc]],"NO MATCH")</f>
        <v>MGY0TRAN .TRAN</v>
      </c>
      <c r="S1128" s="3" t="str">
        <f t="shared" si="124"/>
        <v>MGY0Transmission</v>
      </c>
      <c r="T1128" s="3" t="s">
        <v>73</v>
      </c>
      <c r="U1128" s="3" t="s">
        <v>34</v>
      </c>
      <c r="V1128" t="str">
        <f t="shared" si="125"/>
        <v>303000</v>
      </c>
    </row>
    <row r="1129" spans="1:22">
      <c r="A1129" t="s">
        <v>4562</v>
      </c>
      <c r="B1129" t="s">
        <v>4563</v>
      </c>
      <c r="C1129" t="s">
        <v>4590</v>
      </c>
      <c r="D1129" t="s">
        <v>4591</v>
      </c>
      <c r="E1129" t="s">
        <v>4592</v>
      </c>
      <c r="F1129" t="s">
        <v>27</v>
      </c>
      <c r="G1129">
        <v>1</v>
      </c>
      <c r="H1129" t="s">
        <v>4593</v>
      </c>
      <c r="I1129" t="s">
        <v>4594</v>
      </c>
      <c r="J1129" t="s">
        <v>4595</v>
      </c>
      <c r="K1129" t="s">
        <v>4594</v>
      </c>
      <c r="L1129" t="s">
        <v>4596</v>
      </c>
      <c r="M1129" s="1" t="str">
        <f t="shared" si="119"/>
        <v>08R373</v>
      </c>
      <c r="N1129" s="1" t="str">
        <f t="shared" si="120"/>
        <v>C/O</v>
      </c>
      <c r="O1129" s="1" t="str">
        <f t="shared" si="121"/>
        <v>Power Train Oil Pump</v>
      </c>
      <c r="P1129" s="1" t="str">
        <f t="shared" si="122"/>
        <v>MGY0</v>
      </c>
      <c r="Q1129" s="2" t="str">
        <f t="shared" si="123"/>
        <v>MGY0Power Train Oil Pump</v>
      </c>
      <c r="R1129" s="2" t="str">
        <f>New_Xref[[#This Row],[Serial Prefix]]&amp;IF(New_Xref[[#This Row],[Func Loc]]&lt;&gt;"",New_Xref[[#This Row],[Func Loc]],"NO MATCH")</f>
        <v>MGY0TRAN .PUMP.PTOP</v>
      </c>
      <c r="S1129" s="3" t="str">
        <f t="shared" si="124"/>
        <v>MGY030R0153Power Train Oil Pump</v>
      </c>
      <c r="T1129" s="3" t="s">
        <v>584</v>
      </c>
      <c r="U1129" s="3" t="s">
        <v>34</v>
      </c>
      <c r="V1129" t="str">
        <f t="shared" si="125"/>
        <v>306600</v>
      </c>
    </row>
    <row r="1130" spans="1:22">
      <c r="A1130" t="s">
        <v>4562</v>
      </c>
      <c r="B1130" t="s">
        <v>4563</v>
      </c>
      <c r="H1130" t="s">
        <v>4597</v>
      </c>
      <c r="I1130" t="s">
        <v>4598</v>
      </c>
      <c r="J1130" t="s">
        <v>4599</v>
      </c>
      <c r="K1130" t="s">
        <v>4598</v>
      </c>
      <c r="L1130" t="s">
        <v>304</v>
      </c>
      <c r="M1130" s="1" t="str">
        <f t="shared" si="119"/>
        <v>08R373</v>
      </c>
      <c r="N1130" s="1" t="str">
        <f t="shared" si="120"/>
        <v>C/O</v>
      </c>
      <c r="O1130" s="1" t="str">
        <f t="shared" si="121"/>
        <v>Torque Converter</v>
      </c>
      <c r="P1130" s="1" t="str">
        <f t="shared" si="122"/>
        <v>MGY0</v>
      </c>
      <c r="Q1130" s="2" t="str">
        <f t="shared" si="123"/>
        <v>MGY0Torque Converter</v>
      </c>
      <c r="R1130" s="2" t="str">
        <f>New_Xref[[#This Row],[Serial Prefix]]&amp;IF(New_Xref[[#This Row],[Func Loc]]&lt;&gt;"",New_Xref[[#This Row],[Func Loc]],"NO MATCH")</f>
        <v>MGY0TRAN .TOCO</v>
      </c>
      <c r="S1130" s="3" t="str">
        <f t="shared" si="124"/>
        <v>MGY0Torque Converter</v>
      </c>
      <c r="T1130" s="3" t="s">
        <v>305</v>
      </c>
      <c r="U1130" s="3" t="s">
        <v>34</v>
      </c>
      <c r="V1130" t="str">
        <f t="shared" si="125"/>
        <v>310100</v>
      </c>
    </row>
    <row r="1131" spans="1:22">
      <c r="A1131" t="s">
        <v>4562</v>
      </c>
      <c r="B1131" t="s">
        <v>4563</v>
      </c>
      <c r="C1131" t="s">
        <v>4600</v>
      </c>
      <c r="D1131" t="s">
        <v>4601</v>
      </c>
      <c r="E1131" t="s">
        <v>4602</v>
      </c>
      <c r="F1131" t="s">
        <v>27</v>
      </c>
      <c r="G1131">
        <v>1</v>
      </c>
      <c r="H1131" t="s">
        <v>4603</v>
      </c>
      <c r="I1131" t="s">
        <v>4604</v>
      </c>
      <c r="J1131" t="s">
        <v>4605</v>
      </c>
      <c r="K1131" t="s">
        <v>4604</v>
      </c>
      <c r="L1131" t="s">
        <v>907</v>
      </c>
      <c r="M1131" s="1" t="str">
        <f t="shared" si="119"/>
        <v>08R373</v>
      </c>
      <c r="N1131" s="1" t="str">
        <f t="shared" si="120"/>
        <v>C/O</v>
      </c>
      <c r="O1131" s="1" t="str">
        <f t="shared" si="121"/>
        <v>Final Drive LH</v>
      </c>
      <c r="P1131" s="1" t="str">
        <f t="shared" si="122"/>
        <v>MGY0</v>
      </c>
      <c r="Q1131" s="2" t="str">
        <f t="shared" si="123"/>
        <v>MGY0Final Drive LH</v>
      </c>
      <c r="R1131" s="2" t="str">
        <f>New_Xref[[#This Row],[Serial Prefix]]&amp;IF(New_Xref[[#This Row],[Func Loc]]&lt;&gt;"",New_Xref[[#This Row],[Func Loc]],"NO MATCH")</f>
        <v>MGY0FDRV .FIDR.FDLH</v>
      </c>
      <c r="S1131" s="3" t="str">
        <f t="shared" si="124"/>
        <v>MGY00R8504Final Drive LH</v>
      </c>
      <c r="T1131" s="3" t="s">
        <v>908</v>
      </c>
      <c r="U1131" s="3" t="s">
        <v>108</v>
      </c>
      <c r="V1131" t="str">
        <f t="shared" si="125"/>
        <v>4050LT</v>
      </c>
    </row>
    <row r="1132" spans="1:22">
      <c r="A1132" t="s">
        <v>4562</v>
      </c>
      <c r="B1132" t="s">
        <v>4563</v>
      </c>
      <c r="C1132" t="s">
        <v>4600</v>
      </c>
      <c r="D1132" t="s">
        <v>4601</v>
      </c>
      <c r="E1132" t="s">
        <v>4602</v>
      </c>
      <c r="F1132" t="s">
        <v>27</v>
      </c>
      <c r="G1132">
        <v>1</v>
      </c>
      <c r="H1132" t="s">
        <v>4603</v>
      </c>
      <c r="I1132" t="s">
        <v>4606</v>
      </c>
      <c r="J1132" t="s">
        <v>4607</v>
      </c>
      <c r="K1132" t="s">
        <v>4606</v>
      </c>
      <c r="L1132" t="s">
        <v>911</v>
      </c>
      <c r="M1132" s="1" t="str">
        <f t="shared" si="119"/>
        <v>08R373</v>
      </c>
      <c r="N1132" s="1" t="str">
        <f t="shared" si="120"/>
        <v>C/O</v>
      </c>
      <c r="O1132" s="1" t="str">
        <f t="shared" si="121"/>
        <v>Final Drive RH</v>
      </c>
      <c r="P1132" s="1" t="str">
        <f t="shared" si="122"/>
        <v>MGY0</v>
      </c>
      <c r="Q1132" s="2" t="str">
        <f t="shared" si="123"/>
        <v>MGY0Final Drive RH</v>
      </c>
      <c r="R1132" s="2" t="str">
        <f>New_Xref[[#This Row],[Serial Prefix]]&amp;IF(New_Xref[[#This Row],[Func Loc]]&lt;&gt;"",New_Xref[[#This Row],[Func Loc]],"NO MATCH")</f>
        <v>MGY0FDRV .FIDR.FDRH</v>
      </c>
      <c r="S1132" s="3" t="str">
        <f t="shared" si="124"/>
        <v>MGY00R8504Final Drive RH</v>
      </c>
      <c r="T1132" s="3" t="s">
        <v>908</v>
      </c>
      <c r="U1132" s="3" t="s">
        <v>115</v>
      </c>
      <c r="V1132" t="str">
        <f t="shared" si="125"/>
        <v>4050RI</v>
      </c>
    </row>
    <row r="1133" spans="1:22">
      <c r="A1133" t="s">
        <v>4562</v>
      </c>
      <c r="B1133" t="s">
        <v>4563</v>
      </c>
      <c r="C1133" t="s">
        <v>4608</v>
      </c>
      <c r="D1133" t="s">
        <v>4609</v>
      </c>
      <c r="E1133" t="s">
        <v>4610</v>
      </c>
      <c r="F1133" t="s">
        <v>27</v>
      </c>
      <c r="G1133">
        <v>1</v>
      </c>
      <c r="H1133" t="s">
        <v>4611</v>
      </c>
      <c r="I1133" t="s">
        <v>4612</v>
      </c>
      <c r="J1133" t="s">
        <v>4613</v>
      </c>
      <c r="K1133" t="s">
        <v>4614</v>
      </c>
      <c r="L1133" t="s">
        <v>4615</v>
      </c>
      <c r="M1133" s="1" t="str">
        <f t="shared" si="119"/>
        <v>08R373</v>
      </c>
      <c r="N1133" s="1" t="str">
        <f t="shared" si="120"/>
        <v>C/O</v>
      </c>
      <c r="O1133" s="1" t="str">
        <f t="shared" si="121"/>
        <v>Steering Clutch &amp; Brake LH</v>
      </c>
      <c r="P1133" s="1" t="str">
        <f t="shared" si="122"/>
        <v>MGY0</v>
      </c>
      <c r="Q1133" s="2" t="str">
        <f t="shared" si="123"/>
        <v>MGY0Steering Clutch &amp; Brake LH</v>
      </c>
      <c r="R1133" s="2" t="str">
        <f>New_Xref[[#This Row],[Serial Prefix]]&amp;IF(New_Xref[[#This Row],[Func Loc]]&lt;&gt;"",New_Xref[[#This Row],[Func Loc]],"NO MATCH")</f>
        <v>MGY0BRSS .SCBA.SCLH</v>
      </c>
      <c r="S1133" s="3" t="str">
        <f t="shared" si="124"/>
        <v>MGY05710489XSteering Clutch &amp; Brake LH</v>
      </c>
      <c r="T1133" t="s">
        <v>4616</v>
      </c>
      <c r="U1133" t="s">
        <v>108</v>
      </c>
      <c r="V1133" t="str">
        <f t="shared" si="125"/>
        <v>4100LT</v>
      </c>
    </row>
    <row r="1134" spans="1:22">
      <c r="A1134" t="s">
        <v>4562</v>
      </c>
      <c r="B1134" t="s">
        <v>4563</v>
      </c>
      <c r="C1134" t="s">
        <v>4608</v>
      </c>
      <c r="D1134" t="s">
        <v>4609</v>
      </c>
      <c r="E1134" t="s">
        <v>4610</v>
      </c>
      <c r="F1134" t="s">
        <v>27</v>
      </c>
      <c r="G1134">
        <v>1</v>
      </c>
      <c r="H1134" t="s">
        <v>4611</v>
      </c>
      <c r="I1134" t="s">
        <v>4617</v>
      </c>
      <c r="J1134" t="s">
        <v>4618</v>
      </c>
      <c r="K1134" t="s">
        <v>4619</v>
      </c>
      <c r="L1134" t="s">
        <v>4620</v>
      </c>
      <c r="M1134" s="1" t="str">
        <f t="shared" si="119"/>
        <v>08R373</v>
      </c>
      <c r="N1134" s="1" t="str">
        <f t="shared" si="120"/>
        <v>C/O</v>
      </c>
      <c r="O1134" s="1" t="str">
        <f t="shared" si="121"/>
        <v>Steering Clutch &amp; Brake RH</v>
      </c>
      <c r="P1134" s="1" t="str">
        <f t="shared" si="122"/>
        <v>MGY0</v>
      </c>
      <c r="Q1134" s="2" t="str">
        <f t="shared" si="123"/>
        <v>MGY0Steering Clutch &amp; Brake RH</v>
      </c>
      <c r="R1134" s="2" t="str">
        <f>New_Xref[[#This Row],[Serial Prefix]]&amp;IF(New_Xref[[#This Row],[Func Loc]]&lt;&gt;"",New_Xref[[#This Row],[Func Loc]],"NO MATCH")</f>
        <v>MGY0BRSS .SCBA.SCRH</v>
      </c>
      <c r="S1134" s="3" t="str">
        <f t="shared" si="124"/>
        <v>MGY05710489XSteering Clutch &amp; Brake RH</v>
      </c>
      <c r="T1134" t="s">
        <v>4616</v>
      </c>
      <c r="U1134" t="s">
        <v>115</v>
      </c>
      <c r="V1134" t="str">
        <f t="shared" si="125"/>
        <v>4100RI</v>
      </c>
    </row>
    <row r="1135" spans="1:22">
      <c r="A1135" t="s">
        <v>4562</v>
      </c>
      <c r="B1135" t="s">
        <v>4563</v>
      </c>
      <c r="C1135" t="s">
        <v>4621</v>
      </c>
      <c r="D1135" t="s">
        <v>4622</v>
      </c>
      <c r="E1135" t="s">
        <v>4623</v>
      </c>
      <c r="F1135" t="s">
        <v>27</v>
      </c>
      <c r="G1135">
        <v>1</v>
      </c>
      <c r="H1135" t="s">
        <v>4624</v>
      </c>
      <c r="I1135" t="s">
        <v>4625</v>
      </c>
      <c r="J1135" t="s">
        <v>4626</v>
      </c>
      <c r="K1135" t="s">
        <v>4625</v>
      </c>
      <c r="L1135" t="s">
        <v>4627</v>
      </c>
      <c r="M1135" s="1" t="str">
        <f t="shared" si="119"/>
        <v>08R373</v>
      </c>
      <c r="N1135" s="1" t="str">
        <f t="shared" si="120"/>
        <v>C/O</v>
      </c>
      <c r="O1135" s="1" t="str">
        <f t="shared" si="121"/>
        <v>Track Frame LH</v>
      </c>
      <c r="P1135" s="1" t="str">
        <f t="shared" si="122"/>
        <v>MGY0</v>
      </c>
      <c r="Q1135" s="2" t="str">
        <f t="shared" si="123"/>
        <v>MGY0Track Frame LH</v>
      </c>
      <c r="R1135" s="2" t="str">
        <f>New_Xref[[#This Row],[Serial Prefix]]&amp;IF(New_Xref[[#This Row],[Func Loc]]&lt;&gt;"",New_Xref[[#This Row],[Func Loc]],"NO MATCH")</f>
        <v>MGY0STRU .TFLH</v>
      </c>
      <c r="S1135" s="3" t="str">
        <f t="shared" si="124"/>
        <v>MGY03643803FTrack Frame LH</v>
      </c>
      <c r="T1135" s="3" t="s">
        <v>4628</v>
      </c>
      <c r="U1135" s="3" t="s">
        <v>108</v>
      </c>
      <c r="V1135" t="str">
        <f t="shared" si="125"/>
        <v>4150LT</v>
      </c>
    </row>
    <row r="1136" spans="1:22">
      <c r="A1136" t="s">
        <v>4562</v>
      </c>
      <c r="B1136" t="s">
        <v>4563</v>
      </c>
      <c r="C1136" t="s">
        <v>4629</v>
      </c>
      <c r="D1136" t="s">
        <v>4630</v>
      </c>
      <c r="E1136" t="s">
        <v>4623</v>
      </c>
      <c r="F1136" t="s">
        <v>27</v>
      </c>
      <c r="G1136">
        <v>1</v>
      </c>
      <c r="H1136" t="s">
        <v>4631</v>
      </c>
      <c r="I1136" t="s">
        <v>4632</v>
      </c>
      <c r="J1136" t="s">
        <v>4633</v>
      </c>
      <c r="K1136" t="s">
        <v>4632</v>
      </c>
      <c r="L1136" t="s">
        <v>4634</v>
      </c>
      <c r="M1136" s="1" t="str">
        <f t="shared" si="119"/>
        <v>08R373</v>
      </c>
      <c r="N1136" s="1" t="str">
        <f t="shared" si="120"/>
        <v>C/O</v>
      </c>
      <c r="O1136" s="1" t="str">
        <f t="shared" si="121"/>
        <v>Track Frame RH</v>
      </c>
      <c r="P1136" s="1" t="str">
        <f t="shared" si="122"/>
        <v>MGY0</v>
      </c>
      <c r="Q1136" s="2" t="str">
        <f t="shared" si="123"/>
        <v>MGY0Track Frame RH</v>
      </c>
      <c r="R1136" s="2" t="str">
        <f>New_Xref[[#This Row],[Serial Prefix]]&amp;IF(New_Xref[[#This Row],[Func Loc]]&lt;&gt;"",New_Xref[[#This Row],[Func Loc]],"NO MATCH")</f>
        <v>MGY0STRU .TFRH</v>
      </c>
      <c r="S1136" s="3" t="str">
        <f t="shared" si="124"/>
        <v>MGY03643802FTrack Frame RH</v>
      </c>
      <c r="T1136" s="3" t="s">
        <v>4628</v>
      </c>
      <c r="U1136" s="3" t="s">
        <v>115</v>
      </c>
      <c r="V1136" t="str">
        <f t="shared" si="125"/>
        <v>4150RI</v>
      </c>
    </row>
    <row r="1137" spans="1:22">
      <c r="A1137" t="s">
        <v>4562</v>
      </c>
      <c r="B1137" t="s">
        <v>4563</v>
      </c>
      <c r="C1137" t="s">
        <v>4635</v>
      </c>
      <c r="D1137" t="s">
        <v>4636</v>
      </c>
      <c r="E1137" t="s">
        <v>4637</v>
      </c>
      <c r="F1137" t="s">
        <v>27</v>
      </c>
      <c r="G1137">
        <v>1</v>
      </c>
      <c r="H1137" t="s">
        <v>4638</v>
      </c>
      <c r="I1137" t="s">
        <v>4639</v>
      </c>
      <c r="J1137" t="s">
        <v>4640</v>
      </c>
      <c r="K1137" t="s">
        <v>4639</v>
      </c>
      <c r="L1137" t="s">
        <v>4641</v>
      </c>
      <c r="M1137" s="1" t="str">
        <f t="shared" si="119"/>
        <v>08R373</v>
      </c>
      <c r="N1137" s="1" t="str">
        <f t="shared" si="120"/>
        <v>C/O</v>
      </c>
      <c r="O1137" s="1" t="str">
        <f t="shared" si="121"/>
        <v>Pivot Shaft</v>
      </c>
      <c r="P1137" s="1" t="str">
        <f t="shared" si="122"/>
        <v>MGY0</v>
      </c>
      <c r="Q1137" s="2" t="str">
        <f t="shared" si="123"/>
        <v>MGY0Pivot Shaft</v>
      </c>
      <c r="R1137" s="2" t="str">
        <f>New_Xref[[#This Row],[Serial Prefix]]&amp;IF(New_Xref[[#This Row],[Func Loc]]&lt;&gt;"",New_Xref[[#This Row],[Func Loc]],"NO MATCH")</f>
        <v>MGY0STRU .CHAS.PISH</v>
      </c>
      <c r="S1137" s="3" t="str">
        <f t="shared" si="124"/>
        <v>MGY010R9167Pivot Shaft</v>
      </c>
      <c r="T1137" s="3" t="s">
        <v>4642</v>
      </c>
      <c r="U1137" s="3" t="s">
        <v>34</v>
      </c>
      <c r="V1137" t="str">
        <f t="shared" si="125"/>
        <v>415300</v>
      </c>
    </row>
    <row r="1138" spans="1:22">
      <c r="A1138" t="s">
        <v>4562</v>
      </c>
      <c r="B1138" t="s">
        <v>4563</v>
      </c>
      <c r="C1138" t="s">
        <v>4643</v>
      </c>
      <c r="D1138" t="s">
        <v>4644</v>
      </c>
      <c r="E1138" t="s">
        <v>4645</v>
      </c>
      <c r="F1138" t="s">
        <v>27</v>
      </c>
      <c r="G1138">
        <v>1</v>
      </c>
      <c r="H1138" t="s">
        <v>4646</v>
      </c>
      <c r="I1138" t="s">
        <v>4647</v>
      </c>
      <c r="J1138" t="s">
        <v>4648</v>
      </c>
      <c r="K1138" t="s">
        <v>4647</v>
      </c>
      <c r="L1138" t="s">
        <v>83</v>
      </c>
      <c r="M1138" s="1" t="str">
        <f t="shared" si="119"/>
        <v>08R373</v>
      </c>
      <c r="N1138" s="1" t="str">
        <f t="shared" si="120"/>
        <v>C/O</v>
      </c>
      <c r="O1138" s="1" t="str">
        <f t="shared" si="121"/>
        <v>Implement Pump 1</v>
      </c>
      <c r="P1138" s="1" t="str">
        <f t="shared" si="122"/>
        <v>MGY0</v>
      </c>
      <c r="Q1138" s="2" t="str">
        <f t="shared" si="123"/>
        <v>MGY0Implement Pump 1</v>
      </c>
      <c r="R1138" s="2" t="str">
        <f>New_Xref[[#This Row],[Serial Prefix]]&amp;IF(New_Xref[[#This Row],[Func Loc]]&lt;&gt;"",New_Xref[[#This Row],[Func Loc]],"NO MATCH")</f>
        <v>MGY0NO MATCH</v>
      </c>
      <c r="S1138" s="3" t="str">
        <f t="shared" si="124"/>
        <v>MGY020R9385Implement Pump 1</v>
      </c>
      <c r="T1138" s="3" t="s">
        <v>220</v>
      </c>
      <c r="U1138" s="3" t="s">
        <v>34</v>
      </c>
      <c r="V1138" t="str">
        <f t="shared" si="125"/>
        <v>507000</v>
      </c>
    </row>
    <row r="1139" spans="1:22">
      <c r="A1139" t="s">
        <v>4562</v>
      </c>
      <c r="B1139" t="s">
        <v>4563</v>
      </c>
      <c r="C1139" t="s">
        <v>4649</v>
      </c>
      <c r="D1139" t="s">
        <v>4650</v>
      </c>
      <c r="E1139" t="s">
        <v>4645</v>
      </c>
      <c r="F1139" t="s">
        <v>27</v>
      </c>
      <c r="G1139">
        <v>1</v>
      </c>
      <c r="H1139" t="s">
        <v>4651</v>
      </c>
      <c r="I1139" t="s">
        <v>4652</v>
      </c>
      <c r="J1139" t="s">
        <v>4653</v>
      </c>
      <c r="K1139" t="s">
        <v>4652</v>
      </c>
      <c r="L1139" t="s">
        <v>83</v>
      </c>
      <c r="M1139" s="1" t="str">
        <f t="shared" si="119"/>
        <v>08R373</v>
      </c>
      <c r="N1139" s="1" t="str">
        <f t="shared" si="120"/>
        <v>C/O</v>
      </c>
      <c r="O1139" s="1" t="str">
        <f t="shared" si="121"/>
        <v>Implement Pump 2</v>
      </c>
      <c r="P1139" s="1" t="str">
        <f t="shared" si="122"/>
        <v>MGY0</v>
      </c>
      <c r="Q1139" s="2" t="str">
        <f t="shared" si="123"/>
        <v>MGY0Implement Pump 2</v>
      </c>
      <c r="R1139" s="2" t="str">
        <f>New_Xref[[#This Row],[Serial Prefix]]&amp;IF(New_Xref[[#This Row],[Func Loc]]&lt;&gt;"",New_Xref[[#This Row],[Func Loc]],"NO MATCH")</f>
        <v>MGY0NO MATCH</v>
      </c>
      <c r="S1139" s="3" t="str">
        <f t="shared" si="124"/>
        <v>MGY020R9389Implement Pump 2</v>
      </c>
      <c r="T1139" s="3" t="s">
        <v>220</v>
      </c>
      <c r="U1139" s="3" t="s">
        <v>34</v>
      </c>
      <c r="V1139" t="str">
        <f t="shared" si="125"/>
        <v>507000</v>
      </c>
    </row>
    <row r="1140" spans="1:22">
      <c r="A1140" t="s">
        <v>4562</v>
      </c>
      <c r="B1140" t="s">
        <v>4563</v>
      </c>
      <c r="C1140" t="s">
        <v>4654</v>
      </c>
      <c r="D1140" t="s">
        <v>4655</v>
      </c>
      <c r="E1140" t="s">
        <v>4656</v>
      </c>
      <c r="F1140" t="s">
        <v>27</v>
      </c>
      <c r="G1140">
        <v>1</v>
      </c>
      <c r="H1140" t="s">
        <v>4657</v>
      </c>
      <c r="I1140" t="s">
        <v>4658</v>
      </c>
      <c r="J1140" t="s">
        <v>4659</v>
      </c>
      <c r="K1140" t="s">
        <v>4658</v>
      </c>
      <c r="L1140" t="s">
        <v>129</v>
      </c>
      <c r="M1140" s="1" t="str">
        <f t="shared" si="119"/>
        <v>08R373</v>
      </c>
      <c r="N1140" s="1" t="str">
        <f t="shared" si="120"/>
        <v>C/O</v>
      </c>
      <c r="O1140" s="1" t="str">
        <f t="shared" si="121"/>
        <v>Blade Lift Cylinder LH</v>
      </c>
      <c r="P1140" s="1" t="str">
        <f t="shared" si="122"/>
        <v>MGY0</v>
      </c>
      <c r="Q1140" s="2" t="str">
        <f t="shared" si="123"/>
        <v>MGY0Blade Lift Cylinder LH</v>
      </c>
      <c r="R1140" s="2" t="str">
        <f>New_Xref[[#This Row],[Serial Prefix]]&amp;IF(New_Xref[[#This Row],[Func Loc]]&lt;&gt;"",New_Xref[[#This Row],[Func Loc]],"NO MATCH")</f>
        <v>MGY0MYHD .CYLI.BLLL</v>
      </c>
      <c r="S1140" s="3" t="str">
        <f t="shared" si="124"/>
        <v>MGY05701651XBlade Lift Cylinder LH</v>
      </c>
      <c r="T1140" s="3" t="s">
        <v>130</v>
      </c>
      <c r="U1140" s="3" t="s">
        <v>108</v>
      </c>
      <c r="V1140" t="str">
        <f t="shared" si="125"/>
        <v>5102LT</v>
      </c>
    </row>
    <row r="1141" spans="1:22">
      <c r="A1141" t="s">
        <v>4562</v>
      </c>
      <c r="B1141" t="s">
        <v>4563</v>
      </c>
      <c r="C1141" t="s">
        <v>4660</v>
      </c>
      <c r="D1141" t="s">
        <v>4661</v>
      </c>
      <c r="E1141" t="s">
        <v>4662</v>
      </c>
      <c r="F1141" t="s">
        <v>27</v>
      </c>
      <c r="G1141">
        <v>1</v>
      </c>
      <c r="H1141" t="s">
        <v>4663</v>
      </c>
      <c r="I1141" t="s">
        <v>4664</v>
      </c>
      <c r="J1141" t="s">
        <v>4665</v>
      </c>
      <c r="K1141" t="s">
        <v>4664</v>
      </c>
      <c r="L1141" t="s">
        <v>375</v>
      </c>
      <c r="M1141" s="1" t="str">
        <f t="shared" si="119"/>
        <v>08R373</v>
      </c>
      <c r="N1141" s="1" t="str">
        <f t="shared" si="120"/>
        <v>C/O</v>
      </c>
      <c r="O1141" s="1" t="str">
        <f t="shared" si="121"/>
        <v>Blade Tilt Cylinder LH</v>
      </c>
      <c r="P1141" s="1" t="str">
        <f t="shared" si="122"/>
        <v>MGY0</v>
      </c>
      <c r="Q1141" s="2" t="str">
        <f t="shared" si="123"/>
        <v>MGY0Blade Tilt Cylinder LH</v>
      </c>
      <c r="R1141" s="2" t="str">
        <f>New_Xref[[#This Row],[Serial Prefix]]&amp;IF(New_Xref[[#This Row],[Func Loc]]&lt;&gt;"",New_Xref[[#This Row],[Func Loc]],"NO MATCH")</f>
        <v>MGY0MYHD .CYLI.BLTL</v>
      </c>
      <c r="S1141" s="3" t="str">
        <f t="shared" si="124"/>
        <v>MGY05772492XBlade Tilt Cylinder LH</v>
      </c>
      <c r="T1141" s="3" t="s">
        <v>638</v>
      </c>
      <c r="U1141" s="3" t="s">
        <v>108</v>
      </c>
      <c r="V1141" t="str">
        <f t="shared" si="125"/>
        <v>5104LT</v>
      </c>
    </row>
    <row r="1142" spans="1:22">
      <c r="A1142" t="s">
        <v>4562</v>
      </c>
      <c r="B1142" t="s">
        <v>4563</v>
      </c>
      <c r="H1142" t="s">
        <v>4663</v>
      </c>
      <c r="I1142" t="s">
        <v>4666</v>
      </c>
      <c r="J1142" t="s">
        <v>4667</v>
      </c>
      <c r="K1142" t="s">
        <v>4666</v>
      </c>
      <c r="L1142" t="s">
        <v>378</v>
      </c>
      <c r="M1142" s="1" t="str">
        <f t="shared" si="119"/>
        <v>08R373</v>
      </c>
      <c r="N1142" s="1" t="str">
        <f t="shared" si="120"/>
        <v>C/O</v>
      </c>
      <c r="O1142" s="1" t="str">
        <f t="shared" si="121"/>
        <v>Blade Tilt Cylinder RH</v>
      </c>
      <c r="P1142" s="1" t="str">
        <f t="shared" si="122"/>
        <v>MGY0</v>
      </c>
      <c r="Q1142" s="2" t="str">
        <f t="shared" si="123"/>
        <v>MGY0Blade Tilt Cylinder RH</v>
      </c>
      <c r="R1142" s="2" t="str">
        <f>New_Xref[[#This Row],[Serial Prefix]]&amp;IF(New_Xref[[#This Row],[Func Loc]]&lt;&gt;"",New_Xref[[#This Row],[Func Loc]],"NO MATCH")</f>
        <v>MGY0MYHD .CYLI.BLTR</v>
      </c>
      <c r="S1142" s="3" t="str">
        <f t="shared" si="124"/>
        <v>MGY0Blade Tilt Cylinder RH</v>
      </c>
      <c r="T1142" s="3" t="s">
        <v>638</v>
      </c>
      <c r="U1142" s="3" t="s">
        <v>115</v>
      </c>
      <c r="V1142" t="str">
        <f t="shared" si="125"/>
        <v>5104RI</v>
      </c>
    </row>
    <row r="1143" spans="1:22">
      <c r="A1143" t="s">
        <v>4562</v>
      </c>
      <c r="B1143" t="s">
        <v>4563</v>
      </c>
      <c r="C1143" t="s">
        <v>4668</v>
      </c>
      <c r="D1143" t="s">
        <v>4669</v>
      </c>
      <c r="E1143" t="s">
        <v>4670</v>
      </c>
      <c r="F1143" t="s">
        <v>27</v>
      </c>
      <c r="G1143">
        <v>1</v>
      </c>
      <c r="H1143" t="s">
        <v>4671</v>
      </c>
      <c r="I1143" t="s">
        <v>4672</v>
      </c>
      <c r="J1143" t="s">
        <v>4673</v>
      </c>
      <c r="K1143" t="s">
        <v>4672</v>
      </c>
      <c r="L1143" t="s">
        <v>2092</v>
      </c>
      <c r="M1143" s="1" t="str">
        <f t="shared" si="119"/>
        <v>08R373</v>
      </c>
      <c r="N1143" s="1" t="str">
        <f t="shared" si="120"/>
        <v>C/O</v>
      </c>
      <c r="O1143" s="1" t="str">
        <f t="shared" si="121"/>
        <v>Ripper Lift Cylinder LH</v>
      </c>
      <c r="P1143" s="1" t="str">
        <f t="shared" si="122"/>
        <v>MGY0</v>
      </c>
      <c r="Q1143" s="2" t="str">
        <f t="shared" si="123"/>
        <v>MGY0Ripper Lift Cylinder LH</v>
      </c>
      <c r="R1143" s="2" t="str">
        <f>New_Xref[[#This Row],[Serial Prefix]]&amp;IF(New_Xref[[#This Row],[Func Loc]]&lt;&gt;"",New_Xref[[#This Row],[Func Loc]],"NO MATCH")</f>
        <v>MGY0MYHD .CYLI.RILL</v>
      </c>
      <c r="S1143" s="3" t="str">
        <f t="shared" si="124"/>
        <v>MGY05713851XRipper Lift Cylinder LH</v>
      </c>
      <c r="T1143" s="3" t="s">
        <v>246</v>
      </c>
      <c r="U1143" s="3" t="s">
        <v>108</v>
      </c>
      <c r="V1143" t="str">
        <f t="shared" si="125"/>
        <v>5352LT</v>
      </c>
    </row>
    <row r="1144" spans="1:22">
      <c r="A1144" t="s">
        <v>4562</v>
      </c>
      <c r="B1144" t="s">
        <v>4563</v>
      </c>
      <c r="C1144" t="s">
        <v>4674</v>
      </c>
      <c r="D1144" t="s">
        <v>4675</v>
      </c>
      <c r="E1144" t="s">
        <v>4670</v>
      </c>
      <c r="F1144" t="s">
        <v>27</v>
      </c>
      <c r="G1144">
        <v>1</v>
      </c>
      <c r="H1144" t="s">
        <v>4676</v>
      </c>
      <c r="I1144" t="s">
        <v>4677</v>
      </c>
      <c r="J1144" t="s">
        <v>4678</v>
      </c>
      <c r="K1144" t="s">
        <v>4677</v>
      </c>
      <c r="L1144" t="s">
        <v>1923</v>
      </c>
      <c r="M1144" s="1" t="str">
        <f t="shared" si="119"/>
        <v>08R373</v>
      </c>
      <c r="N1144" s="1" t="str">
        <f t="shared" si="120"/>
        <v>C/O</v>
      </c>
      <c r="O1144" s="1" t="str">
        <f t="shared" si="121"/>
        <v>Ripper Lift Cylinder RH</v>
      </c>
      <c r="P1144" s="1" t="str">
        <f t="shared" si="122"/>
        <v>MGY0</v>
      </c>
      <c r="Q1144" s="2" t="str">
        <f t="shared" si="123"/>
        <v>MGY0Ripper Lift Cylinder RH</v>
      </c>
      <c r="R1144" s="2" t="str">
        <f>New_Xref[[#This Row],[Serial Prefix]]&amp;IF(New_Xref[[#This Row],[Func Loc]]&lt;&gt;"",New_Xref[[#This Row],[Func Loc]],"NO MATCH")</f>
        <v>MGY0MYHD .CYLI.RILR</v>
      </c>
      <c r="S1144" s="3" t="str">
        <f t="shared" si="124"/>
        <v>MGY05713853XRipper Lift Cylinder RH</v>
      </c>
      <c r="T1144" s="3" t="s">
        <v>246</v>
      </c>
      <c r="U1144" s="3" t="s">
        <v>115</v>
      </c>
      <c r="V1144" t="str">
        <f t="shared" si="125"/>
        <v>5352RI</v>
      </c>
    </row>
    <row r="1145" spans="1:22">
      <c r="A1145" t="s">
        <v>4562</v>
      </c>
      <c r="B1145" t="s">
        <v>4563</v>
      </c>
      <c r="C1145" t="s">
        <v>4679</v>
      </c>
      <c r="D1145" t="s">
        <v>4680</v>
      </c>
      <c r="E1145" t="s">
        <v>4670</v>
      </c>
      <c r="F1145" t="s">
        <v>27</v>
      </c>
      <c r="G1145">
        <v>1</v>
      </c>
      <c r="H1145" t="s">
        <v>4681</v>
      </c>
      <c r="I1145" t="s">
        <v>4682</v>
      </c>
      <c r="J1145" t="s">
        <v>4683</v>
      </c>
      <c r="K1145" t="s">
        <v>4682</v>
      </c>
      <c r="L1145" t="s">
        <v>4684</v>
      </c>
      <c r="M1145" s="1" t="str">
        <f t="shared" si="119"/>
        <v>08R373</v>
      </c>
      <c r="N1145" s="1" t="str">
        <f t="shared" si="120"/>
        <v>C/O</v>
      </c>
      <c r="O1145" s="1" t="str">
        <f t="shared" si="121"/>
        <v>Ripper Tilt Cylinder LH</v>
      </c>
      <c r="P1145" s="1" t="str">
        <f t="shared" si="122"/>
        <v>MGY0</v>
      </c>
      <c r="Q1145" s="2" t="str">
        <f t="shared" si="123"/>
        <v>MGY0Ripper Tilt Cylinder LH</v>
      </c>
      <c r="R1145" s="2" t="str">
        <f>New_Xref[[#This Row],[Serial Prefix]]&amp;IF(New_Xref[[#This Row],[Func Loc]]&lt;&gt;"",New_Xref[[#This Row],[Func Loc]],"NO MATCH")</f>
        <v>MGY0MYHD .CYLI.RITL</v>
      </c>
      <c r="S1145" s="3" t="str">
        <f t="shared" si="124"/>
        <v>MGY05713990XRipper Tilt Cylinder LH</v>
      </c>
      <c r="T1145" s="3" t="s">
        <v>4685</v>
      </c>
      <c r="U1145" s="3" t="s">
        <v>108</v>
      </c>
      <c r="V1145" t="str">
        <f t="shared" si="125"/>
        <v>5356LT</v>
      </c>
    </row>
    <row r="1146" spans="1:22">
      <c r="A1146" t="s">
        <v>4562</v>
      </c>
      <c r="B1146" t="s">
        <v>4563</v>
      </c>
      <c r="H1146" t="s">
        <v>4681</v>
      </c>
      <c r="I1146" t="s">
        <v>4686</v>
      </c>
      <c r="J1146" t="s">
        <v>4687</v>
      </c>
      <c r="K1146" t="s">
        <v>4686</v>
      </c>
      <c r="L1146" t="s">
        <v>4688</v>
      </c>
      <c r="M1146" s="1" t="str">
        <f t="shared" si="119"/>
        <v>08R373</v>
      </c>
      <c r="N1146" s="1" t="str">
        <f t="shared" si="120"/>
        <v>C/O</v>
      </c>
      <c r="O1146" s="1" t="str">
        <f t="shared" si="121"/>
        <v>Ripper Tilt Cylinder RH</v>
      </c>
      <c r="P1146" s="1" t="str">
        <f t="shared" si="122"/>
        <v>MGY0</v>
      </c>
      <c r="Q1146" s="2" t="str">
        <f t="shared" si="123"/>
        <v>MGY0Ripper Tilt Cylinder RH</v>
      </c>
      <c r="R1146" s="2" t="str">
        <f>New_Xref[[#This Row],[Serial Prefix]]&amp;IF(New_Xref[[#This Row],[Func Loc]]&lt;&gt;"",New_Xref[[#This Row],[Func Loc]],"NO MATCH")</f>
        <v>MGY0MYHD .CYLI.RITR</v>
      </c>
      <c r="S1146" s="3" t="str">
        <f t="shared" si="124"/>
        <v>MGY0Ripper Tilt Cylinder RH</v>
      </c>
      <c r="T1146" s="3" t="s">
        <v>4685</v>
      </c>
      <c r="U1146" s="3" t="s">
        <v>115</v>
      </c>
      <c r="V1146" t="str">
        <f t="shared" si="125"/>
        <v>5356RI</v>
      </c>
    </row>
    <row r="1147" spans="1:22">
      <c r="A1147" t="s">
        <v>4689</v>
      </c>
      <c r="B1147" t="s">
        <v>4690</v>
      </c>
      <c r="C1147" t="s">
        <v>4691</v>
      </c>
      <c r="D1147" t="s">
        <v>4692</v>
      </c>
      <c r="E1147" t="s">
        <v>4693</v>
      </c>
      <c r="F1147" t="s">
        <v>27</v>
      </c>
      <c r="G1147">
        <v>1</v>
      </c>
      <c r="H1147" t="s">
        <v>4694</v>
      </c>
      <c r="I1147" t="s">
        <v>4695</v>
      </c>
      <c r="J1147" t="s">
        <v>4696</v>
      </c>
      <c r="K1147" t="s">
        <v>4697</v>
      </c>
      <c r="L1147" t="s">
        <v>32</v>
      </c>
      <c r="M1147" s="1" t="str">
        <f t="shared" si="119"/>
        <v>08D3</v>
      </c>
      <c r="N1147" s="1" t="str">
        <f t="shared" si="120"/>
        <v>C/O</v>
      </c>
      <c r="O1147" s="1" t="str">
        <f t="shared" si="121"/>
        <v>Engine</v>
      </c>
      <c r="P1147" s="1" t="str">
        <f t="shared" si="122"/>
        <v>RJG0</v>
      </c>
      <c r="Q1147" s="2" t="str">
        <f t="shared" si="123"/>
        <v>RJG0Engine</v>
      </c>
      <c r="R1147" s="2" t="str">
        <f>New_Xref[[#This Row],[Serial Prefix]]&amp;IF(New_Xref[[#This Row],[Func Loc]]&lt;&gt;"",New_Xref[[#This Row],[Func Loc]],"NO MATCH")</f>
        <v>RJG0ENGD</v>
      </c>
      <c r="S1147" s="3" t="str">
        <f t="shared" si="124"/>
        <v>RJG02712219XEngine</v>
      </c>
      <c r="T1147" s="3" t="s">
        <v>33</v>
      </c>
      <c r="U1147" s="3" t="s">
        <v>34</v>
      </c>
      <c r="V1147" t="str">
        <f t="shared" si="125"/>
        <v>100000</v>
      </c>
    </row>
    <row r="1148" spans="1:22">
      <c r="A1148" t="s">
        <v>4689</v>
      </c>
      <c r="B1148" t="s">
        <v>4690</v>
      </c>
      <c r="C1148" t="s">
        <v>4698</v>
      </c>
      <c r="D1148" t="s">
        <v>4699</v>
      </c>
      <c r="E1148" t="s">
        <v>263</v>
      </c>
      <c r="F1148" t="s">
        <v>27</v>
      </c>
      <c r="G1148">
        <v>1</v>
      </c>
      <c r="H1148" t="s">
        <v>4700</v>
      </c>
      <c r="I1148" t="s">
        <v>4695</v>
      </c>
      <c r="J1148" t="s">
        <v>4701</v>
      </c>
      <c r="K1148" t="s">
        <v>4702</v>
      </c>
      <c r="L1148" t="s">
        <v>267</v>
      </c>
      <c r="M1148" s="1" t="str">
        <f t="shared" si="119"/>
        <v>08D3</v>
      </c>
      <c r="N1148" s="1" t="str">
        <f t="shared" si="120"/>
        <v>C/O</v>
      </c>
      <c r="O1148" s="1" t="str">
        <f t="shared" si="121"/>
        <v>Turbocharger LH</v>
      </c>
      <c r="P1148" s="1" t="str">
        <f t="shared" si="122"/>
        <v>RJG0</v>
      </c>
      <c r="Q1148" s="2" t="str">
        <f t="shared" si="123"/>
        <v>RJG0Turbocharger LH</v>
      </c>
      <c r="R1148" s="2" t="str">
        <f>New_Xref[[#This Row],[Serial Prefix]]&amp;IF(New_Xref[[#This Row],[Func Loc]]&lt;&gt;"",New_Xref[[#This Row],[Func Loc]],"NO MATCH")</f>
        <v>RJG0ENGD .TURB.TULH</v>
      </c>
      <c r="S1148" s="3" t="str">
        <f t="shared" si="124"/>
        <v>RJG010R2075Turbocharger LH</v>
      </c>
      <c r="T1148" s="3" t="s">
        <v>47</v>
      </c>
      <c r="U1148" s="3" t="s">
        <v>108</v>
      </c>
      <c r="V1148" t="str">
        <f t="shared" si="125"/>
        <v>1052LT</v>
      </c>
    </row>
    <row r="1149" spans="1:22">
      <c r="A1149" t="s">
        <v>4689</v>
      </c>
      <c r="B1149" t="s">
        <v>4690</v>
      </c>
      <c r="C1149" t="s">
        <v>4698</v>
      </c>
      <c r="D1149" t="s">
        <v>4699</v>
      </c>
      <c r="E1149" t="s">
        <v>263</v>
      </c>
      <c r="F1149" t="s">
        <v>27</v>
      </c>
      <c r="G1149">
        <v>1</v>
      </c>
      <c r="H1149" t="s">
        <v>4700</v>
      </c>
      <c r="I1149" t="s">
        <v>4695</v>
      </c>
      <c r="J1149" t="s">
        <v>4703</v>
      </c>
      <c r="K1149" t="s">
        <v>4704</v>
      </c>
      <c r="L1149" t="s">
        <v>273</v>
      </c>
      <c r="M1149" s="1" t="str">
        <f t="shared" si="119"/>
        <v>08D3</v>
      </c>
      <c r="N1149" s="1" t="str">
        <f t="shared" si="120"/>
        <v>C/O</v>
      </c>
      <c r="O1149" s="1" t="str">
        <f t="shared" si="121"/>
        <v>Turbocharger RH</v>
      </c>
      <c r="P1149" s="1" t="str">
        <f t="shared" si="122"/>
        <v>RJG0</v>
      </c>
      <c r="Q1149" s="2" t="str">
        <f t="shared" si="123"/>
        <v>RJG0Turbocharger RH</v>
      </c>
      <c r="R1149" s="2" t="str">
        <f>New_Xref[[#This Row],[Serial Prefix]]&amp;IF(New_Xref[[#This Row],[Func Loc]]&lt;&gt;"",New_Xref[[#This Row],[Func Loc]],"NO MATCH")</f>
        <v>RJG0ENGD .TURB.TURH</v>
      </c>
      <c r="S1149" s="3" t="str">
        <f t="shared" si="124"/>
        <v>RJG010R2075Turbocharger RH</v>
      </c>
      <c r="T1149" s="3" t="s">
        <v>47</v>
      </c>
      <c r="U1149" s="3" t="s">
        <v>115</v>
      </c>
      <c r="V1149" t="str">
        <f t="shared" si="125"/>
        <v>1052RI</v>
      </c>
    </row>
    <row r="1150" spans="1:22">
      <c r="A1150" t="s">
        <v>4689</v>
      </c>
      <c r="B1150" t="s">
        <v>4690</v>
      </c>
      <c r="C1150" t="s">
        <v>274</v>
      </c>
      <c r="D1150" t="s">
        <v>275</v>
      </c>
      <c r="E1150" t="s">
        <v>276</v>
      </c>
      <c r="F1150" t="s">
        <v>27</v>
      </c>
      <c r="G1150">
        <v>12</v>
      </c>
      <c r="H1150" t="s">
        <v>4705</v>
      </c>
      <c r="I1150" t="s">
        <v>4695</v>
      </c>
      <c r="J1150" t="s">
        <v>4706</v>
      </c>
      <c r="K1150" t="s">
        <v>4707</v>
      </c>
      <c r="L1150" t="s">
        <v>62</v>
      </c>
      <c r="M1150" s="1" t="str">
        <f t="shared" si="119"/>
        <v>08D3</v>
      </c>
      <c r="N1150" s="1" t="str">
        <f t="shared" si="120"/>
        <v>C/O</v>
      </c>
      <c r="O1150" s="1" t="str">
        <f t="shared" si="121"/>
        <v>Fuel Injectors</v>
      </c>
      <c r="P1150" s="1" t="str">
        <f t="shared" si="122"/>
        <v>RJG0</v>
      </c>
      <c r="Q1150" s="2" t="str">
        <f t="shared" si="123"/>
        <v>RJG0Fuel Injectors</v>
      </c>
      <c r="R1150" s="2" t="str">
        <f>New_Xref[[#This Row],[Serial Prefix]]&amp;IF(New_Xref[[#This Row],[Func Loc]]&lt;&gt;"",New_Xref[[#This Row],[Func Loc]],"NO MATCH")</f>
        <v>RJG0ENGD .FUEL.INJE</v>
      </c>
      <c r="S1150" s="3" t="str">
        <f t="shared" si="124"/>
        <v>RJG06470751Fuel Injectors</v>
      </c>
      <c r="T1150" s="3" t="s">
        <v>63</v>
      </c>
      <c r="U1150" s="3" t="s">
        <v>34</v>
      </c>
      <c r="V1150" t="str">
        <f t="shared" si="125"/>
        <v>125100</v>
      </c>
    </row>
    <row r="1151" spans="1:22">
      <c r="A1151" t="s">
        <v>4689</v>
      </c>
      <c r="B1151" t="s">
        <v>4690</v>
      </c>
      <c r="H1151" t="s">
        <v>4708</v>
      </c>
      <c r="I1151" t="s">
        <v>4709</v>
      </c>
      <c r="J1151" t="s">
        <v>4710</v>
      </c>
      <c r="K1151" t="s">
        <v>4709</v>
      </c>
      <c r="L1151" t="s">
        <v>67</v>
      </c>
      <c r="M1151" s="1" t="str">
        <f t="shared" si="119"/>
        <v>08D3</v>
      </c>
      <c r="N1151" s="1" t="str">
        <f t="shared" si="120"/>
        <v>C/O</v>
      </c>
      <c r="O1151" s="1" t="str">
        <f t="shared" si="121"/>
        <v>Engine Radiator</v>
      </c>
      <c r="P1151" s="1" t="str">
        <f t="shared" si="122"/>
        <v>RJG0</v>
      </c>
      <c r="Q1151" s="2" t="str">
        <f t="shared" si="123"/>
        <v>RJG0Engine Radiator</v>
      </c>
      <c r="R1151" s="2" t="str">
        <f>New_Xref[[#This Row],[Serial Prefix]]&amp;IF(New_Xref[[#This Row],[Func Loc]]&lt;&gt;"",New_Xref[[#This Row],[Func Loc]],"NO MATCH")</f>
        <v>RJG0ENGD .ENCS.RADI</v>
      </c>
      <c r="S1151" s="3" t="str">
        <f t="shared" si="124"/>
        <v>RJG0Engine Radiator</v>
      </c>
      <c r="T1151" s="3" t="s">
        <v>68</v>
      </c>
      <c r="U1151" s="3" t="s">
        <v>34</v>
      </c>
      <c r="V1151" t="str">
        <f t="shared" si="125"/>
        <v>135300</v>
      </c>
    </row>
    <row r="1152" spans="1:22">
      <c r="A1152" t="s">
        <v>4689</v>
      </c>
      <c r="B1152" t="s">
        <v>4690</v>
      </c>
      <c r="C1152" t="s">
        <v>4711</v>
      </c>
      <c r="D1152" t="s">
        <v>831</v>
      </c>
      <c r="E1152" t="s">
        <v>4712</v>
      </c>
      <c r="F1152" t="s">
        <v>27</v>
      </c>
      <c r="G1152">
        <v>1</v>
      </c>
      <c r="H1152" t="s">
        <v>4713</v>
      </c>
      <c r="I1152" t="s">
        <v>4695</v>
      </c>
      <c r="J1152" t="s">
        <v>4714</v>
      </c>
      <c r="K1152" t="s">
        <v>4715</v>
      </c>
      <c r="L1152" t="s">
        <v>182</v>
      </c>
      <c r="M1152" s="1" t="str">
        <f t="shared" si="119"/>
        <v>08D3</v>
      </c>
      <c r="N1152" s="1" t="str">
        <f t="shared" si="120"/>
        <v>C/O</v>
      </c>
      <c r="O1152" s="1" t="str">
        <f t="shared" si="121"/>
        <v>Water Pump Main</v>
      </c>
      <c r="P1152" s="1" t="str">
        <f t="shared" si="122"/>
        <v>RJG0</v>
      </c>
      <c r="Q1152" s="2" t="str">
        <f t="shared" si="123"/>
        <v>RJG0Water Pump Main</v>
      </c>
      <c r="R1152" s="2" t="str">
        <f>New_Xref[[#This Row],[Serial Prefix]]&amp;IF(New_Xref[[#This Row],[Func Loc]]&lt;&gt;"",New_Xref[[#This Row],[Func Loc]],"NO MATCH")</f>
        <v>RJG0ENGD .WAPU.WAPM</v>
      </c>
      <c r="S1152" s="3" t="str">
        <f t="shared" si="124"/>
        <v>RJG010R6400Water Pump Main</v>
      </c>
      <c r="T1152" s="3" t="s">
        <v>183</v>
      </c>
      <c r="U1152" s="3" t="s">
        <v>34</v>
      </c>
      <c r="V1152" t="str">
        <f t="shared" si="125"/>
        <v>136100</v>
      </c>
    </row>
    <row r="1153" spans="1:22">
      <c r="A1153" t="s">
        <v>4689</v>
      </c>
      <c r="B1153" t="s">
        <v>4690</v>
      </c>
      <c r="C1153" t="s">
        <v>4716</v>
      </c>
      <c r="D1153" t="s">
        <v>4717</v>
      </c>
      <c r="E1153" t="s">
        <v>2527</v>
      </c>
      <c r="F1153" t="s">
        <v>27</v>
      </c>
      <c r="G1153">
        <v>1</v>
      </c>
      <c r="H1153" t="s">
        <v>4718</v>
      </c>
      <c r="I1153" t="s">
        <v>4719</v>
      </c>
      <c r="J1153" t="s">
        <v>4720</v>
      </c>
      <c r="K1153" t="s">
        <v>4719</v>
      </c>
      <c r="L1153" t="s">
        <v>72</v>
      </c>
      <c r="M1153" s="1" t="str">
        <f t="shared" si="119"/>
        <v>08D3</v>
      </c>
      <c r="N1153" s="1" t="str">
        <f t="shared" si="120"/>
        <v>C/O</v>
      </c>
      <c r="O1153" s="1" t="str">
        <f t="shared" si="121"/>
        <v>Transmission</v>
      </c>
      <c r="P1153" s="1" t="str">
        <f t="shared" si="122"/>
        <v>RJG0</v>
      </c>
      <c r="Q1153" s="2" t="str">
        <f t="shared" si="123"/>
        <v>RJG0Transmission</v>
      </c>
      <c r="R1153" s="2" t="str">
        <f>New_Xref[[#This Row],[Serial Prefix]]&amp;IF(New_Xref[[#This Row],[Func Loc]]&lt;&gt;"",New_Xref[[#This Row],[Func Loc]],"NO MATCH")</f>
        <v>RJG0TRAN .TRAN</v>
      </c>
      <c r="S1153" s="3" t="str">
        <f t="shared" si="124"/>
        <v>RJG02135171XTransmission</v>
      </c>
      <c r="T1153" s="3" t="s">
        <v>4721</v>
      </c>
      <c r="U1153" s="3" t="s">
        <v>34</v>
      </c>
      <c r="V1153" t="str">
        <f t="shared" si="125"/>
        <v>300600</v>
      </c>
    </row>
    <row r="1154" spans="1:22">
      <c r="A1154" t="s">
        <v>4689</v>
      </c>
      <c r="B1154" t="s">
        <v>4690</v>
      </c>
      <c r="C1154" t="s">
        <v>4722</v>
      </c>
      <c r="D1154" t="s">
        <v>4723</v>
      </c>
      <c r="E1154" t="s">
        <v>4724</v>
      </c>
      <c r="F1154" t="s">
        <v>27</v>
      </c>
      <c r="G1154">
        <v>1</v>
      </c>
      <c r="H1154" t="s">
        <v>4725</v>
      </c>
      <c r="I1154" t="s">
        <v>4726</v>
      </c>
      <c r="J1154" t="s">
        <v>4727</v>
      </c>
      <c r="K1154" t="s">
        <v>4726</v>
      </c>
      <c r="L1154" t="s">
        <v>4596</v>
      </c>
      <c r="M1154" s="1" t="str">
        <f t="shared" si="119"/>
        <v>08D3</v>
      </c>
      <c r="N1154" s="1" t="str">
        <f t="shared" si="120"/>
        <v>C/O</v>
      </c>
      <c r="O1154" s="1" t="str">
        <f t="shared" si="121"/>
        <v>Power Train Oil Pump</v>
      </c>
      <c r="P1154" s="1" t="str">
        <f t="shared" si="122"/>
        <v>RJG0</v>
      </c>
      <c r="Q1154" s="2" t="str">
        <f t="shared" si="123"/>
        <v>RJG0Power Train Oil Pump</v>
      </c>
      <c r="R1154" s="2" t="str">
        <f>New_Xref[[#This Row],[Serial Prefix]]&amp;IF(New_Xref[[#This Row],[Func Loc]]&lt;&gt;"",New_Xref[[#This Row],[Func Loc]],"NO MATCH")</f>
        <v>RJG0TRAN .PUMP.PTOP</v>
      </c>
      <c r="S1154" s="3" t="str">
        <f t="shared" si="124"/>
        <v>RJG020R7445Power Train Oil Pump</v>
      </c>
      <c r="T1154" s="3" t="s">
        <v>584</v>
      </c>
      <c r="U1154" s="3" t="s">
        <v>34</v>
      </c>
      <c r="V1154" t="str">
        <f t="shared" si="125"/>
        <v>306600</v>
      </c>
    </row>
    <row r="1155" spans="1:22">
      <c r="A1155" t="s">
        <v>4689</v>
      </c>
      <c r="B1155" t="s">
        <v>4690</v>
      </c>
      <c r="C1155" t="s">
        <v>4728</v>
      </c>
      <c r="D1155" t="s">
        <v>4729</v>
      </c>
      <c r="E1155" t="s">
        <v>4730</v>
      </c>
      <c r="F1155" t="s">
        <v>27</v>
      </c>
      <c r="G1155">
        <v>1</v>
      </c>
      <c r="H1155" t="s">
        <v>4731</v>
      </c>
      <c r="I1155" t="s">
        <v>4732</v>
      </c>
      <c r="J1155" t="s">
        <v>4733</v>
      </c>
      <c r="K1155" t="s">
        <v>4732</v>
      </c>
      <c r="L1155" t="s">
        <v>304</v>
      </c>
      <c r="M1155" s="1" t="str">
        <f t="shared" ref="M1155:M1218" si="126">LEFT(K1155,FIND(" ",K1155,1)-1)</f>
        <v>08D3</v>
      </c>
      <c r="N1155" s="1" t="str">
        <f t="shared" ref="N1155:N1218" si="127">MID(K1155,LEN(M1155)+2,FIND(" ",K1155,LEN(M1155)+2)-LEN(M1155)-2)</f>
        <v>C/O</v>
      </c>
      <c r="O1155" s="1" t="str">
        <f t="shared" ref="O1155:O1218" si="128">MID(K1155,FIND(N1155,K1155,1)+LEN(N1155)+1, 150)</f>
        <v>Torque Converter</v>
      </c>
      <c r="P1155" s="1" t="str">
        <f t="shared" ref="P1155:P1218" si="129">LEFT(B1155,4)</f>
        <v>RJG0</v>
      </c>
      <c r="Q1155" s="2" t="str">
        <f t="shared" ref="Q1155:Q1218" si="130">P1155&amp;O1155</f>
        <v>RJG0Torque Converter</v>
      </c>
      <c r="R1155" s="2" t="str">
        <f>New_Xref[[#This Row],[Serial Prefix]]&amp;IF(New_Xref[[#This Row],[Func Loc]]&lt;&gt;"",New_Xref[[#This Row],[Func Loc]],"NO MATCH")</f>
        <v>RJG0TRAN .TOCO</v>
      </c>
      <c r="S1155" s="3" t="str">
        <f t="shared" ref="S1155:S1218" si="131">P1155&amp;D1155&amp;O1155</f>
        <v>RJG02267614XTorque Converter</v>
      </c>
      <c r="T1155" s="3" t="s">
        <v>305</v>
      </c>
      <c r="U1155" s="3" t="s">
        <v>34</v>
      </c>
      <c r="V1155" t="str">
        <f t="shared" ref="V1155:V1218" si="132">LEFT(T1155,FIND(" -",T1155,1)-1)&amp;LEFT(U1155,FIND(" -",U1155,1)-1)</f>
        <v>310100</v>
      </c>
    </row>
    <row r="1156" spans="1:22">
      <c r="A1156" t="s">
        <v>4689</v>
      </c>
      <c r="B1156" t="s">
        <v>4690</v>
      </c>
      <c r="C1156" t="s">
        <v>4600</v>
      </c>
      <c r="D1156" t="s">
        <v>4601</v>
      </c>
      <c r="E1156" t="s">
        <v>4602</v>
      </c>
      <c r="F1156" t="s">
        <v>27</v>
      </c>
      <c r="G1156">
        <v>1</v>
      </c>
      <c r="H1156" t="s">
        <v>4734</v>
      </c>
      <c r="I1156" t="s">
        <v>4735</v>
      </c>
      <c r="J1156" t="s">
        <v>4736</v>
      </c>
      <c r="K1156" t="s">
        <v>4735</v>
      </c>
      <c r="L1156" t="s">
        <v>907</v>
      </c>
      <c r="M1156" s="1" t="str">
        <f t="shared" si="126"/>
        <v>08D3</v>
      </c>
      <c r="N1156" s="1" t="str">
        <f t="shared" si="127"/>
        <v>C/O</v>
      </c>
      <c r="O1156" s="1" t="str">
        <f t="shared" si="128"/>
        <v>Final Drive LH</v>
      </c>
      <c r="P1156" s="1" t="str">
        <f t="shared" si="129"/>
        <v>RJG0</v>
      </c>
      <c r="Q1156" s="2" t="str">
        <f t="shared" si="130"/>
        <v>RJG0Final Drive LH</v>
      </c>
      <c r="R1156" s="2" t="str">
        <f>New_Xref[[#This Row],[Serial Prefix]]&amp;IF(New_Xref[[#This Row],[Func Loc]]&lt;&gt;"",New_Xref[[#This Row],[Func Loc]],"NO MATCH")</f>
        <v>RJG0FDRV .FIDR.FDLH</v>
      </c>
      <c r="S1156" s="3" t="str">
        <f t="shared" si="131"/>
        <v>RJG00R8504Final Drive LH</v>
      </c>
      <c r="T1156" s="3" t="s">
        <v>908</v>
      </c>
      <c r="U1156" s="3" t="s">
        <v>108</v>
      </c>
      <c r="V1156" t="str">
        <f t="shared" si="132"/>
        <v>4050LT</v>
      </c>
    </row>
    <row r="1157" spans="1:22">
      <c r="A1157" t="s">
        <v>4689</v>
      </c>
      <c r="B1157" t="s">
        <v>4690</v>
      </c>
      <c r="C1157" t="s">
        <v>4600</v>
      </c>
      <c r="D1157" t="s">
        <v>4601</v>
      </c>
      <c r="E1157" t="s">
        <v>4602</v>
      </c>
      <c r="F1157" t="s">
        <v>27</v>
      </c>
      <c r="G1157">
        <v>1</v>
      </c>
      <c r="H1157" t="s">
        <v>4734</v>
      </c>
      <c r="I1157" t="s">
        <v>4737</v>
      </c>
      <c r="J1157" t="s">
        <v>4738</v>
      </c>
      <c r="K1157" t="s">
        <v>4737</v>
      </c>
      <c r="L1157" t="s">
        <v>911</v>
      </c>
      <c r="M1157" s="1" t="str">
        <f t="shared" si="126"/>
        <v>08D3</v>
      </c>
      <c r="N1157" s="1" t="str">
        <f t="shared" si="127"/>
        <v>C/O</v>
      </c>
      <c r="O1157" s="1" t="str">
        <f t="shared" si="128"/>
        <v>Final Drive RH</v>
      </c>
      <c r="P1157" s="1" t="str">
        <f t="shared" si="129"/>
        <v>RJG0</v>
      </c>
      <c r="Q1157" s="2" t="str">
        <f t="shared" si="130"/>
        <v>RJG0Final Drive RH</v>
      </c>
      <c r="R1157" s="2" t="str">
        <f>New_Xref[[#This Row],[Serial Prefix]]&amp;IF(New_Xref[[#This Row],[Func Loc]]&lt;&gt;"",New_Xref[[#This Row],[Func Loc]],"NO MATCH")</f>
        <v>RJG0FDRV .FIDR.FDRH</v>
      </c>
      <c r="S1157" s="3" t="str">
        <f t="shared" si="131"/>
        <v>RJG00R8504Final Drive RH</v>
      </c>
      <c r="T1157" s="3" t="s">
        <v>908</v>
      </c>
      <c r="U1157" s="3" t="s">
        <v>115</v>
      </c>
      <c r="V1157" t="str">
        <f t="shared" si="132"/>
        <v>4050RI</v>
      </c>
    </row>
    <row r="1158" spans="1:22">
      <c r="A1158" t="s">
        <v>4689</v>
      </c>
      <c r="B1158" t="s">
        <v>4690</v>
      </c>
      <c r="C1158" t="s">
        <v>4739</v>
      </c>
      <c r="D1158" t="s">
        <v>4740</v>
      </c>
      <c r="E1158" t="s">
        <v>4741</v>
      </c>
      <c r="F1158" t="s">
        <v>27</v>
      </c>
      <c r="G1158">
        <v>1</v>
      </c>
      <c r="H1158" t="s">
        <v>4742</v>
      </c>
      <c r="I1158" t="s">
        <v>4743</v>
      </c>
      <c r="J1158" t="s">
        <v>4744</v>
      </c>
      <c r="K1158" t="s">
        <v>4743</v>
      </c>
      <c r="L1158" t="s">
        <v>4615</v>
      </c>
      <c r="M1158" s="1" t="str">
        <f t="shared" si="126"/>
        <v>08D3</v>
      </c>
      <c r="N1158" s="1" t="str">
        <f t="shared" si="127"/>
        <v>C/O</v>
      </c>
      <c r="O1158" s="1" t="str">
        <f t="shared" si="128"/>
        <v>Steering Clutch &amp; Brake LH</v>
      </c>
      <c r="P1158" s="1" t="str">
        <f t="shared" si="129"/>
        <v>RJG0</v>
      </c>
      <c r="Q1158" s="2" t="str">
        <f t="shared" si="130"/>
        <v>RJG0Steering Clutch &amp; Brake LH</v>
      </c>
      <c r="R1158" s="2" t="str">
        <f>New_Xref[[#This Row],[Serial Prefix]]&amp;IF(New_Xref[[#This Row],[Func Loc]]&lt;&gt;"",New_Xref[[#This Row],[Func Loc]],"NO MATCH")</f>
        <v>RJG0BRSS .SCBA.SCLH</v>
      </c>
      <c r="S1158" s="3" t="str">
        <f t="shared" si="131"/>
        <v>RJG02371017XSteering Clutch &amp; Brake LH</v>
      </c>
      <c r="T1158" s="3" t="s">
        <v>4616</v>
      </c>
      <c r="U1158" s="3" t="s">
        <v>108</v>
      </c>
      <c r="V1158" t="str">
        <f t="shared" si="132"/>
        <v>4100LT</v>
      </c>
    </row>
    <row r="1159" spans="1:22">
      <c r="A1159" t="s">
        <v>4689</v>
      </c>
      <c r="B1159" t="s">
        <v>4690</v>
      </c>
      <c r="C1159" t="s">
        <v>4739</v>
      </c>
      <c r="D1159" t="s">
        <v>4740</v>
      </c>
      <c r="E1159" t="s">
        <v>4741</v>
      </c>
      <c r="F1159" t="s">
        <v>27</v>
      </c>
      <c r="G1159">
        <v>1</v>
      </c>
      <c r="H1159" t="s">
        <v>4742</v>
      </c>
      <c r="I1159" t="s">
        <v>4745</v>
      </c>
      <c r="J1159" t="s">
        <v>4746</v>
      </c>
      <c r="K1159" t="s">
        <v>4745</v>
      </c>
      <c r="L1159" t="s">
        <v>4620</v>
      </c>
      <c r="M1159" s="1" t="str">
        <f t="shared" si="126"/>
        <v>08D3</v>
      </c>
      <c r="N1159" s="1" t="str">
        <f t="shared" si="127"/>
        <v>C/O</v>
      </c>
      <c r="O1159" s="1" t="str">
        <f t="shared" si="128"/>
        <v>Steering Clutch &amp; Brake RH</v>
      </c>
      <c r="P1159" s="1" t="str">
        <f t="shared" si="129"/>
        <v>RJG0</v>
      </c>
      <c r="Q1159" s="2" t="str">
        <f t="shared" si="130"/>
        <v>RJG0Steering Clutch &amp; Brake RH</v>
      </c>
      <c r="R1159" s="2" t="str">
        <f>New_Xref[[#This Row],[Serial Prefix]]&amp;IF(New_Xref[[#This Row],[Func Loc]]&lt;&gt;"",New_Xref[[#This Row],[Func Loc]],"NO MATCH")</f>
        <v>RJG0BRSS .SCBA.SCRH</v>
      </c>
      <c r="S1159" s="3" t="str">
        <f t="shared" si="131"/>
        <v>RJG02371017XSteering Clutch &amp; Brake RH</v>
      </c>
      <c r="T1159" s="3" t="s">
        <v>4616</v>
      </c>
      <c r="U1159" s="3" t="s">
        <v>115</v>
      </c>
      <c r="V1159" t="str">
        <f t="shared" si="132"/>
        <v>4100RI</v>
      </c>
    </row>
    <row r="1160" spans="1:22">
      <c r="A1160" t="s">
        <v>4689</v>
      </c>
      <c r="B1160" t="s">
        <v>4747</v>
      </c>
      <c r="C1160" t="s">
        <v>4608</v>
      </c>
      <c r="D1160" t="s">
        <v>4609</v>
      </c>
      <c r="E1160" t="s">
        <v>4748</v>
      </c>
      <c r="F1160" t="s">
        <v>27</v>
      </c>
      <c r="G1160">
        <v>1</v>
      </c>
      <c r="H1160" t="s">
        <v>4742</v>
      </c>
      <c r="I1160" t="s">
        <v>4749</v>
      </c>
      <c r="J1160" t="s">
        <v>4750</v>
      </c>
      <c r="K1160" t="s">
        <v>4749</v>
      </c>
      <c r="L1160" t="s">
        <v>4615</v>
      </c>
      <c r="M1160" s="1" t="str">
        <f t="shared" si="126"/>
        <v>08D5</v>
      </c>
      <c r="N1160" s="1" t="str">
        <f t="shared" si="127"/>
        <v>C/O</v>
      </c>
      <c r="O1160" s="1" t="str">
        <f t="shared" si="128"/>
        <v>Steering Clutch &amp; Brake LH</v>
      </c>
      <c r="P1160" s="1" t="str">
        <f t="shared" si="129"/>
        <v>RJG0</v>
      </c>
      <c r="Q1160" s="2" t="str">
        <f t="shared" si="130"/>
        <v>RJG0Steering Clutch &amp; Brake LH</v>
      </c>
      <c r="R1160" s="2" t="str">
        <f>New_Xref[[#This Row],[Serial Prefix]]&amp;IF(New_Xref[[#This Row],[Func Loc]]&lt;&gt;"",New_Xref[[#This Row],[Func Loc]],"NO MATCH")</f>
        <v>RJG0BRSS .SCBA.SCLH</v>
      </c>
      <c r="S1160" s="3" t="str">
        <f t="shared" si="131"/>
        <v>RJG05710489XSteering Clutch &amp; Brake LH</v>
      </c>
      <c r="T1160" s="3" t="s">
        <v>4616</v>
      </c>
      <c r="U1160" s="3" t="s">
        <v>108</v>
      </c>
      <c r="V1160" t="str">
        <f t="shared" si="132"/>
        <v>4100LT</v>
      </c>
    </row>
    <row r="1161" spans="1:22">
      <c r="A1161" t="s">
        <v>4689</v>
      </c>
      <c r="B1161" t="s">
        <v>4690</v>
      </c>
      <c r="C1161" t="s">
        <v>4751</v>
      </c>
      <c r="D1161" t="s">
        <v>4752</v>
      </c>
      <c r="E1161" t="s">
        <v>4753</v>
      </c>
      <c r="F1161" t="s">
        <v>27</v>
      </c>
      <c r="G1161">
        <v>1</v>
      </c>
      <c r="H1161" t="s">
        <v>4754</v>
      </c>
      <c r="I1161" t="s">
        <v>4755</v>
      </c>
      <c r="J1161" t="s">
        <v>4756</v>
      </c>
      <c r="K1161" t="s">
        <v>4757</v>
      </c>
      <c r="L1161" t="s">
        <v>4627</v>
      </c>
      <c r="M1161" s="1" t="str">
        <f t="shared" si="126"/>
        <v>08D3</v>
      </c>
      <c r="N1161" s="1" t="str">
        <f t="shared" si="127"/>
        <v>C/O</v>
      </c>
      <c r="O1161" s="1" t="str">
        <f t="shared" si="128"/>
        <v>Track Frame LH</v>
      </c>
      <c r="P1161" s="1" t="str">
        <f t="shared" si="129"/>
        <v>RJG0</v>
      </c>
      <c r="Q1161" s="2" t="str">
        <f t="shared" si="130"/>
        <v>RJG0Track Frame LH</v>
      </c>
      <c r="R1161" s="2" t="str">
        <f>New_Xref[[#This Row],[Serial Prefix]]&amp;IF(New_Xref[[#This Row],[Func Loc]]&lt;&gt;"",New_Xref[[#This Row],[Func Loc]],"NO MATCH")</f>
        <v>RJG0STRU .TFLH</v>
      </c>
      <c r="S1161" s="3" t="str">
        <f t="shared" si="131"/>
        <v>RJG03551295FTrack Frame LH</v>
      </c>
      <c r="T1161" s="3" t="s">
        <v>4628</v>
      </c>
      <c r="U1161" s="3" t="s">
        <v>108</v>
      </c>
      <c r="V1161" t="str">
        <f t="shared" si="132"/>
        <v>4150LT</v>
      </c>
    </row>
    <row r="1162" spans="1:22">
      <c r="A1162" t="s">
        <v>4689</v>
      </c>
      <c r="B1162" t="s">
        <v>4690</v>
      </c>
      <c r="C1162" t="s">
        <v>4758</v>
      </c>
      <c r="D1162" t="s">
        <v>4759</v>
      </c>
      <c r="E1162" t="s">
        <v>4760</v>
      </c>
      <c r="F1162" t="s">
        <v>27</v>
      </c>
      <c r="G1162">
        <v>1</v>
      </c>
      <c r="H1162" t="s">
        <v>4761</v>
      </c>
      <c r="I1162" t="s">
        <v>4762</v>
      </c>
      <c r="J1162" t="s">
        <v>4763</v>
      </c>
      <c r="K1162" t="s">
        <v>4764</v>
      </c>
      <c r="L1162" t="s">
        <v>4634</v>
      </c>
      <c r="M1162" s="1" t="str">
        <f t="shared" si="126"/>
        <v>08D3</v>
      </c>
      <c r="N1162" s="1" t="str">
        <f t="shared" si="127"/>
        <v>C/O</v>
      </c>
      <c r="O1162" s="1" t="str">
        <f t="shared" si="128"/>
        <v>Track Frame RH</v>
      </c>
      <c r="P1162" s="1" t="str">
        <f t="shared" si="129"/>
        <v>RJG0</v>
      </c>
      <c r="Q1162" s="2" t="str">
        <f t="shared" si="130"/>
        <v>RJG0Track Frame RH</v>
      </c>
      <c r="R1162" s="2" t="str">
        <f>New_Xref[[#This Row],[Serial Prefix]]&amp;IF(New_Xref[[#This Row],[Func Loc]]&lt;&gt;"",New_Xref[[#This Row],[Func Loc]],"NO MATCH")</f>
        <v>RJG0STRU .TFRH</v>
      </c>
      <c r="S1162" s="3" t="str">
        <f t="shared" si="131"/>
        <v>RJG03551294FTrack Frame RH</v>
      </c>
      <c r="T1162" s="3" t="s">
        <v>4628</v>
      </c>
      <c r="U1162" s="3" t="s">
        <v>115</v>
      </c>
      <c r="V1162" t="str">
        <f t="shared" si="132"/>
        <v>4150RI</v>
      </c>
    </row>
    <row r="1163" spans="1:22">
      <c r="A1163" t="s">
        <v>4689</v>
      </c>
      <c r="B1163" t="s">
        <v>4690</v>
      </c>
      <c r="C1163" t="s">
        <v>4635</v>
      </c>
      <c r="D1163" t="s">
        <v>4636</v>
      </c>
      <c r="E1163" t="s">
        <v>4637</v>
      </c>
      <c r="F1163" t="s">
        <v>27</v>
      </c>
      <c r="G1163">
        <v>1</v>
      </c>
      <c r="H1163" t="s">
        <v>4765</v>
      </c>
      <c r="I1163" t="s">
        <v>4766</v>
      </c>
      <c r="J1163" t="s">
        <v>4767</v>
      </c>
      <c r="K1163" t="s">
        <v>4766</v>
      </c>
      <c r="L1163" t="s">
        <v>4641</v>
      </c>
      <c r="M1163" s="1" t="str">
        <f t="shared" si="126"/>
        <v>08D3</v>
      </c>
      <c r="N1163" s="1" t="str">
        <f t="shared" si="127"/>
        <v>C/O</v>
      </c>
      <c r="O1163" s="1" t="str">
        <f t="shared" si="128"/>
        <v>Pivot Shaft</v>
      </c>
      <c r="P1163" s="1" t="str">
        <f t="shared" si="129"/>
        <v>RJG0</v>
      </c>
      <c r="Q1163" s="2" t="str">
        <f t="shared" si="130"/>
        <v>RJG0Pivot Shaft</v>
      </c>
      <c r="R1163" s="2" t="str">
        <f>New_Xref[[#This Row],[Serial Prefix]]&amp;IF(New_Xref[[#This Row],[Func Loc]]&lt;&gt;"",New_Xref[[#This Row],[Func Loc]],"NO MATCH")</f>
        <v>RJG0STRU .CHAS.PISH</v>
      </c>
      <c r="S1163" s="3" t="str">
        <f t="shared" si="131"/>
        <v>RJG010R9167Pivot Shaft</v>
      </c>
      <c r="T1163" s="3" t="s">
        <v>4642</v>
      </c>
      <c r="U1163" s="3" t="s">
        <v>34</v>
      </c>
      <c r="V1163" t="str">
        <f t="shared" si="132"/>
        <v>415300</v>
      </c>
    </row>
    <row r="1164" spans="1:22">
      <c r="A1164" t="s">
        <v>4689</v>
      </c>
      <c r="B1164" t="s">
        <v>4690</v>
      </c>
      <c r="C1164" t="s">
        <v>4768</v>
      </c>
      <c r="D1164" t="s">
        <v>4769</v>
      </c>
      <c r="E1164" t="s">
        <v>4770</v>
      </c>
      <c r="F1164" t="s">
        <v>27</v>
      </c>
      <c r="G1164">
        <v>1</v>
      </c>
      <c r="H1164" t="s">
        <v>4771</v>
      </c>
      <c r="I1164" t="s">
        <v>4772</v>
      </c>
      <c r="J1164" t="s">
        <v>4773</v>
      </c>
      <c r="K1164" t="s">
        <v>4772</v>
      </c>
      <c r="L1164" t="s">
        <v>219</v>
      </c>
      <c r="M1164" s="1" t="str">
        <f t="shared" si="126"/>
        <v>08D3</v>
      </c>
      <c r="N1164" s="1" t="str">
        <f t="shared" si="127"/>
        <v>C/O</v>
      </c>
      <c r="O1164" s="1" t="str">
        <f t="shared" si="128"/>
        <v>Implement Pump</v>
      </c>
      <c r="P1164" s="1" t="str">
        <f t="shared" si="129"/>
        <v>RJG0</v>
      </c>
      <c r="Q1164" s="2" t="str">
        <f t="shared" si="130"/>
        <v>RJG0Implement Pump</v>
      </c>
      <c r="R1164" s="2" t="str">
        <f>New_Xref[[#This Row],[Serial Prefix]]&amp;IF(New_Xref[[#This Row],[Func Loc]]&lt;&gt;"",New_Xref[[#This Row],[Func Loc]],"NO MATCH")</f>
        <v>RJG0MYHD .PUMP.MAHP</v>
      </c>
      <c r="S1164" s="3" t="str">
        <f t="shared" si="131"/>
        <v>RJG05897674Implement Pump</v>
      </c>
      <c r="T1164" s="3" t="s">
        <v>503</v>
      </c>
      <c r="U1164" s="3" t="s">
        <v>34</v>
      </c>
      <c r="V1164" t="str">
        <f t="shared" si="132"/>
        <v>507300</v>
      </c>
    </row>
    <row r="1165" spans="1:22">
      <c r="A1165" t="s">
        <v>4689</v>
      </c>
      <c r="B1165" t="s">
        <v>4690</v>
      </c>
      <c r="H1165" t="s">
        <v>4774</v>
      </c>
      <c r="I1165" t="s">
        <v>4775</v>
      </c>
      <c r="J1165" t="s">
        <v>4776</v>
      </c>
      <c r="K1165" t="s">
        <v>4775</v>
      </c>
      <c r="L1165" t="s">
        <v>378</v>
      </c>
      <c r="M1165" s="1" t="str">
        <f t="shared" si="126"/>
        <v>08D3</v>
      </c>
      <c r="N1165" s="1" t="str">
        <f t="shared" si="127"/>
        <v>C/O</v>
      </c>
      <c r="O1165" s="1" t="str">
        <f t="shared" si="128"/>
        <v>Blade Tilt Cylinder RH</v>
      </c>
      <c r="P1165" s="1" t="str">
        <f t="shared" si="129"/>
        <v>RJG0</v>
      </c>
      <c r="Q1165" s="2" t="str">
        <f t="shared" si="130"/>
        <v>RJG0Blade Tilt Cylinder RH</v>
      </c>
      <c r="R1165" s="2" t="str">
        <f>New_Xref[[#This Row],[Serial Prefix]]&amp;IF(New_Xref[[#This Row],[Func Loc]]&lt;&gt;"",New_Xref[[#This Row],[Func Loc]],"NO MATCH")</f>
        <v>RJG0MYHD .CYLI.BLTR</v>
      </c>
      <c r="S1165" s="3" t="str">
        <f t="shared" si="131"/>
        <v>RJG0Blade Tilt Cylinder RH</v>
      </c>
      <c r="T1165" s="3" t="s">
        <v>638</v>
      </c>
      <c r="U1165" s="3" t="s">
        <v>115</v>
      </c>
      <c r="V1165" t="str">
        <f t="shared" si="132"/>
        <v>5104RI</v>
      </c>
    </row>
    <row r="1166" spans="1:22">
      <c r="A1166" t="s">
        <v>4689</v>
      </c>
      <c r="B1166" t="s">
        <v>4747</v>
      </c>
      <c r="H1166" t="s">
        <v>4777</v>
      </c>
      <c r="I1166" t="s">
        <v>4778</v>
      </c>
      <c r="J1166" t="s">
        <v>4779</v>
      </c>
      <c r="K1166" t="s">
        <v>4778</v>
      </c>
      <c r="L1166" t="s">
        <v>375</v>
      </c>
      <c r="M1166" s="1" t="str">
        <f t="shared" si="126"/>
        <v>08D5</v>
      </c>
      <c r="N1166" s="1" t="str">
        <f t="shared" si="127"/>
        <v>C/O</v>
      </c>
      <c r="O1166" s="1" t="str">
        <f t="shared" si="128"/>
        <v>Blade Tilt Cylinder LH</v>
      </c>
      <c r="P1166" s="1" t="str">
        <f t="shared" si="129"/>
        <v>RJG0</v>
      </c>
      <c r="Q1166" s="2" t="str">
        <f t="shared" si="130"/>
        <v>RJG0Blade Tilt Cylinder LH</v>
      </c>
      <c r="R1166" s="2" t="str">
        <f>New_Xref[[#This Row],[Serial Prefix]]&amp;IF(New_Xref[[#This Row],[Func Loc]]&lt;&gt;"",New_Xref[[#This Row],[Func Loc]],"NO MATCH")</f>
        <v>RJG0MYHD .CYLI.BLTL</v>
      </c>
      <c r="S1166" s="3" t="str">
        <f t="shared" si="131"/>
        <v>RJG0Blade Tilt Cylinder LH</v>
      </c>
      <c r="T1166" s="3" t="s">
        <v>638</v>
      </c>
      <c r="U1166" s="3" t="s">
        <v>108</v>
      </c>
      <c r="V1166" t="str">
        <f t="shared" si="132"/>
        <v>5104LT</v>
      </c>
    </row>
    <row r="1167" spans="1:22">
      <c r="A1167" t="s">
        <v>4689</v>
      </c>
      <c r="B1167" t="s">
        <v>4690</v>
      </c>
      <c r="H1167" t="s">
        <v>4780</v>
      </c>
      <c r="I1167" t="s">
        <v>4781</v>
      </c>
      <c r="J1167" t="s">
        <v>4782</v>
      </c>
      <c r="K1167" t="s">
        <v>4781</v>
      </c>
      <c r="L1167" t="s">
        <v>133</v>
      </c>
      <c r="M1167" s="1" t="str">
        <f t="shared" si="126"/>
        <v>08D3</v>
      </c>
      <c r="N1167" s="1" t="str">
        <f t="shared" si="127"/>
        <v>C/O</v>
      </c>
      <c r="O1167" s="1" t="str">
        <f t="shared" si="128"/>
        <v>Blade Lift Cylinder RH</v>
      </c>
      <c r="P1167" s="1" t="str">
        <f t="shared" si="129"/>
        <v>RJG0</v>
      </c>
      <c r="Q1167" s="2" t="str">
        <f t="shared" si="130"/>
        <v>RJG0Blade Lift Cylinder RH</v>
      </c>
      <c r="R1167" s="2" t="str">
        <f>New_Xref[[#This Row],[Serial Prefix]]&amp;IF(New_Xref[[#This Row],[Func Loc]]&lt;&gt;"",New_Xref[[#This Row],[Func Loc]],"NO MATCH")</f>
        <v>RJG0MYHD .CYLI.BLLR</v>
      </c>
      <c r="S1167" s="3" t="str">
        <f t="shared" si="131"/>
        <v>RJG0Blade Lift Cylinder RH</v>
      </c>
      <c r="T1167" s="3" t="s">
        <v>4783</v>
      </c>
      <c r="U1167" s="3" t="s">
        <v>115</v>
      </c>
      <c r="V1167" t="str">
        <f t="shared" si="132"/>
        <v>5113RI</v>
      </c>
    </row>
    <row r="1168" spans="1:22">
      <c r="A1168" t="s">
        <v>4689</v>
      </c>
      <c r="B1168" t="s">
        <v>4747</v>
      </c>
      <c r="H1168" t="s">
        <v>4780</v>
      </c>
      <c r="I1168" t="s">
        <v>4784</v>
      </c>
      <c r="J1168" t="s">
        <v>4785</v>
      </c>
      <c r="K1168" t="s">
        <v>4784</v>
      </c>
      <c r="L1168" t="s">
        <v>129</v>
      </c>
      <c r="M1168" s="1" t="str">
        <f t="shared" si="126"/>
        <v>08D5</v>
      </c>
      <c r="N1168" s="1" t="str">
        <f t="shared" si="127"/>
        <v>C/O</v>
      </c>
      <c r="O1168" s="1" t="str">
        <f t="shared" si="128"/>
        <v>Blade Lift Cylinder LH</v>
      </c>
      <c r="P1168" s="1" t="str">
        <f t="shared" si="129"/>
        <v>RJG0</v>
      </c>
      <c r="Q1168" s="2" t="str">
        <f t="shared" si="130"/>
        <v>RJG0Blade Lift Cylinder LH</v>
      </c>
      <c r="R1168" s="2" t="str">
        <f>New_Xref[[#This Row],[Serial Prefix]]&amp;IF(New_Xref[[#This Row],[Func Loc]]&lt;&gt;"",New_Xref[[#This Row],[Func Loc]],"NO MATCH")</f>
        <v>RJG0MYHD .CYLI.BLLL</v>
      </c>
      <c r="S1168" s="3" t="str">
        <f t="shared" si="131"/>
        <v>RJG0Blade Lift Cylinder LH</v>
      </c>
      <c r="T1168" s="3" t="s">
        <v>4783</v>
      </c>
      <c r="U1168" s="3" t="s">
        <v>108</v>
      </c>
      <c r="V1168" t="str">
        <f t="shared" si="132"/>
        <v>5113LT</v>
      </c>
    </row>
    <row r="1169" spans="1:22">
      <c r="A1169" t="s">
        <v>4689</v>
      </c>
      <c r="B1169" t="s">
        <v>4690</v>
      </c>
      <c r="H1169" t="s">
        <v>4786</v>
      </c>
      <c r="I1169" t="s">
        <v>4787</v>
      </c>
      <c r="J1169" t="s">
        <v>4788</v>
      </c>
      <c r="K1169" t="s">
        <v>4787</v>
      </c>
      <c r="L1169" t="s">
        <v>2092</v>
      </c>
      <c r="M1169" s="1" t="str">
        <f t="shared" si="126"/>
        <v>08D3</v>
      </c>
      <c r="N1169" s="1" t="str">
        <f t="shared" si="127"/>
        <v>C/O</v>
      </c>
      <c r="O1169" s="1" t="str">
        <f t="shared" si="128"/>
        <v>Ripper Lift Cylinder LH</v>
      </c>
      <c r="P1169" s="1" t="str">
        <f t="shared" si="129"/>
        <v>RJG0</v>
      </c>
      <c r="Q1169" s="2" t="str">
        <f t="shared" si="130"/>
        <v>RJG0Ripper Lift Cylinder LH</v>
      </c>
      <c r="R1169" s="2" t="str">
        <f>New_Xref[[#This Row],[Serial Prefix]]&amp;IF(New_Xref[[#This Row],[Func Loc]]&lt;&gt;"",New_Xref[[#This Row],[Func Loc]],"NO MATCH")</f>
        <v>RJG0MYHD .CYLI.RILL</v>
      </c>
      <c r="S1169" s="3" t="str">
        <f t="shared" si="131"/>
        <v>RJG0Ripper Lift Cylinder LH</v>
      </c>
      <c r="T1169" s="3" t="s">
        <v>246</v>
      </c>
      <c r="U1169" s="3" t="s">
        <v>108</v>
      </c>
      <c r="V1169" t="str">
        <f t="shared" si="132"/>
        <v>5352LT</v>
      </c>
    </row>
    <row r="1170" spans="1:22">
      <c r="A1170" t="s">
        <v>4689</v>
      </c>
      <c r="B1170" t="s">
        <v>4690</v>
      </c>
      <c r="H1170" t="s">
        <v>4789</v>
      </c>
      <c r="I1170" t="s">
        <v>4790</v>
      </c>
      <c r="J1170" t="s">
        <v>4791</v>
      </c>
      <c r="K1170" t="s">
        <v>4790</v>
      </c>
      <c r="L1170" t="s">
        <v>1923</v>
      </c>
      <c r="M1170" s="1" t="str">
        <f t="shared" si="126"/>
        <v>08D3</v>
      </c>
      <c r="N1170" s="1" t="str">
        <f t="shared" si="127"/>
        <v>C/O</v>
      </c>
      <c r="O1170" s="1" t="str">
        <f t="shared" si="128"/>
        <v>Ripper Lift Cylinder RH</v>
      </c>
      <c r="P1170" s="1" t="str">
        <f t="shared" si="129"/>
        <v>RJG0</v>
      </c>
      <c r="Q1170" s="2" t="str">
        <f t="shared" si="130"/>
        <v>RJG0Ripper Lift Cylinder RH</v>
      </c>
      <c r="R1170" s="2" t="str">
        <f>New_Xref[[#This Row],[Serial Prefix]]&amp;IF(New_Xref[[#This Row],[Func Loc]]&lt;&gt;"",New_Xref[[#This Row],[Func Loc]],"NO MATCH")</f>
        <v>RJG0MYHD .CYLI.RILR</v>
      </c>
      <c r="S1170" s="3" t="str">
        <f t="shared" si="131"/>
        <v>RJG0Ripper Lift Cylinder RH</v>
      </c>
      <c r="T1170" s="3" t="s">
        <v>246</v>
      </c>
      <c r="U1170" s="3" t="s">
        <v>115</v>
      </c>
      <c r="V1170" t="str">
        <f t="shared" si="132"/>
        <v>5352RI</v>
      </c>
    </row>
    <row r="1171" spans="1:22">
      <c r="A1171" t="s">
        <v>4689</v>
      </c>
      <c r="B1171" t="s">
        <v>4690</v>
      </c>
      <c r="H1171" t="s">
        <v>4792</v>
      </c>
      <c r="I1171" t="s">
        <v>4793</v>
      </c>
      <c r="J1171" t="s">
        <v>4794</v>
      </c>
      <c r="K1171" t="s">
        <v>4793</v>
      </c>
      <c r="L1171" t="s">
        <v>4684</v>
      </c>
      <c r="M1171" s="1" t="str">
        <f t="shared" si="126"/>
        <v>08D3</v>
      </c>
      <c r="N1171" s="1" t="str">
        <f t="shared" si="127"/>
        <v>C/O</v>
      </c>
      <c r="O1171" s="1" t="str">
        <f t="shared" si="128"/>
        <v>Ripper Tilt Cylinder LH</v>
      </c>
      <c r="P1171" s="1" t="str">
        <f t="shared" si="129"/>
        <v>RJG0</v>
      </c>
      <c r="Q1171" s="2" t="str">
        <f t="shared" si="130"/>
        <v>RJG0Ripper Tilt Cylinder LH</v>
      </c>
      <c r="R1171" s="2" t="str">
        <f>New_Xref[[#This Row],[Serial Prefix]]&amp;IF(New_Xref[[#This Row],[Func Loc]]&lt;&gt;"",New_Xref[[#This Row],[Func Loc]],"NO MATCH")</f>
        <v>RJG0MYHD .CYLI.RITL</v>
      </c>
      <c r="S1171" s="3" t="str">
        <f t="shared" si="131"/>
        <v>RJG0Ripper Tilt Cylinder LH</v>
      </c>
      <c r="T1171" s="3" t="s">
        <v>4685</v>
      </c>
      <c r="U1171" s="3" t="s">
        <v>108</v>
      </c>
      <c r="V1171" t="str">
        <f t="shared" si="132"/>
        <v>5356LT</v>
      </c>
    </row>
    <row r="1172" spans="1:22">
      <c r="A1172" t="s">
        <v>4689</v>
      </c>
      <c r="B1172" t="s">
        <v>4690</v>
      </c>
      <c r="H1172" t="s">
        <v>4795</v>
      </c>
      <c r="I1172" t="s">
        <v>4796</v>
      </c>
      <c r="J1172" t="s">
        <v>4797</v>
      </c>
      <c r="K1172" t="s">
        <v>4796</v>
      </c>
      <c r="L1172" t="s">
        <v>4688</v>
      </c>
      <c r="M1172" s="1" t="str">
        <f t="shared" si="126"/>
        <v>08D3</v>
      </c>
      <c r="N1172" s="1" t="str">
        <f t="shared" si="127"/>
        <v>C/O</v>
      </c>
      <c r="O1172" s="1" t="str">
        <f t="shared" si="128"/>
        <v>Ripper Tilt Cylinder RH</v>
      </c>
      <c r="P1172" s="1" t="str">
        <f t="shared" si="129"/>
        <v>RJG0</v>
      </c>
      <c r="Q1172" s="2" t="str">
        <f t="shared" si="130"/>
        <v>RJG0Ripper Tilt Cylinder RH</v>
      </c>
      <c r="R1172" s="2" t="str">
        <f>New_Xref[[#This Row],[Serial Prefix]]&amp;IF(New_Xref[[#This Row],[Func Loc]]&lt;&gt;"",New_Xref[[#This Row],[Func Loc]],"NO MATCH")</f>
        <v>RJG0MYHD .CYLI.RITR</v>
      </c>
      <c r="S1172" s="3" t="str">
        <f t="shared" si="131"/>
        <v>RJG0Ripper Tilt Cylinder RH</v>
      </c>
      <c r="T1172" s="3" t="s">
        <v>4685</v>
      </c>
      <c r="U1172" s="3" t="s">
        <v>115</v>
      </c>
      <c r="V1172" t="str">
        <f t="shared" si="132"/>
        <v>5356RI</v>
      </c>
    </row>
    <row r="1173" spans="1:22">
      <c r="A1173" t="s">
        <v>4798</v>
      </c>
      <c r="B1173" t="s">
        <v>4799</v>
      </c>
      <c r="C1173" t="s">
        <v>4800</v>
      </c>
      <c r="D1173" t="s">
        <v>4801</v>
      </c>
      <c r="E1173" t="s">
        <v>4802</v>
      </c>
      <c r="F1173" t="s">
        <v>27</v>
      </c>
      <c r="G1173">
        <v>1</v>
      </c>
      <c r="H1173" t="s">
        <v>4803</v>
      </c>
      <c r="I1173" t="s">
        <v>4804</v>
      </c>
      <c r="J1173" t="s">
        <v>4805</v>
      </c>
      <c r="K1173" t="s">
        <v>4806</v>
      </c>
      <c r="L1173" t="s">
        <v>32</v>
      </c>
      <c r="M1173" s="1" t="str">
        <f t="shared" si="126"/>
        <v>08B219</v>
      </c>
      <c r="N1173" s="1" t="str">
        <f t="shared" si="127"/>
        <v>C/O</v>
      </c>
      <c r="O1173" s="1" t="str">
        <f t="shared" si="128"/>
        <v>Engine</v>
      </c>
      <c r="P1173" s="1" t="str">
        <f t="shared" si="129"/>
        <v>RAB0</v>
      </c>
      <c r="Q1173" s="2" t="str">
        <f t="shared" si="130"/>
        <v>RAB0Engine</v>
      </c>
      <c r="R1173" s="2" t="str">
        <f>New_Xref[[#This Row],[Serial Prefix]]&amp;IF(New_Xref[[#This Row],[Func Loc]]&lt;&gt;"",New_Xref[[#This Row],[Func Loc]],"NO MATCH")</f>
        <v>RAB0ENGD</v>
      </c>
      <c r="S1173" s="3" t="str">
        <f t="shared" si="131"/>
        <v>RAB03596502XEngine</v>
      </c>
      <c r="T1173" s="3" t="s">
        <v>33</v>
      </c>
      <c r="U1173" s="3" t="s">
        <v>34</v>
      </c>
      <c r="V1173" t="str">
        <f t="shared" si="132"/>
        <v>100000</v>
      </c>
    </row>
    <row r="1174" spans="1:22">
      <c r="A1174" t="s">
        <v>4798</v>
      </c>
      <c r="B1174" t="s">
        <v>4799</v>
      </c>
      <c r="C1174" t="s">
        <v>4807</v>
      </c>
      <c r="D1174" t="s">
        <v>4808</v>
      </c>
      <c r="E1174" t="s">
        <v>4809</v>
      </c>
      <c r="F1174" t="s">
        <v>27</v>
      </c>
      <c r="G1174">
        <v>1</v>
      </c>
      <c r="H1174" t="s">
        <v>4810</v>
      </c>
      <c r="I1174" t="s">
        <v>4804</v>
      </c>
      <c r="J1174" t="s">
        <v>4811</v>
      </c>
      <c r="K1174" t="s">
        <v>4812</v>
      </c>
      <c r="L1174" t="s">
        <v>267</v>
      </c>
      <c r="M1174" s="1" t="str">
        <f t="shared" si="126"/>
        <v>08B219</v>
      </c>
      <c r="N1174" s="1" t="str">
        <f t="shared" si="127"/>
        <v>C/O</v>
      </c>
      <c r="O1174" s="1" t="str">
        <f t="shared" si="128"/>
        <v>Turbocharger LH</v>
      </c>
      <c r="P1174" s="1" t="str">
        <f t="shared" si="129"/>
        <v>RAB0</v>
      </c>
      <c r="Q1174" s="2" t="str">
        <f t="shared" si="130"/>
        <v>RAB0Turbocharger LH</v>
      </c>
      <c r="R1174" s="2" t="str">
        <f>New_Xref[[#This Row],[Serial Prefix]]&amp;IF(New_Xref[[#This Row],[Func Loc]]&lt;&gt;"",New_Xref[[#This Row],[Func Loc]],"NO MATCH")</f>
        <v>RAB0ENGD .TURB.TULH</v>
      </c>
      <c r="S1174" s="3" t="str">
        <f t="shared" si="131"/>
        <v>RAB020R3767Turbocharger LH</v>
      </c>
      <c r="T1174" s="3" t="s">
        <v>47</v>
      </c>
      <c r="U1174" s="3" t="s">
        <v>108</v>
      </c>
      <c r="V1174" t="str">
        <f t="shared" si="132"/>
        <v>1052LT</v>
      </c>
    </row>
    <row r="1175" spans="1:22">
      <c r="A1175" t="s">
        <v>4798</v>
      </c>
      <c r="B1175" t="s">
        <v>4799</v>
      </c>
      <c r="C1175" t="s">
        <v>4813</v>
      </c>
      <c r="D1175" t="s">
        <v>4814</v>
      </c>
      <c r="E1175" t="s">
        <v>4809</v>
      </c>
      <c r="F1175" t="s">
        <v>27</v>
      </c>
      <c r="G1175">
        <v>1</v>
      </c>
      <c r="H1175" t="s">
        <v>4815</v>
      </c>
      <c r="I1175" t="s">
        <v>4804</v>
      </c>
      <c r="J1175" t="s">
        <v>4816</v>
      </c>
      <c r="K1175" t="s">
        <v>4817</v>
      </c>
      <c r="L1175" t="s">
        <v>273</v>
      </c>
      <c r="M1175" s="1" t="str">
        <f t="shared" si="126"/>
        <v>08B219</v>
      </c>
      <c r="N1175" s="1" t="str">
        <f t="shared" si="127"/>
        <v>C/O</v>
      </c>
      <c r="O1175" s="1" t="str">
        <f t="shared" si="128"/>
        <v>Turbocharger RH</v>
      </c>
      <c r="P1175" s="1" t="str">
        <f t="shared" si="129"/>
        <v>RAB0</v>
      </c>
      <c r="Q1175" s="2" t="str">
        <f t="shared" si="130"/>
        <v>RAB0Turbocharger RH</v>
      </c>
      <c r="R1175" s="2" t="str">
        <f>New_Xref[[#This Row],[Serial Prefix]]&amp;IF(New_Xref[[#This Row],[Func Loc]]&lt;&gt;"",New_Xref[[#This Row],[Func Loc]],"NO MATCH")</f>
        <v>RAB0ENGD .TURB.TURH</v>
      </c>
      <c r="S1175" s="3" t="str">
        <f t="shared" si="131"/>
        <v>RAB020R3766Turbocharger RH</v>
      </c>
      <c r="T1175" s="3" t="s">
        <v>47</v>
      </c>
      <c r="U1175" s="3" t="s">
        <v>115</v>
      </c>
      <c r="V1175" t="str">
        <f t="shared" si="132"/>
        <v>1052RI</v>
      </c>
    </row>
    <row r="1176" spans="1:22">
      <c r="A1176" t="s">
        <v>4798</v>
      </c>
      <c r="B1176" t="s">
        <v>4799</v>
      </c>
      <c r="C1176" t="s">
        <v>274</v>
      </c>
      <c r="D1176" t="s">
        <v>275</v>
      </c>
      <c r="E1176" t="s">
        <v>276</v>
      </c>
      <c r="F1176" t="s">
        <v>27</v>
      </c>
      <c r="G1176">
        <v>12</v>
      </c>
      <c r="H1176" t="s">
        <v>4818</v>
      </c>
      <c r="I1176" t="s">
        <v>4804</v>
      </c>
      <c r="J1176" t="s">
        <v>4819</v>
      </c>
      <c r="K1176" t="s">
        <v>4820</v>
      </c>
      <c r="L1176" t="s">
        <v>62</v>
      </c>
      <c r="M1176" s="1" t="str">
        <f t="shared" si="126"/>
        <v>08B219</v>
      </c>
      <c r="N1176" s="1" t="str">
        <f t="shared" si="127"/>
        <v>C/O</v>
      </c>
      <c r="O1176" s="1" t="str">
        <f t="shared" si="128"/>
        <v>Fuel Injectors</v>
      </c>
      <c r="P1176" s="1" t="str">
        <f t="shared" si="129"/>
        <v>RAB0</v>
      </c>
      <c r="Q1176" s="2" t="str">
        <f t="shared" si="130"/>
        <v>RAB0Fuel Injectors</v>
      </c>
      <c r="R1176" s="2" t="str">
        <f>New_Xref[[#This Row],[Serial Prefix]]&amp;IF(New_Xref[[#This Row],[Func Loc]]&lt;&gt;"",New_Xref[[#This Row],[Func Loc]],"NO MATCH")</f>
        <v>RAB0ENGD .FUEL.INJE</v>
      </c>
      <c r="S1176" s="3" t="str">
        <f t="shared" si="131"/>
        <v>RAB06470751Fuel Injectors</v>
      </c>
      <c r="T1176" s="3" t="s">
        <v>63</v>
      </c>
      <c r="U1176" s="3" t="s">
        <v>34</v>
      </c>
      <c r="V1176" t="str">
        <f t="shared" si="132"/>
        <v>125100</v>
      </c>
    </row>
    <row r="1177" spans="1:22">
      <c r="A1177" t="s">
        <v>4798</v>
      </c>
      <c r="B1177" t="s">
        <v>4799</v>
      </c>
      <c r="C1177" t="s">
        <v>4821</v>
      </c>
      <c r="D1177" t="s">
        <v>4822</v>
      </c>
      <c r="E1177" t="s">
        <v>4823</v>
      </c>
      <c r="F1177" t="s">
        <v>27</v>
      </c>
      <c r="G1177">
        <v>1</v>
      </c>
      <c r="H1177" t="s">
        <v>4824</v>
      </c>
      <c r="I1177" t="s">
        <v>4825</v>
      </c>
      <c r="J1177" t="s">
        <v>4826</v>
      </c>
      <c r="K1177" t="s">
        <v>4825</v>
      </c>
      <c r="L1177" t="s">
        <v>67</v>
      </c>
      <c r="M1177" s="1" t="str">
        <f t="shared" si="126"/>
        <v>08B219</v>
      </c>
      <c r="N1177" s="1" t="str">
        <f t="shared" si="127"/>
        <v>C/O</v>
      </c>
      <c r="O1177" s="1" t="str">
        <f t="shared" si="128"/>
        <v>Engine Radiator</v>
      </c>
      <c r="P1177" s="1" t="str">
        <f t="shared" si="129"/>
        <v>RAB0</v>
      </c>
      <c r="Q1177" s="2" t="str">
        <f t="shared" si="130"/>
        <v>RAB0Engine Radiator</v>
      </c>
      <c r="R1177" s="2" t="str">
        <f>New_Xref[[#This Row],[Serial Prefix]]&amp;IF(New_Xref[[#This Row],[Func Loc]]&lt;&gt;"",New_Xref[[#This Row],[Func Loc]],"NO MATCH")</f>
        <v>RAB0ENGD .ENCS.RADI</v>
      </c>
      <c r="S1177" s="3" t="str">
        <f t="shared" si="131"/>
        <v>RAB03878408FEngine Radiator</v>
      </c>
      <c r="T1177" s="3" t="s">
        <v>68</v>
      </c>
      <c r="U1177" s="3" t="s">
        <v>34</v>
      </c>
      <c r="V1177" t="str">
        <f t="shared" si="132"/>
        <v>135300</v>
      </c>
    </row>
    <row r="1178" spans="1:22">
      <c r="A1178" t="s">
        <v>4798</v>
      </c>
      <c r="B1178" t="s">
        <v>4799</v>
      </c>
      <c r="C1178" t="s">
        <v>286</v>
      </c>
      <c r="D1178" t="s">
        <v>287</v>
      </c>
      <c r="E1178" t="s">
        <v>288</v>
      </c>
      <c r="F1178" t="s">
        <v>27</v>
      </c>
      <c r="G1178">
        <v>1</v>
      </c>
      <c r="H1178" t="s">
        <v>4827</v>
      </c>
      <c r="I1178" t="s">
        <v>4804</v>
      </c>
      <c r="J1178" t="s">
        <v>4828</v>
      </c>
      <c r="K1178" t="s">
        <v>4829</v>
      </c>
      <c r="L1178" t="s">
        <v>182</v>
      </c>
      <c r="M1178" s="1" t="str">
        <f t="shared" si="126"/>
        <v>08B219</v>
      </c>
      <c r="N1178" s="1" t="str">
        <f t="shared" si="127"/>
        <v>C/O</v>
      </c>
      <c r="O1178" s="1" t="str">
        <f t="shared" si="128"/>
        <v>Water Pump Main</v>
      </c>
      <c r="P1178" s="1" t="str">
        <f t="shared" si="129"/>
        <v>RAB0</v>
      </c>
      <c r="Q1178" s="2" t="str">
        <f t="shared" si="130"/>
        <v>RAB0Water Pump Main</v>
      </c>
      <c r="R1178" s="2" t="str">
        <f>New_Xref[[#This Row],[Serial Prefix]]&amp;IF(New_Xref[[#This Row],[Func Loc]]&lt;&gt;"",New_Xref[[#This Row],[Func Loc]],"NO MATCH")</f>
        <v>RAB0ENGD .WAPU.WAPM</v>
      </c>
      <c r="S1178" s="3" t="str">
        <f t="shared" si="131"/>
        <v>RAB020R1859Water Pump Main</v>
      </c>
      <c r="T1178" s="3" t="s">
        <v>183</v>
      </c>
      <c r="U1178" s="3" t="s">
        <v>34</v>
      </c>
      <c r="V1178" t="str">
        <f t="shared" si="132"/>
        <v>136100</v>
      </c>
    </row>
    <row r="1179" spans="1:22">
      <c r="A1179" t="s">
        <v>4798</v>
      </c>
      <c r="B1179" t="s">
        <v>4799</v>
      </c>
      <c r="C1179" t="s">
        <v>4830</v>
      </c>
      <c r="D1179" t="s">
        <v>4831</v>
      </c>
      <c r="E1179" t="s">
        <v>4832</v>
      </c>
      <c r="F1179" t="s">
        <v>27</v>
      </c>
      <c r="G1179">
        <v>1</v>
      </c>
      <c r="H1179" t="s">
        <v>4833</v>
      </c>
      <c r="I1179" t="s">
        <v>4834</v>
      </c>
      <c r="J1179" t="s">
        <v>4835</v>
      </c>
      <c r="K1179" t="s">
        <v>4834</v>
      </c>
      <c r="L1179" t="s">
        <v>187</v>
      </c>
      <c r="M1179" s="1" t="str">
        <f t="shared" si="126"/>
        <v>08B219</v>
      </c>
      <c r="N1179" s="1" t="str">
        <f t="shared" si="127"/>
        <v>C/O</v>
      </c>
      <c r="O1179" s="1" t="str">
        <f t="shared" si="128"/>
        <v>Engine Cooling Fan Motor</v>
      </c>
      <c r="P1179" s="1" t="str">
        <f t="shared" si="129"/>
        <v>RAB0</v>
      </c>
      <c r="Q1179" s="2" t="str">
        <f t="shared" si="130"/>
        <v>RAB0Engine Cooling Fan Motor</v>
      </c>
      <c r="R1179" s="2" t="str">
        <f>New_Xref[[#This Row],[Serial Prefix]]&amp;IF(New_Xref[[#This Row],[Func Loc]]&lt;&gt;"",New_Xref[[#This Row],[Func Loc]],"NO MATCH")</f>
        <v>RAB0MYHD .MOTO.ECFM</v>
      </c>
      <c r="S1179" s="3" t="str">
        <f t="shared" si="131"/>
        <v>RAB020R8955Engine Cooling Fan Motor</v>
      </c>
      <c r="T1179" s="3" t="s">
        <v>188</v>
      </c>
      <c r="U1179" s="3" t="s">
        <v>34</v>
      </c>
      <c r="V1179" t="str">
        <f t="shared" si="132"/>
        <v>138600</v>
      </c>
    </row>
    <row r="1180" spans="1:22">
      <c r="A1180" t="s">
        <v>4798</v>
      </c>
      <c r="B1180" t="s">
        <v>4799</v>
      </c>
      <c r="C1180" t="s">
        <v>4836</v>
      </c>
      <c r="D1180" t="s">
        <v>4837</v>
      </c>
      <c r="E1180" t="s">
        <v>4838</v>
      </c>
      <c r="F1180" t="s">
        <v>27</v>
      </c>
      <c r="G1180">
        <v>1</v>
      </c>
      <c r="H1180" t="s">
        <v>4839</v>
      </c>
      <c r="I1180" t="s">
        <v>4840</v>
      </c>
      <c r="J1180" t="s">
        <v>4841</v>
      </c>
      <c r="K1180" t="s">
        <v>4840</v>
      </c>
      <c r="L1180" t="s">
        <v>365</v>
      </c>
      <c r="M1180" s="1" t="str">
        <f t="shared" si="126"/>
        <v>08B219</v>
      </c>
      <c r="N1180" s="1" t="str">
        <f t="shared" si="127"/>
        <v>C/O</v>
      </c>
      <c r="O1180" s="1" t="str">
        <f t="shared" si="128"/>
        <v>Engine Cooling Fan Pump</v>
      </c>
      <c r="P1180" s="1" t="str">
        <f t="shared" si="129"/>
        <v>RAB0</v>
      </c>
      <c r="Q1180" s="2" t="str">
        <f t="shared" si="130"/>
        <v>RAB0Engine Cooling Fan Pump</v>
      </c>
      <c r="R1180" s="2" t="str">
        <f>New_Xref[[#This Row],[Serial Prefix]]&amp;IF(New_Xref[[#This Row],[Func Loc]]&lt;&gt;"",New_Xref[[#This Row],[Func Loc]],"NO MATCH")</f>
        <v>RAB0MYHD .PUMP.ECFP</v>
      </c>
      <c r="S1180" s="3" t="str">
        <f t="shared" si="131"/>
        <v>RAB020R8952Engine Cooling Fan Pump</v>
      </c>
      <c r="T1180" s="3" t="s">
        <v>869</v>
      </c>
      <c r="U1180" s="3" t="s">
        <v>115</v>
      </c>
      <c r="V1180" t="str">
        <f t="shared" si="132"/>
        <v>1387RI</v>
      </c>
    </row>
    <row r="1181" spans="1:22">
      <c r="A1181" t="s">
        <v>4798</v>
      </c>
      <c r="B1181" t="s">
        <v>4799</v>
      </c>
      <c r="C1181" t="s">
        <v>875</v>
      </c>
      <c r="D1181" t="s">
        <v>876</v>
      </c>
      <c r="E1181" t="s">
        <v>877</v>
      </c>
      <c r="F1181" t="s">
        <v>27</v>
      </c>
      <c r="G1181">
        <v>1</v>
      </c>
      <c r="H1181" t="s">
        <v>4842</v>
      </c>
      <c r="I1181" t="s">
        <v>4804</v>
      </c>
      <c r="J1181" t="s">
        <v>4843</v>
      </c>
      <c r="K1181" t="s">
        <v>4844</v>
      </c>
      <c r="L1181" t="s">
        <v>4586</v>
      </c>
      <c r="M1181" s="1" t="str">
        <f t="shared" si="126"/>
        <v>08B219</v>
      </c>
      <c r="N1181" s="1" t="str">
        <f t="shared" si="127"/>
        <v>C/O</v>
      </c>
      <c r="O1181" s="1" t="str">
        <f t="shared" si="128"/>
        <v>Starter Motor</v>
      </c>
      <c r="P1181" s="1" t="str">
        <f t="shared" si="129"/>
        <v>RAB0</v>
      </c>
      <c r="Q1181" s="2" t="str">
        <f t="shared" si="130"/>
        <v>RAB0Starter Motor</v>
      </c>
      <c r="R1181" s="2" t="str">
        <f>New_Xref[[#This Row],[Serial Prefix]]&amp;IF(New_Xref[[#This Row],[Func Loc]]&lt;&gt;"",New_Xref[[#This Row],[Func Loc]],"NO MATCH")</f>
        <v>RAB0LVEL .STSY.STMO</v>
      </c>
      <c r="S1181" s="3" t="str">
        <f t="shared" si="131"/>
        <v>RAB020R1312Starter Motor</v>
      </c>
      <c r="T1181" s="3" t="s">
        <v>881</v>
      </c>
      <c r="U1181" s="3" t="s">
        <v>34</v>
      </c>
      <c r="V1181" t="str">
        <f t="shared" si="132"/>
        <v>145300</v>
      </c>
    </row>
    <row r="1182" spans="1:22">
      <c r="A1182" t="s">
        <v>4798</v>
      </c>
      <c r="B1182" t="s">
        <v>4799</v>
      </c>
      <c r="C1182" t="s">
        <v>4845</v>
      </c>
      <c r="D1182" t="s">
        <v>4846</v>
      </c>
      <c r="E1182" t="s">
        <v>4847</v>
      </c>
      <c r="F1182" t="s">
        <v>27</v>
      </c>
      <c r="G1182">
        <v>1</v>
      </c>
      <c r="H1182" t="s">
        <v>4848</v>
      </c>
      <c r="I1182" t="s">
        <v>4849</v>
      </c>
      <c r="J1182" t="s">
        <v>4850</v>
      </c>
      <c r="K1182" t="s">
        <v>4849</v>
      </c>
      <c r="L1182" t="s">
        <v>72</v>
      </c>
      <c r="M1182" s="1" t="str">
        <f t="shared" si="126"/>
        <v>08B219</v>
      </c>
      <c r="N1182" s="1" t="str">
        <f t="shared" si="127"/>
        <v>C/O</v>
      </c>
      <c r="O1182" s="1" t="str">
        <f t="shared" si="128"/>
        <v>Transmission</v>
      </c>
      <c r="P1182" s="1" t="str">
        <f t="shared" si="129"/>
        <v>RAB0</v>
      </c>
      <c r="Q1182" s="2" t="str">
        <f t="shared" si="130"/>
        <v>RAB0Transmission</v>
      </c>
      <c r="R1182" s="2" t="str">
        <f>New_Xref[[#This Row],[Serial Prefix]]&amp;IF(New_Xref[[#This Row],[Func Loc]]&lt;&gt;"",New_Xref[[#This Row],[Func Loc]],"NO MATCH")</f>
        <v>RAB0TRAN .TRAN</v>
      </c>
      <c r="S1182" s="3" t="str">
        <f t="shared" si="131"/>
        <v>RAB03726094XTransmission</v>
      </c>
      <c r="T1182" s="3" t="s">
        <v>4721</v>
      </c>
      <c r="U1182" s="3" t="s">
        <v>34</v>
      </c>
      <c r="V1182" t="str">
        <f t="shared" si="132"/>
        <v>300600</v>
      </c>
    </row>
    <row r="1183" spans="1:22">
      <c r="A1183" t="s">
        <v>4798</v>
      </c>
      <c r="B1183" t="s">
        <v>4851</v>
      </c>
      <c r="C1183" t="s">
        <v>4590</v>
      </c>
      <c r="D1183" t="s">
        <v>4591</v>
      </c>
      <c r="E1183" t="s">
        <v>4592</v>
      </c>
      <c r="F1183" t="s">
        <v>27</v>
      </c>
      <c r="G1183">
        <v>1</v>
      </c>
      <c r="H1183" t="s">
        <v>4852</v>
      </c>
      <c r="I1183" t="s">
        <v>4853</v>
      </c>
      <c r="J1183" t="s">
        <v>4854</v>
      </c>
      <c r="K1183" t="s">
        <v>4853</v>
      </c>
      <c r="L1183" t="s">
        <v>4596</v>
      </c>
      <c r="M1183" s="1" t="str">
        <f t="shared" si="126"/>
        <v>08B221</v>
      </c>
      <c r="N1183" s="1" t="str">
        <f t="shared" si="127"/>
        <v>C/O</v>
      </c>
      <c r="O1183" s="1" t="str">
        <f t="shared" si="128"/>
        <v>Power Train Oil Pump</v>
      </c>
      <c r="P1183" s="1" t="str">
        <f t="shared" si="129"/>
        <v>RAB0</v>
      </c>
      <c r="Q1183" s="2" t="str">
        <f t="shared" si="130"/>
        <v>RAB0Power Train Oil Pump</v>
      </c>
      <c r="R1183" s="2" t="str">
        <f>New_Xref[[#This Row],[Serial Prefix]]&amp;IF(New_Xref[[#This Row],[Func Loc]]&lt;&gt;"",New_Xref[[#This Row],[Func Loc]],"NO MATCH")</f>
        <v>RAB0TRAN .PUMP.PTOP</v>
      </c>
      <c r="S1183" s="3" t="str">
        <f t="shared" si="131"/>
        <v>RAB030R0153Power Train Oil Pump</v>
      </c>
      <c r="T1183" s="3" t="s">
        <v>584</v>
      </c>
      <c r="U1183" s="3" t="s">
        <v>34</v>
      </c>
      <c r="V1183" t="str">
        <f t="shared" si="132"/>
        <v>306600</v>
      </c>
    </row>
    <row r="1184" spans="1:22">
      <c r="A1184" t="s">
        <v>4798</v>
      </c>
      <c r="B1184" t="s">
        <v>4799</v>
      </c>
      <c r="C1184" t="s">
        <v>4855</v>
      </c>
      <c r="D1184" t="s">
        <v>4856</v>
      </c>
      <c r="E1184" t="s">
        <v>4857</v>
      </c>
      <c r="F1184" t="s">
        <v>27</v>
      </c>
      <c r="G1184">
        <v>1</v>
      </c>
      <c r="H1184" t="s">
        <v>4858</v>
      </c>
      <c r="I1184" t="s">
        <v>4859</v>
      </c>
      <c r="J1184" t="s">
        <v>4860</v>
      </c>
      <c r="K1184" t="s">
        <v>4859</v>
      </c>
      <c r="L1184" t="s">
        <v>304</v>
      </c>
      <c r="M1184" s="1" t="str">
        <f t="shared" si="126"/>
        <v>08B219</v>
      </c>
      <c r="N1184" s="1" t="str">
        <f t="shared" si="127"/>
        <v>C/O</v>
      </c>
      <c r="O1184" s="1" t="str">
        <f t="shared" si="128"/>
        <v>Torque Converter</v>
      </c>
      <c r="P1184" s="1" t="str">
        <f t="shared" si="129"/>
        <v>RAB0</v>
      </c>
      <c r="Q1184" s="2" t="str">
        <f t="shared" si="130"/>
        <v>RAB0Torque Converter</v>
      </c>
      <c r="R1184" s="2" t="str">
        <f>New_Xref[[#This Row],[Serial Prefix]]&amp;IF(New_Xref[[#This Row],[Func Loc]]&lt;&gt;"",New_Xref[[#This Row],[Func Loc]],"NO MATCH")</f>
        <v>RAB0TRAN .TOCO</v>
      </c>
      <c r="S1184" s="3" t="str">
        <f t="shared" si="131"/>
        <v>RAB03596482XTorque Converter</v>
      </c>
      <c r="T1184" s="3" t="s">
        <v>305</v>
      </c>
      <c r="U1184" s="3" t="s">
        <v>34</v>
      </c>
      <c r="V1184" t="str">
        <f t="shared" si="132"/>
        <v>310100</v>
      </c>
    </row>
    <row r="1185" spans="1:22">
      <c r="A1185" t="s">
        <v>4798</v>
      </c>
      <c r="B1185" t="s">
        <v>4799</v>
      </c>
      <c r="C1185" t="s">
        <v>4600</v>
      </c>
      <c r="D1185" t="s">
        <v>4601</v>
      </c>
      <c r="E1185" t="s">
        <v>4602</v>
      </c>
      <c r="F1185" t="s">
        <v>27</v>
      </c>
      <c r="G1185">
        <v>1</v>
      </c>
      <c r="H1185" t="s">
        <v>4861</v>
      </c>
      <c r="I1185" t="s">
        <v>4862</v>
      </c>
      <c r="J1185" t="s">
        <v>4863</v>
      </c>
      <c r="K1185" t="s">
        <v>4862</v>
      </c>
      <c r="L1185" t="s">
        <v>907</v>
      </c>
      <c r="M1185" s="1" t="str">
        <f t="shared" si="126"/>
        <v>08B219</v>
      </c>
      <c r="N1185" s="1" t="str">
        <f t="shared" si="127"/>
        <v>C/O</v>
      </c>
      <c r="O1185" s="1" t="str">
        <f t="shared" si="128"/>
        <v>Final Drive LH</v>
      </c>
      <c r="P1185" s="1" t="str">
        <f t="shared" si="129"/>
        <v>RAB0</v>
      </c>
      <c r="Q1185" s="2" t="str">
        <f t="shared" si="130"/>
        <v>RAB0Final Drive LH</v>
      </c>
      <c r="R1185" s="2" t="str">
        <f>New_Xref[[#This Row],[Serial Prefix]]&amp;IF(New_Xref[[#This Row],[Func Loc]]&lt;&gt;"",New_Xref[[#This Row],[Func Loc]],"NO MATCH")</f>
        <v>RAB0FDRV .FIDR.FDLH</v>
      </c>
      <c r="S1185" s="3" t="str">
        <f t="shared" si="131"/>
        <v>RAB00R8504Final Drive LH</v>
      </c>
      <c r="T1185" s="3" t="s">
        <v>908</v>
      </c>
      <c r="U1185" s="3" t="s">
        <v>108</v>
      </c>
      <c r="V1185" t="str">
        <f t="shared" si="132"/>
        <v>4050LT</v>
      </c>
    </row>
    <row r="1186" spans="1:22">
      <c r="A1186" t="s">
        <v>4798</v>
      </c>
      <c r="B1186" t="s">
        <v>4799</v>
      </c>
      <c r="C1186" t="s">
        <v>4600</v>
      </c>
      <c r="D1186" t="s">
        <v>4601</v>
      </c>
      <c r="E1186" t="s">
        <v>4602</v>
      </c>
      <c r="F1186" t="s">
        <v>27</v>
      </c>
      <c r="G1186">
        <v>1</v>
      </c>
      <c r="H1186" t="s">
        <v>4861</v>
      </c>
      <c r="I1186" t="s">
        <v>4864</v>
      </c>
      <c r="J1186" t="s">
        <v>4865</v>
      </c>
      <c r="K1186" t="s">
        <v>4864</v>
      </c>
      <c r="L1186" t="s">
        <v>911</v>
      </c>
      <c r="M1186" s="1" t="str">
        <f t="shared" si="126"/>
        <v>08B219</v>
      </c>
      <c r="N1186" s="1" t="str">
        <f t="shared" si="127"/>
        <v>C/O</v>
      </c>
      <c r="O1186" s="1" t="str">
        <f t="shared" si="128"/>
        <v>Final Drive RH</v>
      </c>
      <c r="P1186" s="1" t="str">
        <f t="shared" si="129"/>
        <v>RAB0</v>
      </c>
      <c r="Q1186" s="2" t="str">
        <f t="shared" si="130"/>
        <v>RAB0Final Drive RH</v>
      </c>
      <c r="R1186" s="2" t="str">
        <f>New_Xref[[#This Row],[Serial Prefix]]&amp;IF(New_Xref[[#This Row],[Func Loc]]&lt;&gt;"",New_Xref[[#This Row],[Func Loc]],"NO MATCH")</f>
        <v>RAB0FDRV .FIDR.FDRH</v>
      </c>
      <c r="S1186" s="3" t="str">
        <f t="shared" si="131"/>
        <v>RAB00R8504Final Drive RH</v>
      </c>
      <c r="T1186" s="3" t="s">
        <v>908</v>
      </c>
      <c r="U1186" s="3" t="s">
        <v>115</v>
      </c>
      <c r="V1186" t="str">
        <f t="shared" si="132"/>
        <v>4050RI</v>
      </c>
    </row>
    <row r="1187" spans="1:22">
      <c r="A1187" t="s">
        <v>4798</v>
      </c>
      <c r="B1187" t="s">
        <v>4799</v>
      </c>
      <c r="C1187" t="s">
        <v>4739</v>
      </c>
      <c r="D1187" t="s">
        <v>4740</v>
      </c>
      <c r="E1187" t="s">
        <v>4741</v>
      </c>
      <c r="F1187" t="s">
        <v>27</v>
      </c>
      <c r="G1187">
        <v>1</v>
      </c>
      <c r="H1187" t="s">
        <v>4866</v>
      </c>
      <c r="I1187" t="s">
        <v>4867</v>
      </c>
      <c r="J1187" t="s">
        <v>4868</v>
      </c>
      <c r="K1187" t="s">
        <v>4867</v>
      </c>
      <c r="L1187" t="s">
        <v>4615</v>
      </c>
      <c r="M1187" s="1" t="str">
        <f t="shared" si="126"/>
        <v>08B219</v>
      </c>
      <c r="N1187" s="1" t="str">
        <f t="shared" si="127"/>
        <v>C/O</v>
      </c>
      <c r="O1187" s="1" t="str">
        <f t="shared" si="128"/>
        <v>Steering Clutch &amp; Brake LH</v>
      </c>
      <c r="P1187" s="1" t="str">
        <f t="shared" si="129"/>
        <v>RAB0</v>
      </c>
      <c r="Q1187" s="2" t="str">
        <f t="shared" si="130"/>
        <v>RAB0Steering Clutch &amp; Brake LH</v>
      </c>
      <c r="R1187" s="2" t="str">
        <f>New_Xref[[#This Row],[Serial Prefix]]&amp;IF(New_Xref[[#This Row],[Func Loc]]&lt;&gt;"",New_Xref[[#This Row],[Func Loc]],"NO MATCH")</f>
        <v>RAB0BRSS .SCBA.SCLH</v>
      </c>
      <c r="S1187" s="3" t="str">
        <f t="shared" si="131"/>
        <v>RAB02371017XSteering Clutch &amp; Brake LH</v>
      </c>
      <c r="T1187" s="3" t="s">
        <v>4616</v>
      </c>
      <c r="U1187" s="3" t="s">
        <v>108</v>
      </c>
      <c r="V1187" t="str">
        <f t="shared" si="132"/>
        <v>4100LT</v>
      </c>
    </row>
    <row r="1188" spans="1:22">
      <c r="A1188" t="s">
        <v>4798</v>
      </c>
      <c r="B1188" t="s">
        <v>4799</v>
      </c>
      <c r="C1188" t="s">
        <v>4739</v>
      </c>
      <c r="D1188" t="s">
        <v>4740</v>
      </c>
      <c r="E1188" t="s">
        <v>4741</v>
      </c>
      <c r="F1188" t="s">
        <v>27</v>
      </c>
      <c r="G1188">
        <v>1</v>
      </c>
      <c r="H1188" t="s">
        <v>4866</v>
      </c>
      <c r="I1188" t="s">
        <v>4869</v>
      </c>
      <c r="J1188" t="s">
        <v>4870</v>
      </c>
      <c r="K1188" t="s">
        <v>4869</v>
      </c>
      <c r="L1188" t="s">
        <v>4620</v>
      </c>
      <c r="M1188" s="1" t="str">
        <f t="shared" si="126"/>
        <v>08B219</v>
      </c>
      <c r="N1188" s="1" t="str">
        <f t="shared" si="127"/>
        <v>C/O</v>
      </c>
      <c r="O1188" s="1" t="str">
        <f t="shared" si="128"/>
        <v>Steering Clutch &amp; Brake RH</v>
      </c>
      <c r="P1188" s="1" t="str">
        <f t="shared" si="129"/>
        <v>RAB0</v>
      </c>
      <c r="Q1188" s="2" t="str">
        <f t="shared" si="130"/>
        <v>RAB0Steering Clutch &amp; Brake RH</v>
      </c>
      <c r="R1188" s="2" t="str">
        <f>New_Xref[[#This Row],[Serial Prefix]]&amp;IF(New_Xref[[#This Row],[Func Loc]]&lt;&gt;"",New_Xref[[#This Row],[Func Loc]],"NO MATCH")</f>
        <v>RAB0BRSS .SCBA.SCRH</v>
      </c>
      <c r="S1188" s="3" t="str">
        <f t="shared" si="131"/>
        <v>RAB02371017XSteering Clutch &amp; Brake RH</v>
      </c>
      <c r="T1188" s="3" t="s">
        <v>4616</v>
      </c>
      <c r="U1188" s="3" t="s">
        <v>115</v>
      </c>
      <c r="V1188" t="str">
        <f t="shared" si="132"/>
        <v>4100RI</v>
      </c>
    </row>
    <row r="1189" spans="1:22">
      <c r="A1189" t="s">
        <v>4798</v>
      </c>
      <c r="B1189" t="s">
        <v>4871</v>
      </c>
      <c r="C1189" t="s">
        <v>4608</v>
      </c>
      <c r="D1189" t="s">
        <v>4609</v>
      </c>
      <c r="E1189" t="s">
        <v>4748</v>
      </c>
      <c r="F1189" t="s">
        <v>27</v>
      </c>
      <c r="G1189">
        <v>1</v>
      </c>
      <c r="H1189" t="s">
        <v>4866</v>
      </c>
      <c r="I1189" t="s">
        <v>4872</v>
      </c>
      <c r="J1189" t="s">
        <v>4873</v>
      </c>
      <c r="K1189" t="s">
        <v>4872</v>
      </c>
      <c r="L1189" t="s">
        <v>4615</v>
      </c>
      <c r="M1189" s="1" t="str">
        <f t="shared" si="126"/>
        <v>08H321</v>
      </c>
      <c r="N1189" s="1" t="str">
        <f t="shared" si="127"/>
        <v>C/O</v>
      </c>
      <c r="O1189" s="1" t="str">
        <f t="shared" si="128"/>
        <v>Steering Clutch &amp; Brake LH</v>
      </c>
      <c r="P1189" s="1" t="str">
        <f t="shared" si="129"/>
        <v>RAB0</v>
      </c>
      <c r="Q1189" s="2" t="str">
        <f t="shared" si="130"/>
        <v>RAB0Steering Clutch &amp; Brake LH</v>
      </c>
      <c r="R1189" s="2" t="str">
        <f>New_Xref[[#This Row],[Serial Prefix]]&amp;IF(New_Xref[[#This Row],[Func Loc]]&lt;&gt;"",New_Xref[[#This Row],[Func Loc]],"NO MATCH")</f>
        <v>RAB0BRSS .SCBA.SCLH</v>
      </c>
      <c r="S1189" s="3" t="str">
        <f t="shared" si="131"/>
        <v>RAB05710489XSteering Clutch &amp; Brake LH</v>
      </c>
      <c r="T1189" s="3" t="s">
        <v>4616</v>
      </c>
      <c r="U1189" s="3" t="s">
        <v>108</v>
      </c>
      <c r="V1189" t="str">
        <f t="shared" si="132"/>
        <v>4100LT</v>
      </c>
    </row>
    <row r="1190" spans="1:22">
      <c r="A1190" t="s">
        <v>4798</v>
      </c>
      <c r="B1190" t="s">
        <v>4799</v>
      </c>
      <c r="C1190" t="s">
        <v>4621</v>
      </c>
      <c r="D1190" t="s">
        <v>4622</v>
      </c>
      <c r="E1190" t="s">
        <v>4874</v>
      </c>
      <c r="F1190" t="s">
        <v>27</v>
      </c>
      <c r="G1190">
        <v>1</v>
      </c>
      <c r="H1190" t="s">
        <v>4875</v>
      </c>
      <c r="I1190" t="s">
        <v>4876</v>
      </c>
      <c r="J1190" t="s">
        <v>4877</v>
      </c>
      <c r="K1190" t="s">
        <v>4876</v>
      </c>
      <c r="L1190" t="s">
        <v>4627</v>
      </c>
      <c r="M1190" s="1" t="str">
        <f t="shared" si="126"/>
        <v>08B219</v>
      </c>
      <c r="N1190" s="1" t="str">
        <f t="shared" si="127"/>
        <v>C/O</v>
      </c>
      <c r="O1190" s="1" t="str">
        <f t="shared" si="128"/>
        <v>Track Frame LH</v>
      </c>
      <c r="P1190" s="1" t="str">
        <f t="shared" si="129"/>
        <v>RAB0</v>
      </c>
      <c r="Q1190" s="2" t="str">
        <f t="shared" si="130"/>
        <v>RAB0Track Frame LH</v>
      </c>
      <c r="R1190" s="2" t="str">
        <f>New_Xref[[#This Row],[Serial Prefix]]&amp;IF(New_Xref[[#This Row],[Func Loc]]&lt;&gt;"",New_Xref[[#This Row],[Func Loc]],"NO MATCH")</f>
        <v>RAB0STRU .TFLH</v>
      </c>
      <c r="S1190" s="3" t="str">
        <f t="shared" si="131"/>
        <v>RAB03643803FTrack Frame LH</v>
      </c>
      <c r="T1190" s="3" t="s">
        <v>4628</v>
      </c>
      <c r="U1190" s="3" t="s">
        <v>108</v>
      </c>
      <c r="V1190" t="str">
        <f t="shared" si="132"/>
        <v>4150LT</v>
      </c>
    </row>
    <row r="1191" spans="1:22">
      <c r="A1191" t="s">
        <v>4798</v>
      </c>
      <c r="B1191" t="s">
        <v>4799</v>
      </c>
      <c r="C1191" t="s">
        <v>4629</v>
      </c>
      <c r="D1191" t="s">
        <v>4630</v>
      </c>
      <c r="E1191" t="s">
        <v>4874</v>
      </c>
      <c r="F1191" t="s">
        <v>27</v>
      </c>
      <c r="G1191">
        <v>1</v>
      </c>
      <c r="H1191" t="s">
        <v>4878</v>
      </c>
      <c r="I1191" t="s">
        <v>4879</v>
      </c>
      <c r="J1191" t="s">
        <v>4880</v>
      </c>
      <c r="K1191" t="s">
        <v>4879</v>
      </c>
      <c r="L1191" t="s">
        <v>4634</v>
      </c>
      <c r="M1191" s="1" t="str">
        <f t="shared" si="126"/>
        <v>08B219</v>
      </c>
      <c r="N1191" s="1" t="str">
        <f t="shared" si="127"/>
        <v>C/O</v>
      </c>
      <c r="O1191" s="1" t="str">
        <f t="shared" si="128"/>
        <v>Track Frame RH</v>
      </c>
      <c r="P1191" s="1" t="str">
        <f t="shared" si="129"/>
        <v>RAB0</v>
      </c>
      <c r="Q1191" s="2" t="str">
        <f t="shared" si="130"/>
        <v>RAB0Track Frame RH</v>
      </c>
      <c r="R1191" s="2" t="str">
        <f>New_Xref[[#This Row],[Serial Prefix]]&amp;IF(New_Xref[[#This Row],[Func Loc]]&lt;&gt;"",New_Xref[[#This Row],[Func Loc]],"NO MATCH")</f>
        <v>RAB0STRU .TFRH</v>
      </c>
      <c r="S1191" s="3" t="str">
        <f t="shared" si="131"/>
        <v>RAB03643802FTrack Frame RH</v>
      </c>
      <c r="T1191" s="3" t="s">
        <v>4628</v>
      </c>
      <c r="U1191" s="3" t="s">
        <v>115</v>
      </c>
      <c r="V1191" t="str">
        <f t="shared" si="132"/>
        <v>4150RI</v>
      </c>
    </row>
    <row r="1192" spans="1:22">
      <c r="A1192" t="s">
        <v>4798</v>
      </c>
      <c r="B1192" t="s">
        <v>4799</v>
      </c>
      <c r="C1192" t="s">
        <v>4635</v>
      </c>
      <c r="D1192" t="s">
        <v>4636</v>
      </c>
      <c r="E1192" t="s">
        <v>4637</v>
      </c>
      <c r="F1192" t="s">
        <v>27</v>
      </c>
      <c r="G1192">
        <v>1</v>
      </c>
      <c r="H1192" t="s">
        <v>4881</v>
      </c>
      <c r="I1192" t="s">
        <v>4882</v>
      </c>
      <c r="J1192" t="s">
        <v>4883</v>
      </c>
      <c r="K1192" t="s">
        <v>4882</v>
      </c>
      <c r="L1192" t="s">
        <v>4641</v>
      </c>
      <c r="M1192" s="1" t="str">
        <f t="shared" si="126"/>
        <v>08B219</v>
      </c>
      <c r="N1192" s="1" t="str">
        <f t="shared" si="127"/>
        <v>C/O</v>
      </c>
      <c r="O1192" s="1" t="str">
        <f t="shared" si="128"/>
        <v>Pivot Shaft</v>
      </c>
      <c r="P1192" s="1" t="str">
        <f t="shared" si="129"/>
        <v>RAB0</v>
      </c>
      <c r="Q1192" s="2" t="str">
        <f t="shared" si="130"/>
        <v>RAB0Pivot Shaft</v>
      </c>
      <c r="R1192" s="2" t="str">
        <f>New_Xref[[#This Row],[Serial Prefix]]&amp;IF(New_Xref[[#This Row],[Func Loc]]&lt;&gt;"",New_Xref[[#This Row],[Func Loc]],"NO MATCH")</f>
        <v>RAB0STRU .CHAS.PISH</v>
      </c>
      <c r="S1192" s="3" t="str">
        <f t="shared" si="131"/>
        <v>RAB010R9167Pivot Shaft</v>
      </c>
      <c r="T1192" s="3" t="s">
        <v>4642</v>
      </c>
      <c r="U1192" s="3" t="s">
        <v>34</v>
      </c>
      <c r="V1192" t="str">
        <f t="shared" si="132"/>
        <v>415300</v>
      </c>
    </row>
    <row r="1193" spans="1:22">
      <c r="A1193" t="s">
        <v>4798</v>
      </c>
      <c r="B1193" t="s">
        <v>4799</v>
      </c>
      <c r="C1193" t="s">
        <v>4649</v>
      </c>
      <c r="D1193" t="s">
        <v>4650</v>
      </c>
      <c r="E1193" t="s">
        <v>4645</v>
      </c>
      <c r="F1193" t="s">
        <v>27</v>
      </c>
      <c r="G1193">
        <v>1</v>
      </c>
      <c r="H1193" t="s">
        <v>4884</v>
      </c>
      <c r="I1193" t="s">
        <v>4885</v>
      </c>
      <c r="J1193" t="s">
        <v>4886</v>
      </c>
      <c r="K1193" t="s">
        <v>4885</v>
      </c>
      <c r="L1193" t="s">
        <v>4887</v>
      </c>
      <c r="M1193" s="1" t="str">
        <f t="shared" si="126"/>
        <v>08B219</v>
      </c>
      <c r="N1193" s="1" t="str">
        <f t="shared" si="127"/>
        <v>C/O</v>
      </c>
      <c r="O1193" s="1" t="str">
        <f t="shared" si="128"/>
        <v>Implement Pump 1</v>
      </c>
      <c r="P1193" s="1" t="str">
        <f t="shared" si="129"/>
        <v>RAB0</v>
      </c>
      <c r="Q1193" s="2" t="str">
        <f t="shared" si="130"/>
        <v>RAB0Implement Pump 1</v>
      </c>
      <c r="R1193" s="2" t="str">
        <f>New_Xref[[#This Row],[Serial Prefix]]&amp;IF(New_Xref[[#This Row],[Func Loc]]&lt;&gt;"",New_Xref[[#This Row],[Func Loc]],"NO MATCH")</f>
        <v>RAB0MYHD .PUMP.MHPT</v>
      </c>
      <c r="S1193" s="3" t="str">
        <f t="shared" si="131"/>
        <v>RAB020R9389Implement Pump 1</v>
      </c>
      <c r="T1193" s="3" t="s">
        <v>220</v>
      </c>
      <c r="U1193" s="3" t="s">
        <v>115</v>
      </c>
      <c r="V1193" t="str">
        <f t="shared" si="132"/>
        <v>5070RI</v>
      </c>
    </row>
    <row r="1194" spans="1:22">
      <c r="A1194" t="s">
        <v>4798</v>
      </c>
      <c r="B1194" t="s">
        <v>4851</v>
      </c>
      <c r="C1194" t="s">
        <v>4643</v>
      </c>
      <c r="D1194" t="s">
        <v>4644</v>
      </c>
      <c r="E1194" t="s">
        <v>4645</v>
      </c>
      <c r="F1194" t="s">
        <v>27</v>
      </c>
      <c r="G1194">
        <v>1</v>
      </c>
      <c r="H1194" t="s">
        <v>4888</v>
      </c>
      <c r="I1194" t="s">
        <v>4889</v>
      </c>
      <c r="J1194" t="s">
        <v>4890</v>
      </c>
      <c r="K1194" t="s">
        <v>4889</v>
      </c>
      <c r="L1194" t="s">
        <v>219</v>
      </c>
      <c r="M1194" s="1" t="str">
        <f t="shared" si="126"/>
        <v>08B221</v>
      </c>
      <c r="N1194" s="1" t="str">
        <f t="shared" si="127"/>
        <v>C/O</v>
      </c>
      <c r="O1194" s="1" t="str">
        <f t="shared" si="128"/>
        <v>Implement Pump 2</v>
      </c>
      <c r="P1194" s="1" t="str">
        <f t="shared" si="129"/>
        <v>RAB0</v>
      </c>
      <c r="Q1194" s="2" t="str">
        <f t="shared" si="130"/>
        <v>RAB0Implement Pump 2</v>
      </c>
      <c r="R1194" s="2" t="str">
        <f>New_Xref[[#This Row],[Serial Prefix]]&amp;IF(New_Xref[[#This Row],[Func Loc]]&lt;&gt;"",New_Xref[[#This Row],[Func Loc]],"NO MATCH")</f>
        <v>RAB0MYHD .PUMP.MAHP</v>
      </c>
      <c r="S1194" s="3" t="str">
        <f t="shared" si="131"/>
        <v>RAB020R9385Implement Pump 2</v>
      </c>
      <c r="T1194" s="3" t="s">
        <v>220</v>
      </c>
      <c r="U1194" s="3" t="s">
        <v>108</v>
      </c>
      <c r="V1194" t="str">
        <f t="shared" si="132"/>
        <v>5070LT</v>
      </c>
    </row>
    <row r="1195" spans="1:22">
      <c r="A1195" t="s">
        <v>4798</v>
      </c>
      <c r="B1195" t="s">
        <v>4851</v>
      </c>
      <c r="H1195" t="s">
        <v>4891</v>
      </c>
      <c r="I1195" t="s">
        <v>4892</v>
      </c>
      <c r="J1195" t="s">
        <v>4893</v>
      </c>
      <c r="K1195" t="s">
        <v>4892</v>
      </c>
      <c r="L1195" t="s">
        <v>375</v>
      </c>
      <c r="M1195" s="1" t="str">
        <f t="shared" si="126"/>
        <v>08B221</v>
      </c>
      <c r="N1195" s="1" t="str">
        <f t="shared" si="127"/>
        <v>C/O</v>
      </c>
      <c r="O1195" s="1" t="str">
        <f t="shared" si="128"/>
        <v>Blade Tilt Cylinder LH</v>
      </c>
      <c r="P1195" s="1" t="str">
        <f t="shared" si="129"/>
        <v>RAB0</v>
      </c>
      <c r="Q1195" s="2" t="str">
        <f t="shared" si="130"/>
        <v>RAB0Blade Tilt Cylinder LH</v>
      </c>
      <c r="R1195" s="2" t="str">
        <f>New_Xref[[#This Row],[Serial Prefix]]&amp;IF(New_Xref[[#This Row],[Func Loc]]&lt;&gt;"",New_Xref[[#This Row],[Func Loc]],"NO MATCH")</f>
        <v>RAB0MYHD .CYLI.BLTL</v>
      </c>
      <c r="S1195" s="3" t="str">
        <f t="shared" si="131"/>
        <v>RAB0Blade Tilt Cylinder LH</v>
      </c>
      <c r="T1195" s="3" t="s">
        <v>638</v>
      </c>
      <c r="U1195" s="3" t="s">
        <v>108</v>
      </c>
      <c r="V1195" t="str">
        <f t="shared" si="132"/>
        <v>5104LT</v>
      </c>
    </row>
    <row r="1196" spans="1:22">
      <c r="A1196" t="s">
        <v>4798</v>
      </c>
      <c r="B1196" t="s">
        <v>4851</v>
      </c>
      <c r="H1196" t="s">
        <v>4894</v>
      </c>
      <c r="I1196" t="s">
        <v>4895</v>
      </c>
      <c r="J1196" t="s">
        <v>4896</v>
      </c>
      <c r="K1196" t="s">
        <v>4895</v>
      </c>
      <c r="L1196" t="s">
        <v>378</v>
      </c>
      <c r="M1196" s="1" t="str">
        <f t="shared" si="126"/>
        <v>08B221</v>
      </c>
      <c r="N1196" s="1" t="str">
        <f t="shared" si="127"/>
        <v>C/O</v>
      </c>
      <c r="O1196" s="1" t="str">
        <f t="shared" si="128"/>
        <v>Blade Tilt Cylinder RH</v>
      </c>
      <c r="P1196" s="1" t="str">
        <f t="shared" si="129"/>
        <v>RAB0</v>
      </c>
      <c r="Q1196" s="2" t="str">
        <f t="shared" si="130"/>
        <v>RAB0Blade Tilt Cylinder RH</v>
      </c>
      <c r="R1196" s="2" t="str">
        <f>New_Xref[[#This Row],[Serial Prefix]]&amp;IF(New_Xref[[#This Row],[Func Loc]]&lt;&gt;"",New_Xref[[#This Row],[Func Loc]],"NO MATCH")</f>
        <v>RAB0MYHD .CYLI.BLTR</v>
      </c>
      <c r="S1196" s="3" t="str">
        <f t="shared" si="131"/>
        <v>RAB0Blade Tilt Cylinder RH</v>
      </c>
      <c r="T1196" s="3" t="s">
        <v>638</v>
      </c>
      <c r="U1196" s="3" t="s">
        <v>115</v>
      </c>
      <c r="V1196" t="str">
        <f t="shared" si="132"/>
        <v>5104RI</v>
      </c>
    </row>
    <row r="1197" spans="1:22">
      <c r="A1197" t="s">
        <v>4798</v>
      </c>
      <c r="B1197" t="s">
        <v>4897</v>
      </c>
      <c r="C1197" t="s">
        <v>4898</v>
      </c>
      <c r="D1197" t="s">
        <v>4899</v>
      </c>
      <c r="E1197" t="s">
        <v>4900</v>
      </c>
      <c r="F1197" t="s">
        <v>27</v>
      </c>
      <c r="G1197">
        <v>1</v>
      </c>
      <c r="H1197" t="s">
        <v>4901</v>
      </c>
      <c r="I1197" t="s">
        <v>4902</v>
      </c>
      <c r="J1197" t="s">
        <v>4903</v>
      </c>
      <c r="K1197" t="s">
        <v>4902</v>
      </c>
      <c r="L1197" t="s">
        <v>129</v>
      </c>
      <c r="M1197" s="1" t="str">
        <f t="shared" si="126"/>
        <v>08H704</v>
      </c>
      <c r="N1197" s="1" t="str">
        <f t="shared" si="127"/>
        <v>C/O</v>
      </c>
      <c r="O1197" s="1" t="str">
        <f t="shared" si="128"/>
        <v>Blade Lift Cylinder LH</v>
      </c>
      <c r="P1197" s="1" t="str">
        <f t="shared" si="129"/>
        <v>RAB0</v>
      </c>
      <c r="Q1197" s="2" t="str">
        <f t="shared" si="130"/>
        <v>RAB0Blade Lift Cylinder LH</v>
      </c>
      <c r="R1197" s="2" t="str">
        <f>New_Xref[[#This Row],[Serial Prefix]]&amp;IF(New_Xref[[#This Row],[Func Loc]]&lt;&gt;"",New_Xref[[#This Row],[Func Loc]],"NO MATCH")</f>
        <v>RAB0MYHD .CYLI.BLLL</v>
      </c>
      <c r="S1197" s="3" t="str">
        <f t="shared" si="131"/>
        <v>RAB03724283XBlade Lift Cylinder LH</v>
      </c>
      <c r="T1197" s="3" t="s">
        <v>4783</v>
      </c>
      <c r="U1197" s="3" t="s">
        <v>108</v>
      </c>
      <c r="V1197" t="str">
        <f t="shared" si="132"/>
        <v>5113LT</v>
      </c>
    </row>
    <row r="1198" spans="1:22">
      <c r="A1198" t="s">
        <v>4798</v>
      </c>
      <c r="B1198" t="s">
        <v>4897</v>
      </c>
      <c r="C1198" t="s">
        <v>4898</v>
      </c>
      <c r="D1198" t="s">
        <v>4899</v>
      </c>
      <c r="E1198" t="s">
        <v>4900</v>
      </c>
      <c r="F1198" t="s">
        <v>27</v>
      </c>
      <c r="G1198">
        <v>1</v>
      </c>
      <c r="H1198" t="s">
        <v>4901</v>
      </c>
      <c r="I1198" t="s">
        <v>4904</v>
      </c>
      <c r="J1198" t="s">
        <v>4905</v>
      </c>
      <c r="K1198" t="s">
        <v>4904</v>
      </c>
      <c r="L1198" t="s">
        <v>133</v>
      </c>
      <c r="M1198" s="1" t="str">
        <f t="shared" si="126"/>
        <v>08H704</v>
      </c>
      <c r="N1198" s="1" t="str">
        <f t="shared" si="127"/>
        <v>C/O</v>
      </c>
      <c r="O1198" s="1" t="str">
        <f t="shared" si="128"/>
        <v>Blade Lift Cylinder RH</v>
      </c>
      <c r="P1198" s="1" t="str">
        <f t="shared" si="129"/>
        <v>RAB0</v>
      </c>
      <c r="Q1198" s="2" t="str">
        <f t="shared" si="130"/>
        <v>RAB0Blade Lift Cylinder RH</v>
      </c>
      <c r="R1198" s="2" t="str">
        <f>New_Xref[[#This Row],[Serial Prefix]]&amp;IF(New_Xref[[#This Row],[Func Loc]]&lt;&gt;"",New_Xref[[#This Row],[Func Loc]],"NO MATCH")</f>
        <v>RAB0MYHD .CYLI.BLLR</v>
      </c>
      <c r="S1198" s="3" t="str">
        <f t="shared" si="131"/>
        <v>RAB03724283XBlade Lift Cylinder RH</v>
      </c>
      <c r="T1198" s="3" t="s">
        <v>4783</v>
      </c>
      <c r="U1198" s="3" t="s">
        <v>115</v>
      </c>
      <c r="V1198" t="str">
        <f t="shared" si="132"/>
        <v>5113RI</v>
      </c>
    </row>
    <row r="1199" spans="1:22">
      <c r="A1199" t="s">
        <v>4798</v>
      </c>
      <c r="B1199" t="s">
        <v>4799</v>
      </c>
      <c r="C1199" t="s">
        <v>4906</v>
      </c>
      <c r="D1199" t="s">
        <v>4907</v>
      </c>
      <c r="E1199" t="s">
        <v>4908</v>
      </c>
      <c r="F1199" t="s">
        <v>27</v>
      </c>
      <c r="G1199">
        <v>1</v>
      </c>
      <c r="H1199" t="s">
        <v>4901</v>
      </c>
      <c r="I1199" t="s">
        <v>4909</v>
      </c>
      <c r="J1199" t="s">
        <v>4910</v>
      </c>
      <c r="K1199" t="s">
        <v>4909</v>
      </c>
      <c r="L1199" t="s">
        <v>129</v>
      </c>
      <c r="M1199" s="1" t="str">
        <f t="shared" si="126"/>
        <v>08B219</v>
      </c>
      <c r="N1199" s="1" t="str">
        <f t="shared" si="127"/>
        <v>C/O</v>
      </c>
      <c r="O1199" s="1" t="str">
        <f t="shared" si="128"/>
        <v>Blade Lift Cylinder LH</v>
      </c>
      <c r="P1199" s="1" t="str">
        <f t="shared" si="129"/>
        <v>RAB0</v>
      </c>
      <c r="Q1199" s="2" t="str">
        <f t="shared" si="130"/>
        <v>RAB0Blade Lift Cylinder LH</v>
      </c>
      <c r="R1199" s="2" t="str">
        <f>New_Xref[[#This Row],[Serial Prefix]]&amp;IF(New_Xref[[#This Row],[Func Loc]]&lt;&gt;"",New_Xref[[#This Row],[Func Loc]],"NO MATCH")</f>
        <v>RAB0MYHD .CYLI.BLLL</v>
      </c>
      <c r="S1199" s="3" t="str">
        <f t="shared" si="131"/>
        <v>RAB05880174XBlade Lift Cylinder LH</v>
      </c>
      <c r="T1199" s="3" t="s">
        <v>4783</v>
      </c>
      <c r="U1199" s="3" t="s">
        <v>108</v>
      </c>
      <c r="V1199" t="str">
        <f t="shared" si="132"/>
        <v>5113LT</v>
      </c>
    </row>
    <row r="1200" spans="1:22">
      <c r="A1200" t="s">
        <v>4798</v>
      </c>
      <c r="B1200" t="s">
        <v>4799</v>
      </c>
      <c r="C1200" t="s">
        <v>4906</v>
      </c>
      <c r="D1200" t="s">
        <v>4907</v>
      </c>
      <c r="E1200" t="s">
        <v>4908</v>
      </c>
      <c r="F1200" t="s">
        <v>27</v>
      </c>
      <c r="G1200">
        <v>1</v>
      </c>
      <c r="H1200" t="s">
        <v>4901</v>
      </c>
      <c r="I1200" t="s">
        <v>4911</v>
      </c>
      <c r="J1200" t="s">
        <v>4912</v>
      </c>
      <c r="K1200" t="s">
        <v>4911</v>
      </c>
      <c r="L1200" t="s">
        <v>133</v>
      </c>
      <c r="M1200" s="1" t="str">
        <f t="shared" si="126"/>
        <v>08B219</v>
      </c>
      <c r="N1200" s="1" t="str">
        <f t="shared" si="127"/>
        <v>C/O</v>
      </c>
      <c r="O1200" s="1" t="str">
        <f t="shared" si="128"/>
        <v>Blade Lift Cylinder RH</v>
      </c>
      <c r="P1200" s="1" t="str">
        <f t="shared" si="129"/>
        <v>RAB0</v>
      </c>
      <c r="Q1200" s="2" t="str">
        <f t="shared" si="130"/>
        <v>RAB0Blade Lift Cylinder RH</v>
      </c>
      <c r="R1200" s="2" t="str">
        <f>New_Xref[[#This Row],[Serial Prefix]]&amp;IF(New_Xref[[#This Row],[Func Loc]]&lt;&gt;"",New_Xref[[#This Row],[Func Loc]],"NO MATCH")</f>
        <v>RAB0MYHD .CYLI.BLLR</v>
      </c>
      <c r="S1200" s="3" t="str">
        <f t="shared" si="131"/>
        <v>RAB05880174XBlade Lift Cylinder RH</v>
      </c>
      <c r="T1200" s="3" t="s">
        <v>4783</v>
      </c>
      <c r="U1200" s="3" t="s">
        <v>115</v>
      </c>
      <c r="V1200" t="str">
        <f t="shared" si="132"/>
        <v>5113RI</v>
      </c>
    </row>
    <row r="1201" spans="1:22">
      <c r="A1201" t="s">
        <v>4798</v>
      </c>
      <c r="B1201" t="s">
        <v>4913</v>
      </c>
      <c r="C1201" t="s">
        <v>4906</v>
      </c>
      <c r="D1201" t="s">
        <v>4914</v>
      </c>
      <c r="E1201" t="s">
        <v>4908</v>
      </c>
      <c r="F1201" t="s">
        <v>27</v>
      </c>
      <c r="G1201">
        <v>1</v>
      </c>
      <c r="H1201" t="s">
        <v>4901</v>
      </c>
      <c r="I1201" t="s">
        <v>4915</v>
      </c>
      <c r="J1201" t="s">
        <v>4916</v>
      </c>
      <c r="K1201" t="s">
        <v>4915</v>
      </c>
      <c r="L1201" t="s">
        <v>129</v>
      </c>
      <c r="M1201" s="1" t="str">
        <f t="shared" si="126"/>
        <v>08H308</v>
      </c>
      <c r="N1201" s="1" t="str">
        <f t="shared" si="127"/>
        <v>C/O</v>
      </c>
      <c r="O1201" s="1" t="str">
        <f t="shared" si="128"/>
        <v>Blade Lift Cylinder LH</v>
      </c>
      <c r="P1201" s="1" t="str">
        <f t="shared" si="129"/>
        <v>RAB0</v>
      </c>
      <c r="Q1201" s="2" t="str">
        <f t="shared" si="130"/>
        <v>RAB0Blade Lift Cylinder LH</v>
      </c>
      <c r="R1201" s="2" t="str">
        <f>New_Xref[[#This Row],[Serial Prefix]]&amp;IF(New_Xref[[#This Row],[Func Loc]]&lt;&gt;"",New_Xref[[#This Row],[Func Loc]],"NO MATCH")</f>
        <v>RAB0MYHD .CYLI.BLLL</v>
      </c>
      <c r="S1201" s="3" t="str">
        <f t="shared" si="131"/>
        <v>RAB06267409XBlade Lift Cylinder LH</v>
      </c>
      <c r="T1201" s="3" t="s">
        <v>4783</v>
      </c>
      <c r="U1201" s="3" t="s">
        <v>108</v>
      </c>
      <c r="V1201" t="str">
        <f t="shared" si="132"/>
        <v>5113LT</v>
      </c>
    </row>
    <row r="1202" spans="1:22">
      <c r="A1202" t="s">
        <v>4798</v>
      </c>
      <c r="B1202" t="s">
        <v>4913</v>
      </c>
      <c r="C1202" t="s">
        <v>4906</v>
      </c>
      <c r="D1202" t="s">
        <v>4914</v>
      </c>
      <c r="E1202" t="s">
        <v>4908</v>
      </c>
      <c r="F1202" t="s">
        <v>27</v>
      </c>
      <c r="G1202">
        <v>1</v>
      </c>
      <c r="H1202" t="s">
        <v>4901</v>
      </c>
      <c r="I1202" t="s">
        <v>4917</v>
      </c>
      <c r="J1202" t="s">
        <v>4918</v>
      </c>
      <c r="K1202" t="s">
        <v>4917</v>
      </c>
      <c r="L1202" t="s">
        <v>133</v>
      </c>
      <c r="M1202" s="1" t="str">
        <f t="shared" si="126"/>
        <v>08H308</v>
      </c>
      <c r="N1202" s="1" t="str">
        <f t="shared" si="127"/>
        <v>C/O</v>
      </c>
      <c r="O1202" s="1" t="str">
        <f t="shared" si="128"/>
        <v>Blade Lift Cylinder RH</v>
      </c>
      <c r="P1202" s="1" t="str">
        <f t="shared" si="129"/>
        <v>RAB0</v>
      </c>
      <c r="Q1202" s="2" t="str">
        <f t="shared" si="130"/>
        <v>RAB0Blade Lift Cylinder RH</v>
      </c>
      <c r="R1202" s="2" t="str">
        <f>New_Xref[[#This Row],[Serial Prefix]]&amp;IF(New_Xref[[#This Row],[Func Loc]]&lt;&gt;"",New_Xref[[#This Row],[Func Loc]],"NO MATCH")</f>
        <v>RAB0MYHD .CYLI.BLLR</v>
      </c>
      <c r="S1202" s="3" t="str">
        <f t="shared" si="131"/>
        <v>RAB06267409XBlade Lift Cylinder RH</v>
      </c>
      <c r="T1202" s="3" t="s">
        <v>4783</v>
      </c>
      <c r="U1202" s="3" t="s">
        <v>115</v>
      </c>
      <c r="V1202" t="str">
        <f t="shared" si="132"/>
        <v>5113RI</v>
      </c>
    </row>
    <row r="1203" spans="1:22">
      <c r="A1203" t="s">
        <v>4798</v>
      </c>
      <c r="B1203" t="s">
        <v>4799</v>
      </c>
      <c r="C1203" t="s">
        <v>4919</v>
      </c>
      <c r="D1203" t="s">
        <v>4920</v>
      </c>
      <c r="E1203" t="s">
        <v>4921</v>
      </c>
      <c r="F1203" t="s">
        <v>27</v>
      </c>
      <c r="G1203">
        <v>1</v>
      </c>
      <c r="H1203" t="s">
        <v>4922</v>
      </c>
      <c r="I1203" t="s">
        <v>4923</v>
      </c>
      <c r="J1203" t="s">
        <v>4924</v>
      </c>
      <c r="K1203" t="s">
        <v>4923</v>
      </c>
      <c r="L1203" t="s">
        <v>1923</v>
      </c>
      <c r="M1203" s="1" t="str">
        <f t="shared" si="126"/>
        <v>08B219</v>
      </c>
      <c r="N1203" s="1" t="str">
        <f t="shared" si="127"/>
        <v>C/O</v>
      </c>
      <c r="O1203" s="1" t="str">
        <f t="shared" si="128"/>
        <v>Ripper Lift Cylinder RH</v>
      </c>
      <c r="P1203" s="1" t="str">
        <f t="shared" si="129"/>
        <v>RAB0</v>
      </c>
      <c r="Q1203" s="2" t="str">
        <f t="shared" si="130"/>
        <v>RAB0Ripper Lift Cylinder RH</v>
      </c>
      <c r="R1203" s="2" t="str">
        <f>New_Xref[[#This Row],[Serial Prefix]]&amp;IF(New_Xref[[#This Row],[Func Loc]]&lt;&gt;"",New_Xref[[#This Row],[Func Loc]],"NO MATCH")</f>
        <v>RAB0MYHD .CYLI.RILR</v>
      </c>
      <c r="S1203" s="3" t="str">
        <f t="shared" si="131"/>
        <v>RAB05218395XRipper Lift Cylinder RH</v>
      </c>
      <c r="T1203" s="3" t="s">
        <v>246</v>
      </c>
      <c r="U1203" s="3" t="s">
        <v>115</v>
      </c>
      <c r="V1203" t="str">
        <f t="shared" si="132"/>
        <v>5352RI</v>
      </c>
    </row>
    <row r="1204" spans="1:22">
      <c r="A1204" t="s">
        <v>4798</v>
      </c>
      <c r="B1204" t="s">
        <v>4799</v>
      </c>
      <c r="C1204" t="s">
        <v>4925</v>
      </c>
      <c r="D1204" t="s">
        <v>4926</v>
      </c>
      <c r="E1204" t="s">
        <v>4927</v>
      </c>
      <c r="F1204" t="s">
        <v>27</v>
      </c>
      <c r="G1204">
        <v>1</v>
      </c>
      <c r="H1204" t="s">
        <v>4928</v>
      </c>
      <c r="I1204" t="s">
        <v>4929</v>
      </c>
      <c r="J1204" t="s">
        <v>4930</v>
      </c>
      <c r="K1204" t="s">
        <v>4929</v>
      </c>
      <c r="L1204" t="s">
        <v>2092</v>
      </c>
      <c r="M1204" s="1" t="str">
        <f t="shared" si="126"/>
        <v>08B219</v>
      </c>
      <c r="N1204" s="1" t="str">
        <f t="shared" si="127"/>
        <v>C/O</v>
      </c>
      <c r="O1204" s="1" t="str">
        <f t="shared" si="128"/>
        <v>Ripper Lift Cylinder LH</v>
      </c>
      <c r="P1204" s="1" t="str">
        <f t="shared" si="129"/>
        <v>RAB0</v>
      </c>
      <c r="Q1204" s="2" t="str">
        <f t="shared" si="130"/>
        <v>RAB0Ripper Lift Cylinder LH</v>
      </c>
      <c r="R1204" s="2" t="str">
        <f>New_Xref[[#This Row],[Serial Prefix]]&amp;IF(New_Xref[[#This Row],[Func Loc]]&lt;&gt;"",New_Xref[[#This Row],[Func Loc]],"NO MATCH")</f>
        <v>RAB0MYHD .CYLI.RILL</v>
      </c>
      <c r="S1204" s="3" t="str">
        <f t="shared" si="131"/>
        <v>RAB05218394XRipper Lift Cylinder LH</v>
      </c>
      <c r="T1204" s="3" t="s">
        <v>246</v>
      </c>
      <c r="U1204" s="3" t="s">
        <v>108</v>
      </c>
      <c r="V1204" t="str">
        <f t="shared" si="132"/>
        <v>5352LT</v>
      </c>
    </row>
    <row r="1205" spans="1:22">
      <c r="A1205" t="s">
        <v>4798</v>
      </c>
      <c r="B1205" t="s">
        <v>4931</v>
      </c>
      <c r="C1205" t="s">
        <v>4919</v>
      </c>
      <c r="D1205" t="s">
        <v>4932</v>
      </c>
      <c r="E1205" t="s">
        <v>4933</v>
      </c>
      <c r="F1205" t="s">
        <v>27</v>
      </c>
      <c r="G1205">
        <v>1</v>
      </c>
      <c r="H1205" t="s">
        <v>4922</v>
      </c>
      <c r="I1205" t="s">
        <v>4934</v>
      </c>
      <c r="J1205" t="s">
        <v>4935</v>
      </c>
      <c r="K1205" t="s">
        <v>4934</v>
      </c>
      <c r="L1205" t="s">
        <v>1923</v>
      </c>
      <c r="M1205" s="1" t="str">
        <f t="shared" si="126"/>
        <v>08D318</v>
      </c>
      <c r="N1205" s="1" t="str">
        <f t="shared" si="127"/>
        <v>C/O</v>
      </c>
      <c r="O1205" s="1" t="str">
        <f t="shared" si="128"/>
        <v>Ripper Lift Cylinder RH</v>
      </c>
      <c r="P1205" s="1" t="str">
        <f t="shared" si="129"/>
        <v>RAB0</v>
      </c>
      <c r="Q1205" s="2" t="str">
        <f t="shared" si="130"/>
        <v>RAB0Ripper Lift Cylinder RH</v>
      </c>
      <c r="R1205" s="2" t="str">
        <f>New_Xref[[#This Row],[Serial Prefix]]&amp;IF(New_Xref[[#This Row],[Func Loc]]&lt;&gt;"",New_Xref[[#This Row],[Func Loc]],"NO MATCH")</f>
        <v>RAB0MYHD .CYLI.RILR</v>
      </c>
      <c r="S1205" s="3" t="str">
        <f t="shared" si="131"/>
        <v>RAB06442025XRipper Lift Cylinder RH</v>
      </c>
      <c r="T1205" s="3" t="s">
        <v>246</v>
      </c>
      <c r="U1205" s="3" t="s">
        <v>115</v>
      </c>
      <c r="V1205" t="str">
        <f t="shared" si="132"/>
        <v>5352RI</v>
      </c>
    </row>
    <row r="1206" spans="1:22">
      <c r="A1206" t="s">
        <v>4798</v>
      </c>
      <c r="B1206" t="s">
        <v>4851</v>
      </c>
      <c r="H1206" t="s">
        <v>4936</v>
      </c>
      <c r="I1206" t="s">
        <v>4937</v>
      </c>
      <c r="J1206" t="s">
        <v>4938</v>
      </c>
      <c r="K1206" t="s">
        <v>4937</v>
      </c>
      <c r="L1206" t="s">
        <v>4684</v>
      </c>
      <c r="M1206" s="1" t="str">
        <f t="shared" si="126"/>
        <v>08B221</v>
      </c>
      <c r="N1206" s="1" t="str">
        <f t="shared" si="127"/>
        <v>C/O</v>
      </c>
      <c r="O1206" s="1" t="str">
        <f t="shared" si="128"/>
        <v>Ripper Tilt Cylinder LH</v>
      </c>
      <c r="P1206" s="1" t="str">
        <f t="shared" si="129"/>
        <v>RAB0</v>
      </c>
      <c r="Q1206" s="2" t="str">
        <f t="shared" si="130"/>
        <v>RAB0Ripper Tilt Cylinder LH</v>
      </c>
      <c r="R1206" s="2" t="str">
        <f>New_Xref[[#This Row],[Serial Prefix]]&amp;IF(New_Xref[[#This Row],[Func Loc]]&lt;&gt;"",New_Xref[[#This Row],[Func Loc]],"NO MATCH")</f>
        <v>RAB0MYHD .CYLI.RITL</v>
      </c>
      <c r="S1206" s="3" t="str">
        <f t="shared" si="131"/>
        <v>RAB0Ripper Tilt Cylinder LH</v>
      </c>
      <c r="T1206" s="3" t="s">
        <v>4685</v>
      </c>
      <c r="U1206" s="3" t="s">
        <v>108</v>
      </c>
      <c r="V1206" t="str">
        <f t="shared" si="132"/>
        <v>5356LT</v>
      </c>
    </row>
    <row r="1207" spans="1:22">
      <c r="A1207" t="s">
        <v>4798</v>
      </c>
      <c r="B1207" t="s">
        <v>4851</v>
      </c>
      <c r="H1207" t="s">
        <v>4936</v>
      </c>
      <c r="I1207" t="s">
        <v>4939</v>
      </c>
      <c r="J1207" t="s">
        <v>4940</v>
      </c>
      <c r="K1207" t="s">
        <v>4939</v>
      </c>
      <c r="L1207" t="s">
        <v>4688</v>
      </c>
      <c r="M1207" s="1" t="str">
        <f t="shared" si="126"/>
        <v>08B221</v>
      </c>
      <c r="N1207" s="1" t="str">
        <f t="shared" si="127"/>
        <v>C/O</v>
      </c>
      <c r="O1207" s="1" t="str">
        <f t="shared" si="128"/>
        <v>Ripper Tilt Cylinder RH</v>
      </c>
      <c r="P1207" s="1" t="str">
        <f t="shared" si="129"/>
        <v>RAB0</v>
      </c>
      <c r="Q1207" s="2" t="str">
        <f t="shared" si="130"/>
        <v>RAB0Ripper Tilt Cylinder RH</v>
      </c>
      <c r="R1207" s="2" t="str">
        <f>New_Xref[[#This Row],[Serial Prefix]]&amp;IF(New_Xref[[#This Row],[Func Loc]]&lt;&gt;"",New_Xref[[#This Row],[Func Loc]],"NO MATCH")</f>
        <v>RAB0MYHD .CYLI.RITR</v>
      </c>
      <c r="S1207" s="3" t="str">
        <f t="shared" si="131"/>
        <v>RAB0Ripper Tilt Cylinder RH</v>
      </c>
      <c r="T1207" s="3" t="s">
        <v>4685</v>
      </c>
      <c r="U1207" s="3" t="s">
        <v>115</v>
      </c>
      <c r="V1207" t="str">
        <f t="shared" si="132"/>
        <v>5356RI</v>
      </c>
    </row>
    <row r="1208" spans="1:22">
      <c r="A1208" t="s">
        <v>4941</v>
      </c>
      <c r="B1208" t="s">
        <v>4942</v>
      </c>
      <c r="C1208" t="s">
        <v>4943</v>
      </c>
      <c r="D1208" t="s">
        <v>4944</v>
      </c>
      <c r="E1208" t="s">
        <v>4945</v>
      </c>
      <c r="F1208" t="s">
        <v>27</v>
      </c>
      <c r="G1208">
        <v>1</v>
      </c>
      <c r="H1208" t="s">
        <v>4946</v>
      </c>
      <c r="I1208" t="s">
        <v>4947</v>
      </c>
      <c r="J1208" t="s">
        <v>4948</v>
      </c>
      <c r="K1208" t="s">
        <v>4949</v>
      </c>
      <c r="L1208" t="s">
        <v>32</v>
      </c>
      <c r="M1208" s="1" t="str">
        <f t="shared" si="126"/>
        <v>08D367</v>
      </c>
      <c r="N1208" s="1" t="str">
        <f t="shared" si="127"/>
        <v>C/O</v>
      </c>
      <c r="O1208" s="1" t="str">
        <f t="shared" si="128"/>
        <v>Engine</v>
      </c>
      <c r="P1208" s="1" t="str">
        <f t="shared" si="129"/>
        <v>KSN0</v>
      </c>
      <c r="Q1208" s="2" t="str">
        <f t="shared" si="130"/>
        <v>KSN0Engine</v>
      </c>
      <c r="R1208" s="2" t="str">
        <f>New_Xref[[#This Row],[Serial Prefix]]&amp;IF(New_Xref[[#This Row],[Func Loc]]&lt;&gt;"",New_Xref[[#This Row],[Func Loc]],"NO MATCH")</f>
        <v>KSN0ENGD</v>
      </c>
      <c r="S1208" s="3" t="str">
        <f t="shared" si="131"/>
        <v>KSN04850353XEngine</v>
      </c>
      <c r="T1208" s="3" t="s">
        <v>33</v>
      </c>
      <c r="U1208" s="3" t="s">
        <v>34</v>
      </c>
      <c r="V1208" t="str">
        <f t="shared" si="132"/>
        <v>100000</v>
      </c>
    </row>
    <row r="1209" spans="1:22">
      <c r="A1209" t="s">
        <v>4941</v>
      </c>
      <c r="B1209" t="s">
        <v>4950</v>
      </c>
      <c r="C1209" t="s">
        <v>4951</v>
      </c>
      <c r="D1209" t="s">
        <v>4952</v>
      </c>
      <c r="E1209" t="s">
        <v>4953</v>
      </c>
      <c r="F1209" t="s">
        <v>27</v>
      </c>
      <c r="G1209">
        <v>1</v>
      </c>
      <c r="H1209" t="s">
        <v>4954</v>
      </c>
      <c r="I1209" t="s">
        <v>4955</v>
      </c>
      <c r="J1209" t="s">
        <v>4956</v>
      </c>
      <c r="K1209" t="s">
        <v>4957</v>
      </c>
      <c r="L1209" t="s">
        <v>4958</v>
      </c>
      <c r="M1209" s="1" t="str">
        <f t="shared" si="126"/>
        <v>08B340</v>
      </c>
      <c r="N1209" s="1" t="str">
        <f t="shared" si="127"/>
        <v>C/O</v>
      </c>
      <c r="O1209" s="1" t="str">
        <f t="shared" si="128"/>
        <v>Turbocharger LH</v>
      </c>
      <c r="P1209" s="1" t="str">
        <f t="shared" si="129"/>
        <v>KSN0</v>
      </c>
      <c r="Q1209" s="2" t="str">
        <f t="shared" si="130"/>
        <v>KSN0Turbocharger LH</v>
      </c>
      <c r="R1209" s="2" t="str">
        <f>New_Xref[[#This Row],[Serial Prefix]]&amp;IF(New_Xref[[#This Row],[Func Loc]]&lt;&gt;"",New_Xref[[#This Row],[Func Loc]],"NO MATCH")</f>
        <v>KSN0ENGD .TURB.TCLH</v>
      </c>
      <c r="S1209" s="3" t="str">
        <f t="shared" si="131"/>
        <v>KSN030R0655Turbocharger LH</v>
      </c>
      <c r="T1209" s="3" t="s">
        <v>47</v>
      </c>
      <c r="U1209" s="3" t="s">
        <v>108</v>
      </c>
      <c r="V1209" t="str">
        <f t="shared" si="132"/>
        <v>1052LT</v>
      </c>
    </row>
    <row r="1210" spans="1:22">
      <c r="A1210" t="s">
        <v>4941</v>
      </c>
      <c r="B1210" t="s">
        <v>4950</v>
      </c>
      <c r="C1210" t="s">
        <v>4959</v>
      </c>
      <c r="D1210" t="s">
        <v>4960</v>
      </c>
      <c r="E1210" t="s">
        <v>4953</v>
      </c>
      <c r="F1210" t="s">
        <v>27</v>
      </c>
      <c r="G1210">
        <v>1</v>
      </c>
      <c r="H1210" t="s">
        <v>4961</v>
      </c>
      <c r="I1210" t="s">
        <v>4955</v>
      </c>
      <c r="J1210" t="s">
        <v>4962</v>
      </c>
      <c r="K1210" t="s">
        <v>4963</v>
      </c>
      <c r="L1210" t="s">
        <v>4964</v>
      </c>
      <c r="M1210" s="1" t="str">
        <f t="shared" si="126"/>
        <v>08B340</v>
      </c>
      <c r="N1210" s="1" t="str">
        <f t="shared" si="127"/>
        <v>C/O</v>
      </c>
      <c r="O1210" s="1" t="str">
        <f t="shared" si="128"/>
        <v>Turbocharger RH</v>
      </c>
      <c r="P1210" s="1" t="str">
        <f t="shared" si="129"/>
        <v>KSN0</v>
      </c>
      <c r="Q1210" s="2" t="str">
        <f t="shared" si="130"/>
        <v>KSN0Turbocharger RH</v>
      </c>
      <c r="R1210" s="2" t="str">
        <f>New_Xref[[#This Row],[Serial Prefix]]&amp;IF(New_Xref[[#This Row],[Func Loc]]&lt;&gt;"",New_Xref[[#This Row],[Func Loc]],"NO MATCH")</f>
        <v>KSN0ENGD .TURB.TCRH</v>
      </c>
      <c r="S1210" s="3" t="str">
        <f t="shared" si="131"/>
        <v>KSN030R0656Turbocharger RH</v>
      </c>
      <c r="T1210" s="3" t="s">
        <v>47</v>
      </c>
      <c r="U1210" s="3" t="s">
        <v>115</v>
      </c>
      <c r="V1210" t="str">
        <f t="shared" si="132"/>
        <v>1052RI</v>
      </c>
    </row>
    <row r="1211" spans="1:22">
      <c r="A1211" t="s">
        <v>4941</v>
      </c>
      <c r="B1211" t="s">
        <v>4950</v>
      </c>
      <c r="C1211" t="s">
        <v>4965</v>
      </c>
      <c r="D1211" t="s">
        <v>4966</v>
      </c>
      <c r="E1211" t="s">
        <v>276</v>
      </c>
      <c r="F1211" t="s">
        <v>27</v>
      </c>
      <c r="G1211">
        <v>12</v>
      </c>
      <c r="H1211" t="s">
        <v>4967</v>
      </c>
      <c r="I1211" t="s">
        <v>4955</v>
      </c>
      <c r="J1211" t="s">
        <v>4968</v>
      </c>
      <c r="K1211" t="s">
        <v>4969</v>
      </c>
      <c r="L1211" t="s">
        <v>62</v>
      </c>
      <c r="M1211" s="1" t="str">
        <f t="shared" si="126"/>
        <v>08B340</v>
      </c>
      <c r="N1211" s="1" t="str">
        <f t="shared" si="127"/>
        <v>C/O</v>
      </c>
      <c r="O1211" s="1" t="str">
        <f t="shared" si="128"/>
        <v>Fuel Injectors</v>
      </c>
      <c r="P1211" s="1" t="str">
        <f t="shared" si="129"/>
        <v>KSN0</v>
      </c>
      <c r="Q1211" s="2" t="str">
        <f t="shared" si="130"/>
        <v>KSN0Fuel Injectors</v>
      </c>
      <c r="R1211" s="2" t="str">
        <f>New_Xref[[#This Row],[Serial Prefix]]&amp;IF(New_Xref[[#This Row],[Func Loc]]&lt;&gt;"",New_Xref[[#This Row],[Func Loc]],"NO MATCH")</f>
        <v>KSN0ENGD .FUEL.INJE</v>
      </c>
      <c r="S1211" s="3" t="str">
        <f t="shared" si="131"/>
        <v>KSN06497376Fuel Injectors</v>
      </c>
      <c r="T1211" s="3" t="s">
        <v>63</v>
      </c>
      <c r="U1211" s="3" t="s">
        <v>34</v>
      </c>
      <c r="V1211" t="str">
        <f t="shared" si="132"/>
        <v>125100</v>
      </c>
    </row>
    <row r="1212" spans="1:22">
      <c r="A1212" t="s">
        <v>4941</v>
      </c>
      <c r="B1212" t="s">
        <v>4950</v>
      </c>
      <c r="C1212" t="s">
        <v>830</v>
      </c>
      <c r="D1212" t="s">
        <v>831</v>
      </c>
      <c r="E1212" t="s">
        <v>832</v>
      </c>
      <c r="F1212" t="s">
        <v>27</v>
      </c>
      <c r="G1212">
        <v>1</v>
      </c>
      <c r="H1212" t="s">
        <v>4970</v>
      </c>
      <c r="I1212" t="s">
        <v>4955</v>
      </c>
      <c r="J1212" t="s">
        <v>4971</v>
      </c>
      <c r="K1212" t="s">
        <v>4972</v>
      </c>
      <c r="L1212" t="s">
        <v>182</v>
      </c>
      <c r="M1212" s="1" t="str">
        <f t="shared" si="126"/>
        <v>08B340</v>
      </c>
      <c r="N1212" s="1" t="str">
        <f t="shared" si="127"/>
        <v>C/O</v>
      </c>
      <c r="O1212" s="1" t="str">
        <f t="shared" si="128"/>
        <v>Water Pump Main</v>
      </c>
      <c r="P1212" s="1" t="str">
        <f t="shared" si="129"/>
        <v>KSN0</v>
      </c>
      <c r="Q1212" s="2" t="str">
        <f t="shared" si="130"/>
        <v>KSN0Water Pump Main</v>
      </c>
      <c r="R1212" s="2" t="str">
        <f>New_Xref[[#This Row],[Serial Prefix]]&amp;IF(New_Xref[[#This Row],[Func Loc]]&lt;&gt;"",New_Xref[[#This Row],[Func Loc]],"NO MATCH")</f>
        <v>KSN0ENGD .WAPU.WAPM</v>
      </c>
      <c r="S1212" s="3" t="str">
        <f t="shared" si="131"/>
        <v>KSN010R6400Water Pump Main</v>
      </c>
      <c r="T1212" s="3" t="s">
        <v>183</v>
      </c>
      <c r="U1212" s="3" t="s">
        <v>34</v>
      </c>
      <c r="V1212" t="str">
        <f t="shared" si="132"/>
        <v>136100</v>
      </c>
    </row>
    <row r="1213" spans="1:22">
      <c r="A1213" t="s">
        <v>4941</v>
      </c>
      <c r="B1213" t="s">
        <v>4973</v>
      </c>
      <c r="H1213" t="s">
        <v>4974</v>
      </c>
      <c r="I1213" t="s">
        <v>4975</v>
      </c>
      <c r="J1213" t="s">
        <v>4976</v>
      </c>
      <c r="K1213" t="s">
        <v>4975</v>
      </c>
      <c r="L1213" t="s">
        <v>187</v>
      </c>
      <c r="M1213" s="1" t="str">
        <f t="shared" si="126"/>
        <v>08H358</v>
      </c>
      <c r="N1213" s="1" t="str">
        <f t="shared" si="127"/>
        <v>C/O</v>
      </c>
      <c r="O1213" s="1" t="str">
        <f t="shared" si="128"/>
        <v>Engine Cooling Fan Motor</v>
      </c>
      <c r="P1213" s="1" t="str">
        <f t="shared" si="129"/>
        <v>KSN0</v>
      </c>
      <c r="Q1213" s="2" t="str">
        <f t="shared" si="130"/>
        <v>KSN0Engine Cooling Fan Motor</v>
      </c>
      <c r="R1213" s="2" t="str">
        <f>New_Xref[[#This Row],[Serial Prefix]]&amp;IF(New_Xref[[#This Row],[Func Loc]]&lt;&gt;"",New_Xref[[#This Row],[Func Loc]],"NO MATCH")</f>
        <v>KSN0MYHD .MOTO.ECFM</v>
      </c>
      <c r="S1213" s="3" t="str">
        <f t="shared" si="131"/>
        <v>KSN0Engine Cooling Fan Motor</v>
      </c>
      <c r="T1213" s="3" t="s">
        <v>188</v>
      </c>
      <c r="U1213" s="3" t="s">
        <v>34</v>
      </c>
      <c r="V1213" t="str">
        <f t="shared" si="132"/>
        <v>138600</v>
      </c>
    </row>
    <row r="1214" spans="1:22">
      <c r="A1214" t="s">
        <v>4941</v>
      </c>
      <c r="B1214" t="s">
        <v>4973</v>
      </c>
      <c r="H1214" t="s">
        <v>4977</v>
      </c>
      <c r="I1214" t="s">
        <v>4978</v>
      </c>
      <c r="J1214" t="s">
        <v>4979</v>
      </c>
      <c r="K1214" t="s">
        <v>4978</v>
      </c>
      <c r="L1214" t="s">
        <v>365</v>
      </c>
      <c r="M1214" s="1" t="str">
        <f t="shared" si="126"/>
        <v>08H358</v>
      </c>
      <c r="N1214" s="1" t="str">
        <f t="shared" si="127"/>
        <v>C/O</v>
      </c>
      <c r="O1214" s="1" t="str">
        <f t="shared" si="128"/>
        <v>Engine Cooling Fan Pump</v>
      </c>
      <c r="P1214" s="1" t="str">
        <f t="shared" si="129"/>
        <v>KSN0</v>
      </c>
      <c r="Q1214" s="2" t="str">
        <f t="shared" si="130"/>
        <v>KSN0Engine Cooling Fan Pump</v>
      </c>
      <c r="R1214" s="2" t="str">
        <f>New_Xref[[#This Row],[Serial Prefix]]&amp;IF(New_Xref[[#This Row],[Func Loc]]&lt;&gt;"",New_Xref[[#This Row],[Func Loc]],"NO MATCH")</f>
        <v>KSN0MYHD .PUMP.ECFP</v>
      </c>
      <c r="S1214" s="3" t="str">
        <f t="shared" si="131"/>
        <v>KSN0Engine Cooling Fan Pump</v>
      </c>
      <c r="T1214" s="3" t="s">
        <v>869</v>
      </c>
      <c r="U1214" s="3" t="s">
        <v>34</v>
      </c>
      <c r="V1214" t="str">
        <f t="shared" si="132"/>
        <v>138700</v>
      </c>
    </row>
    <row r="1215" spans="1:22">
      <c r="A1215" t="s">
        <v>4941</v>
      </c>
      <c r="B1215" t="s">
        <v>4950</v>
      </c>
      <c r="C1215" t="s">
        <v>875</v>
      </c>
      <c r="D1215" t="s">
        <v>876</v>
      </c>
      <c r="E1215" t="s">
        <v>877</v>
      </c>
      <c r="F1215" t="s">
        <v>27</v>
      </c>
      <c r="G1215">
        <v>1</v>
      </c>
      <c r="H1215" t="s">
        <v>4980</v>
      </c>
      <c r="I1215" t="s">
        <v>4955</v>
      </c>
      <c r="J1215" t="s">
        <v>4981</v>
      </c>
      <c r="K1215" t="s">
        <v>4982</v>
      </c>
      <c r="L1215" t="s">
        <v>4983</v>
      </c>
      <c r="M1215" s="1" t="str">
        <f t="shared" si="126"/>
        <v>08B340</v>
      </c>
      <c r="N1215" s="1" t="str">
        <f t="shared" si="127"/>
        <v>C/O</v>
      </c>
      <c r="O1215" s="1" t="str">
        <f t="shared" si="128"/>
        <v>Starter Motor LH</v>
      </c>
      <c r="P1215" s="1" t="str">
        <f t="shared" si="129"/>
        <v>KSN0</v>
      </c>
      <c r="Q1215" s="2" t="str">
        <f t="shared" si="130"/>
        <v>KSN0Starter Motor LH</v>
      </c>
      <c r="R1215" s="2" t="str">
        <f>New_Xref[[#This Row],[Serial Prefix]]&amp;IF(New_Xref[[#This Row],[Func Loc]]&lt;&gt;"",New_Xref[[#This Row],[Func Loc]],"NO MATCH")</f>
        <v>KSN0LVEL .STSY.SMLH</v>
      </c>
      <c r="S1215" s="3" t="str">
        <f t="shared" si="131"/>
        <v>KSN020R1312Starter Motor LH</v>
      </c>
      <c r="T1215" s="3" t="s">
        <v>881</v>
      </c>
      <c r="U1215" s="3" t="s">
        <v>34</v>
      </c>
      <c r="V1215" t="str">
        <f t="shared" si="132"/>
        <v>145300</v>
      </c>
    </row>
    <row r="1216" spans="1:22">
      <c r="A1216" t="s">
        <v>4941</v>
      </c>
      <c r="B1216" t="s">
        <v>4950</v>
      </c>
      <c r="C1216" t="s">
        <v>875</v>
      </c>
      <c r="D1216" t="s">
        <v>876</v>
      </c>
      <c r="E1216" t="s">
        <v>877</v>
      </c>
      <c r="F1216" t="s">
        <v>27</v>
      </c>
      <c r="G1216">
        <v>1</v>
      </c>
      <c r="H1216" t="s">
        <v>4984</v>
      </c>
      <c r="I1216" t="s">
        <v>4955</v>
      </c>
      <c r="J1216" t="s">
        <v>4985</v>
      </c>
      <c r="K1216" t="s">
        <v>4986</v>
      </c>
      <c r="L1216" t="s">
        <v>4987</v>
      </c>
      <c r="M1216" s="1" t="str">
        <f t="shared" si="126"/>
        <v>08B340</v>
      </c>
      <c r="N1216" s="1" t="str">
        <f t="shared" si="127"/>
        <v>C/O</v>
      </c>
      <c r="O1216" s="1" t="str">
        <f t="shared" si="128"/>
        <v>Starter Motor RH</v>
      </c>
      <c r="P1216" s="1" t="str">
        <f t="shared" si="129"/>
        <v>KSN0</v>
      </c>
      <c r="Q1216" s="2" t="str">
        <f t="shared" si="130"/>
        <v>KSN0Starter Motor RH</v>
      </c>
      <c r="R1216" s="2" t="str">
        <f>New_Xref[[#This Row],[Serial Prefix]]&amp;IF(New_Xref[[#This Row],[Func Loc]]&lt;&gt;"",New_Xref[[#This Row],[Func Loc]],"NO MATCH")</f>
        <v>KSN0LVEL .STSY.SMRH</v>
      </c>
      <c r="S1216" s="3" t="str">
        <f t="shared" si="131"/>
        <v>KSN020R1312Starter Motor RH</v>
      </c>
      <c r="T1216" s="3" t="s">
        <v>881</v>
      </c>
      <c r="U1216" s="3" t="s">
        <v>34</v>
      </c>
      <c r="V1216" t="str">
        <f t="shared" si="132"/>
        <v>145300</v>
      </c>
    </row>
    <row r="1217" spans="1:22">
      <c r="A1217" t="s">
        <v>4941</v>
      </c>
      <c r="B1217" t="s">
        <v>4950</v>
      </c>
      <c r="C1217" t="s">
        <v>4988</v>
      </c>
      <c r="D1217" t="s">
        <v>4989</v>
      </c>
      <c r="E1217" t="s">
        <v>4990</v>
      </c>
      <c r="F1217" t="s">
        <v>27</v>
      </c>
      <c r="G1217">
        <v>1</v>
      </c>
      <c r="H1217" t="s">
        <v>4991</v>
      </c>
      <c r="I1217" t="s">
        <v>4992</v>
      </c>
      <c r="J1217" t="s">
        <v>4993</v>
      </c>
      <c r="K1217" t="s">
        <v>4992</v>
      </c>
      <c r="L1217" t="s">
        <v>4994</v>
      </c>
      <c r="M1217" s="1" t="str">
        <f t="shared" si="126"/>
        <v>08B340</v>
      </c>
      <c r="N1217" s="1" t="str">
        <f t="shared" si="127"/>
        <v>C/O</v>
      </c>
      <c r="O1217" s="1" t="str">
        <f t="shared" si="128"/>
        <v>Transfer &amp; Bevel Gears</v>
      </c>
      <c r="P1217" s="1" t="str">
        <f t="shared" si="129"/>
        <v>KSN0</v>
      </c>
      <c r="Q1217" s="2" t="str">
        <f t="shared" si="130"/>
        <v>KSN0Transfer &amp; Bevel Gears</v>
      </c>
      <c r="R1217" s="2" t="str">
        <f>New_Xref[[#This Row],[Serial Prefix]]&amp;IF(New_Xref[[#This Row],[Func Loc]]&lt;&gt;"",New_Xref[[#This Row],[Func Loc]],"NO MATCH")</f>
        <v>KSN0TRAN .TRAN.BEGE</v>
      </c>
      <c r="S1217" s="3" t="str">
        <f t="shared" si="131"/>
        <v>KSN05812105XTransfer &amp; Bevel Gears</v>
      </c>
      <c r="T1217" s="3" t="s">
        <v>4995</v>
      </c>
      <c r="U1217" s="3" t="s">
        <v>34</v>
      </c>
      <c r="V1217" t="str">
        <f t="shared" si="132"/>
        <v>301100</v>
      </c>
    </row>
    <row r="1218" spans="1:22">
      <c r="A1218" t="s">
        <v>4941</v>
      </c>
      <c r="B1218" t="s">
        <v>4950</v>
      </c>
      <c r="C1218" t="s">
        <v>4996</v>
      </c>
      <c r="D1218" t="s">
        <v>4997</v>
      </c>
      <c r="E1218" t="s">
        <v>191</v>
      </c>
      <c r="F1218" t="s">
        <v>27</v>
      </c>
      <c r="G1218">
        <v>1</v>
      </c>
      <c r="H1218" t="s">
        <v>4998</v>
      </c>
      <c r="I1218" t="s">
        <v>4999</v>
      </c>
      <c r="J1218" t="s">
        <v>5000</v>
      </c>
      <c r="K1218" t="s">
        <v>4999</v>
      </c>
      <c r="L1218" t="s">
        <v>72</v>
      </c>
      <c r="M1218" s="1" t="str">
        <f t="shared" si="126"/>
        <v>08B340</v>
      </c>
      <c r="N1218" s="1" t="str">
        <f t="shared" si="127"/>
        <v>C/O</v>
      </c>
      <c r="O1218" s="1" t="str">
        <f t="shared" si="128"/>
        <v>Transmission</v>
      </c>
      <c r="P1218" s="1" t="str">
        <f t="shared" si="129"/>
        <v>KSN0</v>
      </c>
      <c r="Q1218" s="2" t="str">
        <f t="shared" si="130"/>
        <v>KSN0Transmission</v>
      </c>
      <c r="R1218" s="2" t="str">
        <f>New_Xref[[#This Row],[Serial Prefix]]&amp;IF(New_Xref[[#This Row],[Func Loc]]&lt;&gt;"",New_Xref[[#This Row],[Func Loc]],"NO MATCH")</f>
        <v>KSN0TRAN .TRAN</v>
      </c>
      <c r="S1218" s="3" t="str">
        <f t="shared" si="131"/>
        <v>KSN05726451XTransmission</v>
      </c>
      <c r="T1218" s="3" t="s">
        <v>73</v>
      </c>
      <c r="U1218" s="3" t="s">
        <v>34</v>
      </c>
      <c r="V1218" t="str">
        <f t="shared" si="132"/>
        <v>303000</v>
      </c>
    </row>
    <row r="1219" spans="1:22">
      <c r="A1219" t="s">
        <v>4941</v>
      </c>
      <c r="B1219" t="s">
        <v>4942</v>
      </c>
      <c r="C1219" t="s">
        <v>5001</v>
      </c>
      <c r="D1219" t="s">
        <v>5002</v>
      </c>
      <c r="E1219" t="s">
        <v>5003</v>
      </c>
      <c r="F1219" t="s">
        <v>27</v>
      </c>
      <c r="G1219">
        <v>1</v>
      </c>
      <c r="H1219" t="s">
        <v>5004</v>
      </c>
      <c r="I1219" t="s">
        <v>5005</v>
      </c>
      <c r="J1219" t="s">
        <v>5006</v>
      </c>
      <c r="K1219" t="s">
        <v>5005</v>
      </c>
      <c r="L1219" t="s">
        <v>4596</v>
      </c>
      <c r="M1219" s="1" t="str">
        <f t="shared" ref="M1219:M1283" si="133">LEFT(K1219,FIND(" ",K1219,1)-1)</f>
        <v>08D367</v>
      </c>
      <c r="N1219" s="1" t="str">
        <f t="shared" ref="N1219:N1283" si="134">MID(K1219,LEN(M1219)+2,FIND(" ",K1219,LEN(M1219)+2)-LEN(M1219)-2)</f>
        <v>C/O</v>
      </c>
      <c r="O1219" s="1" t="str">
        <f t="shared" ref="O1219:O1283" si="135">MID(K1219,FIND(N1219,K1219,1)+LEN(N1219)+1, 150)</f>
        <v>Power Train Oil Pump</v>
      </c>
      <c r="P1219" s="1" t="str">
        <f t="shared" ref="P1219:P1283" si="136">LEFT(B1219,4)</f>
        <v>KSN0</v>
      </c>
      <c r="Q1219" s="2" t="str">
        <f t="shared" ref="Q1219:Q1283" si="137">P1219&amp;O1219</f>
        <v>KSN0Power Train Oil Pump</v>
      </c>
      <c r="R1219" s="2" t="str">
        <f>New_Xref[[#This Row],[Serial Prefix]]&amp;IF(New_Xref[[#This Row],[Func Loc]]&lt;&gt;"",New_Xref[[#This Row],[Func Loc]],"NO MATCH")</f>
        <v>KSN0TRAN .PUMP.PTOP</v>
      </c>
      <c r="S1219" s="3" t="str">
        <f t="shared" ref="S1219:S1282" si="138">P1219&amp;D1219&amp;O1219</f>
        <v>KSN011R1756Power Train Oil Pump</v>
      </c>
      <c r="T1219" s="3" t="s">
        <v>584</v>
      </c>
      <c r="U1219" s="3" t="s">
        <v>34</v>
      </c>
      <c r="V1219" t="str">
        <f t="shared" ref="V1219:V1283" si="139">LEFT(T1219,FIND(" -",T1219,1)-1)&amp;LEFT(U1219,FIND(" -",U1219,1)-1)</f>
        <v>306600</v>
      </c>
    </row>
    <row r="1220" spans="1:22">
      <c r="A1220" t="s">
        <v>4941</v>
      </c>
      <c r="B1220" t="s">
        <v>4950</v>
      </c>
      <c r="C1220" t="s">
        <v>5007</v>
      </c>
      <c r="D1220" t="s">
        <v>5008</v>
      </c>
      <c r="E1220" t="s">
        <v>4730</v>
      </c>
      <c r="F1220" t="s">
        <v>27</v>
      </c>
      <c r="G1220">
        <v>1</v>
      </c>
      <c r="H1220" t="s">
        <v>5009</v>
      </c>
      <c r="I1220" t="s">
        <v>5010</v>
      </c>
      <c r="J1220" t="s">
        <v>5011</v>
      </c>
      <c r="K1220" t="s">
        <v>5010</v>
      </c>
      <c r="L1220" t="s">
        <v>304</v>
      </c>
      <c r="M1220" s="1" t="str">
        <f t="shared" si="133"/>
        <v>08B340</v>
      </c>
      <c r="N1220" s="1" t="str">
        <f t="shared" si="134"/>
        <v>C/O</v>
      </c>
      <c r="O1220" s="1" t="str">
        <f t="shared" si="135"/>
        <v>Torque Converter</v>
      </c>
      <c r="P1220" s="1" t="str">
        <f t="shared" si="136"/>
        <v>KSN0</v>
      </c>
      <c r="Q1220" s="2" t="str">
        <f t="shared" si="137"/>
        <v>KSN0Torque Converter</v>
      </c>
      <c r="R1220" s="2" t="str">
        <f>New_Xref[[#This Row],[Serial Prefix]]&amp;IF(New_Xref[[#This Row],[Func Loc]]&lt;&gt;"",New_Xref[[#This Row],[Func Loc]],"NO MATCH")</f>
        <v>KSN0TRAN .TOCO</v>
      </c>
      <c r="S1220" s="3" t="str">
        <f t="shared" si="138"/>
        <v>KSN04563651XTorque Converter</v>
      </c>
      <c r="T1220" s="3" t="s">
        <v>305</v>
      </c>
      <c r="U1220" s="3" t="s">
        <v>34</v>
      </c>
      <c r="V1220" t="str">
        <f t="shared" si="139"/>
        <v>310100</v>
      </c>
    </row>
    <row r="1221" spans="1:22">
      <c r="A1221" t="s">
        <v>4941</v>
      </c>
      <c r="B1221" t="s">
        <v>4950</v>
      </c>
      <c r="C1221" t="s">
        <v>5012</v>
      </c>
      <c r="D1221" t="s">
        <v>5013</v>
      </c>
      <c r="E1221" t="s">
        <v>5014</v>
      </c>
      <c r="F1221" t="s">
        <v>27</v>
      </c>
      <c r="G1221">
        <v>1</v>
      </c>
      <c r="H1221" t="s">
        <v>5015</v>
      </c>
      <c r="I1221" t="s">
        <v>5016</v>
      </c>
      <c r="J1221" t="s">
        <v>5017</v>
      </c>
      <c r="K1221" t="s">
        <v>5016</v>
      </c>
      <c r="L1221" t="s">
        <v>907</v>
      </c>
      <c r="M1221" s="1" t="str">
        <f t="shared" si="133"/>
        <v>08B340</v>
      </c>
      <c r="N1221" s="1" t="str">
        <f t="shared" si="134"/>
        <v>C/O</v>
      </c>
      <c r="O1221" s="1" t="str">
        <f t="shared" si="135"/>
        <v>Final Drive LH</v>
      </c>
      <c r="P1221" s="1" t="str">
        <f t="shared" si="136"/>
        <v>KSN0</v>
      </c>
      <c r="Q1221" s="2" t="str">
        <f t="shared" si="137"/>
        <v>KSN0Final Drive LH</v>
      </c>
      <c r="R1221" s="2" t="str">
        <f>New_Xref[[#This Row],[Serial Prefix]]&amp;IF(New_Xref[[#This Row],[Func Loc]]&lt;&gt;"",New_Xref[[#This Row],[Func Loc]],"NO MATCH")</f>
        <v>KSN0FDRV .FIDR.FDLH</v>
      </c>
      <c r="S1221" s="3" t="str">
        <f t="shared" si="138"/>
        <v>KSN00R8956Final Drive LH</v>
      </c>
      <c r="T1221" s="3" t="s">
        <v>908</v>
      </c>
      <c r="U1221" s="3" t="s">
        <v>108</v>
      </c>
      <c r="V1221" t="str">
        <f t="shared" si="139"/>
        <v>4050LT</v>
      </c>
    </row>
    <row r="1222" spans="1:22">
      <c r="A1222" t="s">
        <v>4941</v>
      </c>
      <c r="B1222" t="s">
        <v>4950</v>
      </c>
      <c r="C1222" t="s">
        <v>5012</v>
      </c>
      <c r="D1222" t="s">
        <v>5013</v>
      </c>
      <c r="E1222" t="s">
        <v>5014</v>
      </c>
      <c r="F1222" t="s">
        <v>27</v>
      </c>
      <c r="G1222">
        <v>1</v>
      </c>
      <c r="H1222" t="s">
        <v>5015</v>
      </c>
      <c r="I1222" t="s">
        <v>5018</v>
      </c>
      <c r="J1222" t="s">
        <v>5019</v>
      </c>
      <c r="K1222" t="s">
        <v>5018</v>
      </c>
      <c r="L1222" t="s">
        <v>911</v>
      </c>
      <c r="M1222" s="1" t="str">
        <f t="shared" si="133"/>
        <v>08B340</v>
      </c>
      <c r="N1222" s="1" t="str">
        <f t="shared" si="134"/>
        <v>C/O</v>
      </c>
      <c r="O1222" s="1" t="str">
        <f t="shared" si="135"/>
        <v>Final Drive RH</v>
      </c>
      <c r="P1222" s="1" t="str">
        <f t="shared" si="136"/>
        <v>KSN0</v>
      </c>
      <c r="Q1222" s="2" t="str">
        <f t="shared" si="137"/>
        <v>KSN0Final Drive RH</v>
      </c>
      <c r="R1222" s="2" t="str">
        <f>New_Xref[[#This Row],[Serial Prefix]]&amp;IF(New_Xref[[#This Row],[Func Loc]]&lt;&gt;"",New_Xref[[#This Row],[Func Loc]],"NO MATCH")</f>
        <v>KSN0FDRV .FIDR.FDRH</v>
      </c>
      <c r="S1222" s="3" t="str">
        <f t="shared" si="138"/>
        <v>KSN00R8956Final Drive RH</v>
      </c>
      <c r="T1222" s="3" t="s">
        <v>908</v>
      </c>
      <c r="U1222" s="3" t="s">
        <v>115</v>
      </c>
      <c r="V1222" t="str">
        <f t="shared" si="139"/>
        <v>4050RI</v>
      </c>
    </row>
    <row r="1223" spans="1:22">
      <c r="A1223" t="s">
        <v>4941</v>
      </c>
      <c r="B1223" t="s">
        <v>4950</v>
      </c>
      <c r="C1223" t="s">
        <v>5020</v>
      </c>
      <c r="D1223" t="s">
        <v>5021</v>
      </c>
      <c r="E1223" t="s">
        <v>5022</v>
      </c>
      <c r="F1223" t="s">
        <v>27</v>
      </c>
      <c r="G1223">
        <v>1</v>
      </c>
      <c r="H1223" t="s">
        <v>5023</v>
      </c>
      <c r="I1223" t="s">
        <v>5024</v>
      </c>
      <c r="J1223" t="s">
        <v>5025</v>
      </c>
      <c r="K1223" t="s">
        <v>5024</v>
      </c>
      <c r="L1223" t="s">
        <v>4615</v>
      </c>
      <c r="M1223" s="1" t="str">
        <f t="shared" si="133"/>
        <v>08B340</v>
      </c>
      <c r="N1223" s="1" t="str">
        <f t="shared" si="134"/>
        <v>C/O</v>
      </c>
      <c r="O1223" s="1" t="str">
        <f t="shared" si="135"/>
        <v>Steering Clutch &amp; Brake LH</v>
      </c>
      <c r="P1223" s="1" t="str">
        <f t="shared" si="136"/>
        <v>KSN0</v>
      </c>
      <c r="Q1223" s="2" t="str">
        <f t="shared" si="137"/>
        <v>KSN0Steering Clutch &amp; Brake LH</v>
      </c>
      <c r="R1223" s="2" t="str">
        <f>New_Xref[[#This Row],[Serial Prefix]]&amp;IF(New_Xref[[#This Row],[Func Loc]]&lt;&gt;"",New_Xref[[#This Row],[Func Loc]],"NO MATCH")</f>
        <v>KSN0BRSS .SCBA.SCLH</v>
      </c>
      <c r="S1223" s="3" t="str">
        <f t="shared" si="138"/>
        <v>KSN05085837XSteering Clutch &amp; Brake LH</v>
      </c>
      <c r="T1223" s="3" t="s">
        <v>4616</v>
      </c>
      <c r="U1223" s="3" t="s">
        <v>108</v>
      </c>
      <c r="V1223" t="str">
        <f t="shared" si="139"/>
        <v>4100LT</v>
      </c>
    </row>
    <row r="1224" spans="1:22">
      <c r="A1224" t="s">
        <v>4941</v>
      </c>
      <c r="B1224" t="s">
        <v>4950</v>
      </c>
      <c r="C1224" t="s">
        <v>5020</v>
      </c>
      <c r="D1224" t="s">
        <v>5021</v>
      </c>
      <c r="E1224" t="s">
        <v>5022</v>
      </c>
      <c r="F1224" t="s">
        <v>27</v>
      </c>
      <c r="G1224">
        <v>1</v>
      </c>
      <c r="H1224" t="s">
        <v>5023</v>
      </c>
      <c r="I1224" t="s">
        <v>5026</v>
      </c>
      <c r="J1224" t="s">
        <v>5027</v>
      </c>
      <c r="K1224" t="s">
        <v>5026</v>
      </c>
      <c r="L1224" t="s">
        <v>4620</v>
      </c>
      <c r="M1224" s="1" t="str">
        <f t="shared" si="133"/>
        <v>08B340</v>
      </c>
      <c r="N1224" s="1" t="str">
        <f t="shared" si="134"/>
        <v>C/O</v>
      </c>
      <c r="O1224" s="1" t="str">
        <f t="shared" si="135"/>
        <v>Steering Clutch &amp; Brake RH</v>
      </c>
      <c r="P1224" s="1" t="str">
        <f t="shared" si="136"/>
        <v>KSN0</v>
      </c>
      <c r="Q1224" s="2" t="str">
        <f t="shared" si="137"/>
        <v>KSN0Steering Clutch &amp; Brake RH</v>
      </c>
      <c r="R1224" s="2" t="str">
        <f>New_Xref[[#This Row],[Serial Prefix]]&amp;IF(New_Xref[[#This Row],[Func Loc]]&lt;&gt;"",New_Xref[[#This Row],[Func Loc]],"NO MATCH")</f>
        <v>KSN0BRSS .SCBA.SCRH</v>
      </c>
      <c r="S1224" s="3" t="str">
        <f t="shared" si="138"/>
        <v>KSN05085837XSteering Clutch &amp; Brake RH</v>
      </c>
      <c r="T1224" s="3" t="s">
        <v>4616</v>
      </c>
      <c r="U1224" s="3" t="s">
        <v>115</v>
      </c>
      <c r="V1224" t="str">
        <f t="shared" si="139"/>
        <v>4100RI</v>
      </c>
    </row>
    <row r="1225" spans="1:22">
      <c r="A1225" t="s">
        <v>4941</v>
      </c>
      <c r="B1225" t="s">
        <v>4950</v>
      </c>
      <c r="C1225" t="s">
        <v>5028</v>
      </c>
      <c r="D1225" t="s">
        <v>5029</v>
      </c>
      <c r="E1225" t="s">
        <v>5030</v>
      </c>
      <c r="F1225" t="s">
        <v>27</v>
      </c>
      <c r="G1225">
        <v>1</v>
      </c>
      <c r="H1225" t="s">
        <v>5031</v>
      </c>
      <c r="I1225" t="s">
        <v>5032</v>
      </c>
      <c r="J1225" t="s">
        <v>5033</v>
      </c>
      <c r="K1225" t="s">
        <v>5032</v>
      </c>
      <c r="L1225" t="s">
        <v>4627</v>
      </c>
      <c r="M1225" s="1" t="str">
        <f t="shared" si="133"/>
        <v>08B340</v>
      </c>
      <c r="N1225" s="1" t="str">
        <f t="shared" si="134"/>
        <v>C/O</v>
      </c>
      <c r="O1225" s="1" t="str">
        <f t="shared" si="135"/>
        <v>Track Frame LH</v>
      </c>
      <c r="P1225" s="1" t="str">
        <f t="shared" si="136"/>
        <v>KSN0</v>
      </c>
      <c r="Q1225" s="2" t="str">
        <f t="shared" si="137"/>
        <v>KSN0Track Frame LH</v>
      </c>
      <c r="R1225" s="2" t="str">
        <f>New_Xref[[#This Row],[Serial Prefix]]&amp;IF(New_Xref[[#This Row],[Func Loc]]&lt;&gt;"",New_Xref[[#This Row],[Func Loc]],"NO MATCH")</f>
        <v>KSN0STRU .TFLH</v>
      </c>
      <c r="S1225" s="3" t="str">
        <f t="shared" si="138"/>
        <v>KSN03370989FTrack Frame LH</v>
      </c>
      <c r="T1225" s="3" t="s">
        <v>4628</v>
      </c>
      <c r="U1225" s="3" t="s">
        <v>108</v>
      </c>
      <c r="V1225" t="str">
        <f t="shared" si="139"/>
        <v>4150LT</v>
      </c>
    </row>
    <row r="1226" spans="1:22">
      <c r="A1226" t="s">
        <v>4941</v>
      </c>
      <c r="B1226" t="s">
        <v>4950</v>
      </c>
      <c r="C1226" t="s">
        <v>5034</v>
      </c>
      <c r="D1226" t="s">
        <v>5035</v>
      </c>
      <c r="E1226" t="s">
        <v>5036</v>
      </c>
      <c r="F1226" t="s">
        <v>27</v>
      </c>
      <c r="G1226">
        <v>1</v>
      </c>
      <c r="H1226" t="s">
        <v>5037</v>
      </c>
      <c r="I1226" t="s">
        <v>5038</v>
      </c>
      <c r="J1226" t="s">
        <v>5039</v>
      </c>
      <c r="K1226" t="s">
        <v>5038</v>
      </c>
      <c r="L1226" t="s">
        <v>4634</v>
      </c>
      <c r="M1226" s="1" t="str">
        <f t="shared" si="133"/>
        <v>08B340</v>
      </c>
      <c r="N1226" s="1" t="str">
        <f t="shared" si="134"/>
        <v>C/O</v>
      </c>
      <c r="O1226" s="1" t="str">
        <f t="shared" si="135"/>
        <v>Track Frame RH</v>
      </c>
      <c r="P1226" s="1" t="str">
        <f t="shared" si="136"/>
        <v>KSN0</v>
      </c>
      <c r="Q1226" s="2" t="str">
        <f t="shared" si="137"/>
        <v>KSN0Track Frame RH</v>
      </c>
      <c r="R1226" s="2" t="str">
        <f>New_Xref[[#This Row],[Serial Prefix]]&amp;IF(New_Xref[[#This Row],[Func Loc]]&lt;&gt;"",New_Xref[[#This Row],[Func Loc]],"NO MATCH")</f>
        <v>KSN0STRU .TFRH</v>
      </c>
      <c r="S1226" s="3" t="str">
        <f t="shared" si="138"/>
        <v>KSN03370988FTrack Frame RH</v>
      </c>
      <c r="T1226" s="3" t="s">
        <v>4628</v>
      </c>
      <c r="U1226" s="3" t="s">
        <v>115</v>
      </c>
      <c r="V1226" t="str">
        <f t="shared" si="139"/>
        <v>4150RI</v>
      </c>
    </row>
    <row r="1227" spans="1:22">
      <c r="A1227" t="s">
        <v>4941</v>
      </c>
      <c r="B1227" t="s">
        <v>5040</v>
      </c>
      <c r="C1227" t="s">
        <v>5041</v>
      </c>
      <c r="D1227" t="s">
        <v>5042</v>
      </c>
      <c r="E1227" t="s">
        <v>5043</v>
      </c>
      <c r="F1227" t="s">
        <v>27</v>
      </c>
      <c r="G1227">
        <v>1</v>
      </c>
      <c r="H1227" t="s">
        <v>5044</v>
      </c>
      <c r="I1227" t="s">
        <v>5045</v>
      </c>
      <c r="J1227" t="s">
        <v>5046</v>
      </c>
      <c r="K1227" t="s">
        <v>5045</v>
      </c>
      <c r="L1227" t="s">
        <v>4641</v>
      </c>
      <c r="M1227" s="1" t="str">
        <f t="shared" si="133"/>
        <v>08R325</v>
      </c>
      <c r="N1227" s="1" t="str">
        <f t="shared" si="134"/>
        <v>C/O</v>
      </c>
      <c r="O1227" s="1" t="str">
        <f t="shared" si="135"/>
        <v>Pivot Shaft</v>
      </c>
      <c r="P1227" s="1" t="str">
        <f t="shared" si="136"/>
        <v>KSN0</v>
      </c>
      <c r="Q1227" s="2" t="str">
        <f t="shared" si="137"/>
        <v>KSN0Pivot Shaft</v>
      </c>
      <c r="R1227" s="2" t="str">
        <f>New_Xref[[#This Row],[Serial Prefix]]&amp;IF(New_Xref[[#This Row],[Func Loc]]&lt;&gt;"",New_Xref[[#This Row],[Func Loc]],"NO MATCH")</f>
        <v>KSN0STRU .CHAS.PISH</v>
      </c>
      <c r="S1227" s="3" t="str">
        <f t="shared" si="138"/>
        <v>KSN010R9168Pivot Shaft</v>
      </c>
      <c r="T1227" s="3" t="s">
        <v>4642</v>
      </c>
      <c r="U1227" s="3" t="s">
        <v>34</v>
      </c>
      <c r="V1227" t="str">
        <f t="shared" si="139"/>
        <v>415300</v>
      </c>
    </row>
    <row r="1228" spans="1:22">
      <c r="A1228" t="s">
        <v>4941</v>
      </c>
      <c r="B1228" t="s">
        <v>4973</v>
      </c>
      <c r="H1228" t="s">
        <v>5047</v>
      </c>
      <c r="I1228" t="s">
        <v>5048</v>
      </c>
      <c r="J1228" t="s">
        <v>5049</v>
      </c>
      <c r="K1228" t="s">
        <v>5048</v>
      </c>
      <c r="L1228" t="s">
        <v>5050</v>
      </c>
      <c r="M1228" s="1" t="str">
        <f t="shared" si="133"/>
        <v>08H358</v>
      </c>
      <c r="N1228" s="1" t="str">
        <f t="shared" si="134"/>
        <v>C/O</v>
      </c>
      <c r="O1228" s="1" t="str">
        <f t="shared" si="135"/>
        <v>Pilot Hydraulic Pump</v>
      </c>
      <c r="P1228" s="1" t="str">
        <f t="shared" si="136"/>
        <v>KSN0</v>
      </c>
      <c r="Q1228" s="2" t="str">
        <f t="shared" si="137"/>
        <v>KSN0Pilot Hydraulic Pump</v>
      </c>
      <c r="R1228" s="2" t="str">
        <f>New_Xref[[#This Row],[Serial Prefix]]&amp;IF(New_Xref[[#This Row],[Func Loc]]&lt;&gt;"",New_Xref[[#This Row],[Func Loc]],"NO MATCH")</f>
        <v>KSN0MYHD .PUMP.PIHP</v>
      </c>
      <c r="S1228" s="3" t="str">
        <f t="shared" si="138"/>
        <v>KSN0Pilot Hydraulic Pump</v>
      </c>
      <c r="T1228" s="3" t="s">
        <v>993</v>
      </c>
      <c r="U1228" s="3" t="s">
        <v>34</v>
      </c>
      <c r="V1228" t="str">
        <f t="shared" si="139"/>
        <v>508500</v>
      </c>
    </row>
    <row r="1229" spans="1:22">
      <c r="A1229" t="s">
        <v>4941</v>
      </c>
      <c r="B1229" t="s">
        <v>4950</v>
      </c>
      <c r="C1229" t="s">
        <v>5051</v>
      </c>
      <c r="D1229" t="s">
        <v>5052</v>
      </c>
      <c r="E1229" t="s">
        <v>4325</v>
      </c>
      <c r="F1229" t="s">
        <v>27</v>
      </c>
      <c r="G1229">
        <v>1</v>
      </c>
      <c r="H1229" t="s">
        <v>5053</v>
      </c>
      <c r="I1229" t="s">
        <v>5054</v>
      </c>
      <c r="J1229" t="s">
        <v>5055</v>
      </c>
      <c r="K1229" t="s">
        <v>5054</v>
      </c>
      <c r="L1229" t="s">
        <v>375</v>
      </c>
      <c r="M1229" s="1" t="str">
        <f t="shared" si="133"/>
        <v>08B340</v>
      </c>
      <c r="N1229" s="1" t="str">
        <f t="shared" si="134"/>
        <v>C/O</v>
      </c>
      <c r="O1229" s="1" t="str">
        <f t="shared" si="135"/>
        <v>Blade Tilt Cylinder LH</v>
      </c>
      <c r="P1229" s="1" t="str">
        <f t="shared" si="136"/>
        <v>KSN0</v>
      </c>
      <c r="Q1229" s="2" t="str">
        <f t="shared" si="137"/>
        <v>KSN0Blade Tilt Cylinder LH</v>
      </c>
      <c r="R1229" s="2" t="str">
        <f>New_Xref[[#This Row],[Serial Prefix]]&amp;IF(New_Xref[[#This Row],[Func Loc]]&lt;&gt;"",New_Xref[[#This Row],[Func Loc]],"NO MATCH")</f>
        <v>KSN0MYHD .CYLI.BLTL</v>
      </c>
      <c r="S1229" s="3" t="str">
        <f t="shared" si="138"/>
        <v>KSN05616909XBlade Tilt Cylinder LH</v>
      </c>
      <c r="T1229" s="3" t="s">
        <v>638</v>
      </c>
      <c r="U1229" s="3" t="s">
        <v>108</v>
      </c>
      <c r="V1229" t="str">
        <f t="shared" si="139"/>
        <v>5104LT</v>
      </c>
    </row>
    <row r="1230" spans="1:22">
      <c r="A1230" t="s">
        <v>4941</v>
      </c>
      <c r="B1230" t="s">
        <v>4950</v>
      </c>
      <c r="C1230" t="s">
        <v>5051</v>
      </c>
      <c r="D1230" t="s">
        <v>5052</v>
      </c>
      <c r="E1230" t="s">
        <v>4325</v>
      </c>
      <c r="F1230" t="s">
        <v>27</v>
      </c>
      <c r="G1230">
        <v>1</v>
      </c>
      <c r="H1230" t="s">
        <v>5053</v>
      </c>
      <c r="I1230" t="s">
        <v>5056</v>
      </c>
      <c r="J1230" t="s">
        <v>5057</v>
      </c>
      <c r="K1230" t="s">
        <v>5056</v>
      </c>
      <c r="L1230" t="s">
        <v>378</v>
      </c>
      <c r="M1230" s="1" t="str">
        <f t="shared" si="133"/>
        <v>08B340</v>
      </c>
      <c r="N1230" s="1" t="str">
        <f t="shared" si="134"/>
        <v>C/O</v>
      </c>
      <c r="O1230" s="1" t="str">
        <f t="shared" si="135"/>
        <v>Blade Tilt Cylinder RH</v>
      </c>
      <c r="P1230" s="1" t="str">
        <f t="shared" si="136"/>
        <v>KSN0</v>
      </c>
      <c r="Q1230" s="2" t="str">
        <f t="shared" si="137"/>
        <v>KSN0Blade Tilt Cylinder RH</v>
      </c>
      <c r="R1230" s="2" t="str">
        <f>New_Xref[[#This Row],[Serial Prefix]]&amp;IF(New_Xref[[#This Row],[Func Loc]]&lt;&gt;"",New_Xref[[#This Row],[Func Loc]],"NO MATCH")</f>
        <v>KSN0MYHD .CYLI.BLTR</v>
      </c>
      <c r="S1230" s="3" t="str">
        <f t="shared" si="138"/>
        <v>KSN05616909XBlade Tilt Cylinder RH</v>
      </c>
      <c r="T1230" s="3" t="s">
        <v>638</v>
      </c>
      <c r="U1230" s="3" t="s">
        <v>115</v>
      </c>
      <c r="V1230" t="str">
        <f t="shared" si="139"/>
        <v>5104RI</v>
      </c>
    </row>
    <row r="1231" spans="1:22">
      <c r="A1231" t="s">
        <v>4941</v>
      </c>
      <c r="B1231" t="s">
        <v>4942</v>
      </c>
      <c r="C1231" t="s">
        <v>5058</v>
      </c>
      <c r="D1231" t="s">
        <v>5059</v>
      </c>
      <c r="E1231" t="s">
        <v>5060</v>
      </c>
      <c r="F1231" t="s">
        <v>27</v>
      </c>
      <c r="G1231">
        <v>1</v>
      </c>
      <c r="H1231" t="s">
        <v>5061</v>
      </c>
      <c r="I1231" t="s">
        <v>5062</v>
      </c>
      <c r="J1231" t="s">
        <v>5063</v>
      </c>
      <c r="K1231" t="s">
        <v>5062</v>
      </c>
      <c r="L1231" t="s">
        <v>129</v>
      </c>
      <c r="M1231" s="1" t="str">
        <f t="shared" si="133"/>
        <v>08D367</v>
      </c>
      <c r="N1231" s="1" t="str">
        <f t="shared" si="134"/>
        <v>C/O</v>
      </c>
      <c r="O1231" s="1" t="str">
        <f t="shared" si="135"/>
        <v>Blade Lift Cylinder LH</v>
      </c>
      <c r="P1231" s="1" t="str">
        <f t="shared" si="136"/>
        <v>KSN0</v>
      </c>
      <c r="Q1231" s="2" t="str">
        <f t="shared" si="137"/>
        <v>KSN0Blade Lift Cylinder LH</v>
      </c>
      <c r="R1231" s="2" t="str">
        <f>New_Xref[[#This Row],[Serial Prefix]]&amp;IF(New_Xref[[#This Row],[Func Loc]]&lt;&gt;"",New_Xref[[#This Row],[Func Loc]],"NO MATCH")</f>
        <v>KSN0MYHD .CYLI.BLLL</v>
      </c>
      <c r="S1231" s="3" t="str">
        <f t="shared" si="138"/>
        <v>KSN05739165XBlade Lift Cylinder LH</v>
      </c>
      <c r="T1231" s="3" t="s">
        <v>4783</v>
      </c>
      <c r="U1231" s="3" t="s">
        <v>108</v>
      </c>
      <c r="V1231" t="str">
        <f t="shared" si="139"/>
        <v>5113LT</v>
      </c>
    </row>
    <row r="1232" spans="1:22">
      <c r="A1232" t="s">
        <v>4941</v>
      </c>
      <c r="B1232" t="s">
        <v>4942</v>
      </c>
      <c r="C1232" t="s">
        <v>5058</v>
      </c>
      <c r="D1232" t="s">
        <v>5059</v>
      </c>
      <c r="E1232" t="s">
        <v>5060</v>
      </c>
      <c r="F1232" t="s">
        <v>27</v>
      </c>
      <c r="G1232">
        <v>1</v>
      </c>
      <c r="H1232" t="s">
        <v>5061</v>
      </c>
      <c r="I1232" t="s">
        <v>5064</v>
      </c>
      <c r="J1232" t="s">
        <v>5065</v>
      </c>
      <c r="K1232" t="s">
        <v>5064</v>
      </c>
      <c r="L1232" t="s">
        <v>133</v>
      </c>
      <c r="M1232" s="1" t="str">
        <f t="shared" si="133"/>
        <v>08D367</v>
      </c>
      <c r="N1232" s="1" t="str">
        <f t="shared" si="134"/>
        <v>C/O</v>
      </c>
      <c r="O1232" s="1" t="str">
        <f t="shared" si="135"/>
        <v>Blade Lift Cylinder RH</v>
      </c>
      <c r="P1232" s="1" t="str">
        <f t="shared" si="136"/>
        <v>KSN0</v>
      </c>
      <c r="Q1232" s="2" t="str">
        <f t="shared" si="137"/>
        <v>KSN0Blade Lift Cylinder RH</v>
      </c>
      <c r="R1232" s="2" t="str">
        <f>New_Xref[[#This Row],[Serial Prefix]]&amp;IF(New_Xref[[#This Row],[Func Loc]]&lt;&gt;"",New_Xref[[#This Row],[Func Loc]],"NO MATCH")</f>
        <v>KSN0MYHD .CYLI.BLLR</v>
      </c>
      <c r="S1232" s="3" t="str">
        <f t="shared" si="138"/>
        <v>KSN05739165XBlade Lift Cylinder RH</v>
      </c>
      <c r="T1232" s="3" t="s">
        <v>4783</v>
      </c>
      <c r="U1232" s="3" t="s">
        <v>115</v>
      </c>
      <c r="V1232" t="str">
        <f t="shared" si="139"/>
        <v>5113RI</v>
      </c>
    </row>
    <row r="1233" spans="1:22">
      <c r="A1233" t="s">
        <v>4941</v>
      </c>
      <c r="B1233" t="s">
        <v>4950</v>
      </c>
      <c r="C1233" t="s">
        <v>5066</v>
      </c>
      <c r="D1233" t="s">
        <v>5067</v>
      </c>
      <c r="E1233" t="s">
        <v>5068</v>
      </c>
      <c r="F1233" t="s">
        <v>27</v>
      </c>
      <c r="G1233">
        <v>1</v>
      </c>
      <c r="H1233" t="s">
        <v>5069</v>
      </c>
      <c r="I1233" t="s">
        <v>5070</v>
      </c>
      <c r="J1233" t="s">
        <v>5071</v>
      </c>
      <c r="K1233" t="s">
        <v>5070</v>
      </c>
      <c r="L1233" t="s">
        <v>2092</v>
      </c>
      <c r="M1233" s="1" t="str">
        <f t="shared" si="133"/>
        <v>08B340</v>
      </c>
      <c r="N1233" s="1" t="str">
        <f t="shared" si="134"/>
        <v>C/O</v>
      </c>
      <c r="O1233" s="1" t="str">
        <f t="shared" si="135"/>
        <v>Ripper Lift Cylinder LH</v>
      </c>
      <c r="P1233" s="1" t="str">
        <f t="shared" si="136"/>
        <v>KSN0</v>
      </c>
      <c r="Q1233" s="2" t="str">
        <f t="shared" si="137"/>
        <v>KSN0Ripper Lift Cylinder LH</v>
      </c>
      <c r="R1233" s="2" t="str">
        <f>New_Xref[[#This Row],[Serial Prefix]]&amp;IF(New_Xref[[#This Row],[Func Loc]]&lt;&gt;"",New_Xref[[#This Row],[Func Loc]],"NO MATCH")</f>
        <v>KSN0MYHD .CYLI.RILL</v>
      </c>
      <c r="S1233" s="3" t="str">
        <f t="shared" si="138"/>
        <v>KSN05617470XRipper Lift Cylinder LH</v>
      </c>
      <c r="T1233" s="3" t="s">
        <v>246</v>
      </c>
      <c r="U1233" s="3" t="s">
        <v>108</v>
      </c>
      <c r="V1233" t="str">
        <f t="shared" si="139"/>
        <v>5352LT</v>
      </c>
    </row>
    <row r="1234" spans="1:22">
      <c r="A1234" t="s">
        <v>4941</v>
      </c>
      <c r="B1234" t="s">
        <v>4950</v>
      </c>
      <c r="C1234" t="s">
        <v>5066</v>
      </c>
      <c r="D1234" t="s">
        <v>5067</v>
      </c>
      <c r="E1234" t="s">
        <v>5068</v>
      </c>
      <c r="F1234" t="s">
        <v>27</v>
      </c>
      <c r="G1234">
        <v>1</v>
      </c>
      <c r="H1234" t="s">
        <v>5069</v>
      </c>
      <c r="I1234" t="s">
        <v>5072</v>
      </c>
      <c r="J1234" t="s">
        <v>5073</v>
      </c>
      <c r="K1234" t="s">
        <v>5072</v>
      </c>
      <c r="L1234" t="s">
        <v>1923</v>
      </c>
      <c r="M1234" s="1" t="str">
        <f t="shared" si="133"/>
        <v>08B340</v>
      </c>
      <c r="N1234" s="1" t="str">
        <f t="shared" si="134"/>
        <v>C/O</v>
      </c>
      <c r="O1234" s="1" t="str">
        <f t="shared" si="135"/>
        <v>Ripper Lift Cylinder RH</v>
      </c>
      <c r="P1234" s="1" t="str">
        <f t="shared" si="136"/>
        <v>KSN0</v>
      </c>
      <c r="Q1234" s="2" t="str">
        <f t="shared" si="137"/>
        <v>KSN0Ripper Lift Cylinder RH</v>
      </c>
      <c r="R1234" s="2" t="str">
        <f>New_Xref[[#This Row],[Serial Prefix]]&amp;IF(New_Xref[[#This Row],[Func Loc]]&lt;&gt;"",New_Xref[[#This Row],[Func Loc]],"NO MATCH")</f>
        <v>KSN0MYHD .CYLI.RILR</v>
      </c>
      <c r="S1234" s="3" t="str">
        <f t="shared" si="138"/>
        <v>KSN05617470XRipper Lift Cylinder RH</v>
      </c>
      <c r="T1234" s="3" t="s">
        <v>246</v>
      </c>
      <c r="U1234" s="3" t="s">
        <v>115</v>
      </c>
      <c r="V1234" t="str">
        <f t="shared" si="139"/>
        <v>5352RI</v>
      </c>
    </row>
    <row r="1235" spans="1:22">
      <c r="A1235" t="s">
        <v>4941</v>
      </c>
      <c r="B1235" t="s">
        <v>4950</v>
      </c>
      <c r="C1235" t="s">
        <v>5074</v>
      </c>
      <c r="D1235" t="s">
        <v>5075</v>
      </c>
      <c r="E1235" t="s">
        <v>5068</v>
      </c>
      <c r="F1235" t="s">
        <v>27</v>
      </c>
      <c r="G1235">
        <v>1</v>
      </c>
      <c r="H1235" t="s">
        <v>5076</v>
      </c>
      <c r="I1235" t="s">
        <v>5077</v>
      </c>
      <c r="J1235" t="s">
        <v>5078</v>
      </c>
      <c r="K1235" t="s">
        <v>5077</v>
      </c>
      <c r="L1235" t="s">
        <v>4684</v>
      </c>
      <c r="M1235" s="1" t="str">
        <f t="shared" si="133"/>
        <v>08B340</v>
      </c>
      <c r="N1235" s="1" t="str">
        <f t="shared" si="134"/>
        <v>C/O</v>
      </c>
      <c r="O1235" s="1" t="str">
        <f t="shared" si="135"/>
        <v>Ripper Tilt Cylinder LH</v>
      </c>
      <c r="P1235" s="1" t="str">
        <f t="shared" si="136"/>
        <v>KSN0</v>
      </c>
      <c r="Q1235" s="2" t="str">
        <f t="shared" si="137"/>
        <v>KSN0Ripper Tilt Cylinder LH</v>
      </c>
      <c r="R1235" s="2" t="str">
        <f>New_Xref[[#This Row],[Serial Prefix]]&amp;IF(New_Xref[[#This Row],[Func Loc]]&lt;&gt;"",New_Xref[[#This Row],[Func Loc]],"NO MATCH")</f>
        <v>KSN0MYHD .CYLI.RITL</v>
      </c>
      <c r="S1235" s="3" t="str">
        <f t="shared" si="138"/>
        <v>KSN04651711XRipper Tilt Cylinder LH</v>
      </c>
      <c r="T1235" s="3" t="s">
        <v>4685</v>
      </c>
      <c r="U1235" s="3" t="s">
        <v>108</v>
      </c>
      <c r="V1235" t="str">
        <f t="shared" si="139"/>
        <v>5356LT</v>
      </c>
    </row>
    <row r="1236" spans="1:22">
      <c r="A1236" t="s">
        <v>4941</v>
      </c>
      <c r="B1236" t="s">
        <v>4950</v>
      </c>
      <c r="C1236" t="s">
        <v>5074</v>
      </c>
      <c r="D1236" t="s">
        <v>5075</v>
      </c>
      <c r="E1236" t="s">
        <v>5068</v>
      </c>
      <c r="F1236" t="s">
        <v>27</v>
      </c>
      <c r="G1236">
        <v>1</v>
      </c>
      <c r="H1236" t="s">
        <v>5076</v>
      </c>
      <c r="I1236" t="s">
        <v>5079</v>
      </c>
      <c r="J1236" t="s">
        <v>5080</v>
      </c>
      <c r="K1236" t="s">
        <v>5079</v>
      </c>
      <c r="L1236" t="s">
        <v>4688</v>
      </c>
      <c r="M1236" s="1" t="str">
        <f t="shared" si="133"/>
        <v>08B340</v>
      </c>
      <c r="N1236" s="1" t="str">
        <f t="shared" si="134"/>
        <v>C/O</v>
      </c>
      <c r="O1236" s="1" t="str">
        <f t="shared" si="135"/>
        <v>Ripper Tilt Cylinder RH</v>
      </c>
      <c r="P1236" s="1" t="str">
        <f t="shared" si="136"/>
        <v>KSN0</v>
      </c>
      <c r="Q1236" s="2" t="str">
        <f t="shared" si="137"/>
        <v>KSN0Ripper Tilt Cylinder RH</v>
      </c>
      <c r="R1236" s="2" t="str">
        <f>New_Xref[[#This Row],[Serial Prefix]]&amp;IF(New_Xref[[#This Row],[Func Loc]]&lt;&gt;"",New_Xref[[#This Row],[Func Loc]],"NO MATCH")</f>
        <v>KSN0MYHD .CYLI.RITR</v>
      </c>
      <c r="S1236" s="3" t="str">
        <f t="shared" si="138"/>
        <v>KSN04651711XRipper Tilt Cylinder RH</v>
      </c>
      <c r="T1236" s="3" t="s">
        <v>4685</v>
      </c>
      <c r="U1236" s="3" t="s">
        <v>115</v>
      </c>
      <c r="V1236" t="str">
        <f t="shared" si="139"/>
        <v>5356RI</v>
      </c>
    </row>
    <row r="1237" spans="1:22">
      <c r="A1237" t="s">
        <v>5081</v>
      </c>
      <c r="B1237" t="s">
        <v>5082</v>
      </c>
      <c r="F1237" t="s">
        <v>27</v>
      </c>
      <c r="G1237">
        <v>1</v>
      </c>
      <c r="H1237" t="s">
        <v>5083</v>
      </c>
      <c r="I1237" t="s">
        <v>5084</v>
      </c>
      <c r="J1237" t="s">
        <v>5085</v>
      </c>
      <c r="K1237" t="s">
        <v>5086</v>
      </c>
      <c r="L1237" t="s">
        <v>32</v>
      </c>
      <c r="M1237" s="1" t="str">
        <f t="shared" si="133"/>
        <v>08D1</v>
      </c>
      <c r="N1237" s="1" t="str">
        <f t="shared" si="134"/>
        <v>C/O</v>
      </c>
      <c r="O1237" s="1" t="str">
        <f t="shared" si="135"/>
        <v>Engine</v>
      </c>
      <c r="P1237" s="1" t="str">
        <f t="shared" si="136"/>
        <v>7PZ0</v>
      </c>
      <c r="Q1237" s="2" t="str">
        <f t="shared" si="137"/>
        <v>7PZ0Engine</v>
      </c>
      <c r="R1237" s="2" t="str">
        <f>New_Xref[[#This Row],[Serial Prefix]]&amp;IF(New_Xref[[#This Row],[Func Loc]]&lt;&gt;"",New_Xref[[#This Row],[Func Loc]],"NO MATCH")</f>
        <v>7PZ0ENGD</v>
      </c>
      <c r="S1237" s="3" t="str">
        <f t="shared" si="138"/>
        <v>7PZ0Engine</v>
      </c>
      <c r="T1237" s="3" t="s">
        <v>33</v>
      </c>
      <c r="U1237" s="3" t="s">
        <v>34</v>
      </c>
      <c r="V1237" t="str">
        <f t="shared" si="139"/>
        <v>100000</v>
      </c>
    </row>
    <row r="1238" spans="1:22">
      <c r="A1238" t="s">
        <v>5081</v>
      </c>
      <c r="B1238" t="s">
        <v>5082</v>
      </c>
      <c r="C1238" t="s">
        <v>5087</v>
      </c>
      <c r="D1238" t="s">
        <v>5088</v>
      </c>
      <c r="E1238" t="s">
        <v>5089</v>
      </c>
      <c r="F1238" t="s">
        <v>27</v>
      </c>
      <c r="G1238">
        <v>1</v>
      </c>
      <c r="H1238" t="s">
        <v>5090</v>
      </c>
      <c r="I1238" t="s">
        <v>5084</v>
      </c>
      <c r="J1238" t="s">
        <v>5091</v>
      </c>
      <c r="K1238" t="s">
        <v>5092</v>
      </c>
      <c r="L1238" t="s">
        <v>719</v>
      </c>
      <c r="M1238" s="1" t="str">
        <f t="shared" si="133"/>
        <v>08D1</v>
      </c>
      <c r="N1238" s="1" t="str">
        <f t="shared" si="134"/>
        <v>C/O</v>
      </c>
      <c r="O1238" s="1" t="str">
        <f t="shared" si="135"/>
        <v>Turbocharger LH</v>
      </c>
      <c r="P1238" s="1" t="str">
        <f t="shared" si="136"/>
        <v>7PZ0</v>
      </c>
      <c r="Q1238" s="2" t="str">
        <f t="shared" si="137"/>
        <v>7PZ0Turbocharger LH</v>
      </c>
      <c r="R1238" s="2" t="str">
        <f>New_Xref[[#This Row],[Serial Prefix]]&amp;IF(New_Xref[[#This Row],[Func Loc]]&lt;&gt;"",New_Xref[[#This Row],[Func Loc]],"NO MATCH")</f>
        <v>7PZ0ENGD .TURB.TC01</v>
      </c>
      <c r="S1238" s="3" t="str">
        <f t="shared" si="138"/>
        <v>7PZ010R2844Turbocharger LH</v>
      </c>
      <c r="T1238" s="3" t="s">
        <v>47</v>
      </c>
      <c r="U1238" s="3" t="s">
        <v>108</v>
      </c>
      <c r="V1238" t="str">
        <f t="shared" si="139"/>
        <v>1052LT</v>
      </c>
    </row>
    <row r="1239" spans="1:22">
      <c r="A1239" t="s">
        <v>5081</v>
      </c>
      <c r="B1239" t="s">
        <v>5082</v>
      </c>
      <c r="C1239" t="s">
        <v>5087</v>
      </c>
      <c r="D1239" t="s">
        <v>5088</v>
      </c>
      <c r="E1239" t="s">
        <v>5089</v>
      </c>
      <c r="F1239" t="s">
        <v>27</v>
      </c>
      <c r="G1239">
        <v>1</v>
      </c>
      <c r="H1239" t="s">
        <v>5090</v>
      </c>
      <c r="I1239" t="s">
        <v>5084</v>
      </c>
      <c r="J1239" t="s">
        <v>5093</v>
      </c>
      <c r="K1239" t="s">
        <v>5094</v>
      </c>
      <c r="L1239" t="s">
        <v>722</v>
      </c>
      <c r="M1239" s="1" t="str">
        <f t="shared" si="133"/>
        <v>08D1</v>
      </c>
      <c r="N1239" s="1" t="str">
        <f t="shared" si="134"/>
        <v>C/O</v>
      </c>
      <c r="O1239" s="1" t="str">
        <f t="shared" si="135"/>
        <v>Turbocharger RH</v>
      </c>
      <c r="P1239" s="1" t="str">
        <f t="shared" si="136"/>
        <v>7PZ0</v>
      </c>
      <c r="Q1239" s="2" t="str">
        <f t="shared" si="137"/>
        <v>7PZ0Turbocharger RH</v>
      </c>
      <c r="R1239" s="2" t="str">
        <f>New_Xref[[#This Row],[Serial Prefix]]&amp;IF(New_Xref[[#This Row],[Func Loc]]&lt;&gt;"",New_Xref[[#This Row],[Func Loc]],"NO MATCH")</f>
        <v>7PZ0ENGD .TURB.TC02</v>
      </c>
      <c r="S1239" s="3" t="str">
        <f t="shared" si="138"/>
        <v>7PZ010R2844Turbocharger RH</v>
      </c>
      <c r="T1239" s="3" t="s">
        <v>47</v>
      </c>
      <c r="U1239" s="3" t="s">
        <v>115</v>
      </c>
      <c r="V1239" t="str">
        <f t="shared" si="139"/>
        <v>1052RI</v>
      </c>
    </row>
    <row r="1240" spans="1:22">
      <c r="A1240" t="s">
        <v>5081</v>
      </c>
      <c r="B1240" t="s">
        <v>5082</v>
      </c>
      <c r="C1240" t="s">
        <v>2152</v>
      </c>
      <c r="D1240" t="s">
        <v>2153</v>
      </c>
      <c r="E1240" t="s">
        <v>58</v>
      </c>
      <c r="F1240" t="s">
        <v>27</v>
      </c>
      <c r="G1240">
        <v>8</v>
      </c>
      <c r="H1240" t="s">
        <v>5095</v>
      </c>
      <c r="I1240" t="s">
        <v>5084</v>
      </c>
      <c r="J1240" t="s">
        <v>5096</v>
      </c>
      <c r="K1240" t="s">
        <v>5097</v>
      </c>
      <c r="L1240" t="s">
        <v>62</v>
      </c>
      <c r="M1240" s="1" t="str">
        <f t="shared" si="133"/>
        <v>08D1</v>
      </c>
      <c r="N1240" s="1" t="str">
        <f t="shared" si="134"/>
        <v>C/O</v>
      </c>
      <c r="O1240" s="1" t="str">
        <f t="shared" si="135"/>
        <v>Fuel Injectors</v>
      </c>
      <c r="P1240" s="1" t="str">
        <f t="shared" si="136"/>
        <v>7PZ0</v>
      </c>
      <c r="Q1240" s="2" t="str">
        <f t="shared" si="137"/>
        <v>7PZ0Fuel Injectors</v>
      </c>
      <c r="R1240" s="2" t="str">
        <f>New_Xref[[#This Row],[Serial Prefix]]&amp;IF(New_Xref[[#This Row],[Func Loc]]&lt;&gt;"",New_Xref[[#This Row],[Func Loc]],"NO MATCH")</f>
        <v>7PZ0ENGD .FUEL.INJE</v>
      </c>
      <c r="S1240" s="3" t="str">
        <f t="shared" si="138"/>
        <v>7PZ020R0849Fuel Injectors</v>
      </c>
      <c r="T1240" s="3" t="s">
        <v>63</v>
      </c>
      <c r="U1240" s="3" t="s">
        <v>34</v>
      </c>
      <c r="V1240" t="str">
        <f t="shared" si="139"/>
        <v>125100</v>
      </c>
    </row>
    <row r="1241" spans="1:22">
      <c r="A1241" t="s">
        <v>5081</v>
      </c>
      <c r="B1241" t="s">
        <v>5082</v>
      </c>
      <c r="H1241" t="s">
        <v>5098</v>
      </c>
      <c r="I1241" t="s">
        <v>5099</v>
      </c>
      <c r="J1241" t="s">
        <v>5100</v>
      </c>
      <c r="K1241" t="s">
        <v>5099</v>
      </c>
      <c r="L1241" t="s">
        <v>67</v>
      </c>
      <c r="M1241" s="1" t="str">
        <f t="shared" si="133"/>
        <v>08D1</v>
      </c>
      <c r="N1241" s="1" t="str">
        <f t="shared" si="134"/>
        <v>C/O</v>
      </c>
      <c r="O1241" s="1" t="str">
        <f t="shared" si="135"/>
        <v>Engine Radiator</v>
      </c>
      <c r="P1241" s="1" t="str">
        <f t="shared" si="136"/>
        <v>7PZ0</v>
      </c>
      <c r="Q1241" s="2" t="str">
        <f t="shared" si="137"/>
        <v>7PZ0Engine Radiator</v>
      </c>
      <c r="R1241" s="2" t="str">
        <f>New_Xref[[#This Row],[Serial Prefix]]&amp;IF(New_Xref[[#This Row],[Func Loc]]&lt;&gt;"",New_Xref[[#This Row],[Func Loc]],"NO MATCH")</f>
        <v>7PZ0ENGD .ENCS.RADI</v>
      </c>
      <c r="S1241" s="3" t="str">
        <f t="shared" si="138"/>
        <v>7PZ0Engine Radiator</v>
      </c>
      <c r="T1241" s="3" t="s">
        <v>68</v>
      </c>
      <c r="U1241" s="3" t="s">
        <v>34</v>
      </c>
      <c r="V1241" t="str">
        <f t="shared" si="139"/>
        <v>135300</v>
      </c>
    </row>
    <row r="1242" spans="1:22">
      <c r="A1242" t="s">
        <v>5081</v>
      </c>
      <c r="B1242" t="s">
        <v>5082</v>
      </c>
      <c r="C1242" t="s">
        <v>5101</v>
      </c>
      <c r="D1242" t="s">
        <v>5102</v>
      </c>
      <c r="E1242" t="s">
        <v>832</v>
      </c>
      <c r="F1242" t="s">
        <v>27</v>
      </c>
      <c r="G1242">
        <v>1</v>
      </c>
      <c r="H1242" t="s">
        <v>5103</v>
      </c>
      <c r="I1242" t="s">
        <v>5084</v>
      </c>
      <c r="J1242" t="s">
        <v>5104</v>
      </c>
      <c r="K1242" t="s">
        <v>5105</v>
      </c>
      <c r="L1242" t="s">
        <v>739</v>
      </c>
      <c r="M1242" s="1" t="str">
        <f t="shared" si="133"/>
        <v>08D1</v>
      </c>
      <c r="N1242" s="1" t="str">
        <f t="shared" si="134"/>
        <v>C/O</v>
      </c>
      <c r="O1242" s="1" t="str">
        <f t="shared" si="135"/>
        <v>Water Pump Main</v>
      </c>
      <c r="P1242" s="1" t="str">
        <f t="shared" si="136"/>
        <v>7PZ0</v>
      </c>
      <c r="Q1242" s="2" t="str">
        <f t="shared" si="137"/>
        <v>7PZ0Water Pump Main</v>
      </c>
      <c r="R1242" s="2" t="str">
        <f>New_Xref[[#This Row],[Serial Prefix]]&amp;IF(New_Xref[[#This Row],[Func Loc]]&lt;&gt;"",New_Xref[[#This Row],[Func Loc]],"NO MATCH")</f>
        <v>7PZ0ENGD .WAPU.WP01</v>
      </c>
      <c r="S1242" s="3" t="str">
        <f t="shared" si="138"/>
        <v>7PZ010R1668Water Pump Main</v>
      </c>
      <c r="T1242" s="3" t="s">
        <v>183</v>
      </c>
      <c r="U1242" s="3" t="s">
        <v>34</v>
      </c>
      <c r="V1242" t="str">
        <f t="shared" si="139"/>
        <v>136100</v>
      </c>
    </row>
    <row r="1243" spans="1:22">
      <c r="A1243" t="s">
        <v>5081</v>
      </c>
      <c r="B1243" t="s">
        <v>5082</v>
      </c>
      <c r="C1243" t="s">
        <v>5106</v>
      </c>
      <c r="D1243" t="s">
        <v>5107</v>
      </c>
      <c r="E1243" t="s">
        <v>5108</v>
      </c>
      <c r="F1243" t="s">
        <v>27</v>
      </c>
      <c r="G1243">
        <v>1</v>
      </c>
      <c r="H1243" t="s">
        <v>5109</v>
      </c>
      <c r="I1243" t="s">
        <v>5110</v>
      </c>
      <c r="J1243" t="s">
        <v>5111</v>
      </c>
      <c r="K1243" t="s">
        <v>5110</v>
      </c>
      <c r="L1243" t="s">
        <v>4994</v>
      </c>
      <c r="M1243" s="1" t="str">
        <f t="shared" si="133"/>
        <v>08D1</v>
      </c>
      <c r="N1243" s="1" t="str">
        <f t="shared" si="134"/>
        <v>C/O</v>
      </c>
      <c r="O1243" s="1" t="str">
        <f t="shared" si="135"/>
        <v>Transfer &amp; Bevel Gears</v>
      </c>
      <c r="P1243" s="1" t="str">
        <f t="shared" si="136"/>
        <v>7PZ0</v>
      </c>
      <c r="Q1243" s="2" t="str">
        <f t="shared" si="137"/>
        <v>7PZ0Transfer &amp; Bevel Gears</v>
      </c>
      <c r="R1243" s="2" t="str">
        <f>New_Xref[[#This Row],[Serial Prefix]]&amp;IF(New_Xref[[#This Row],[Func Loc]]&lt;&gt;"",New_Xref[[#This Row],[Func Loc]],"NO MATCH")</f>
        <v>7PZ0TRAN .TRAN.BEGE</v>
      </c>
      <c r="S1243" s="3" t="str">
        <f t="shared" si="138"/>
        <v>7PZ03523191XTransfer &amp; Bevel Gears</v>
      </c>
      <c r="T1243" s="3" t="s">
        <v>4995</v>
      </c>
      <c r="U1243" s="3" t="s">
        <v>34</v>
      </c>
      <c r="V1243" t="str">
        <f t="shared" si="139"/>
        <v>301100</v>
      </c>
    </row>
    <row r="1244" spans="1:22">
      <c r="A1244" t="s">
        <v>5081</v>
      </c>
      <c r="B1244" t="s">
        <v>5112</v>
      </c>
      <c r="C1244" t="s">
        <v>4996</v>
      </c>
      <c r="D1244" t="s">
        <v>4997</v>
      </c>
      <c r="E1244" t="s">
        <v>191</v>
      </c>
      <c r="F1244" t="s">
        <v>27</v>
      </c>
      <c r="G1244">
        <v>1</v>
      </c>
      <c r="H1244" t="s">
        <v>5113</v>
      </c>
      <c r="I1244" t="s">
        <v>5114</v>
      </c>
      <c r="J1244" t="s">
        <v>5115</v>
      </c>
      <c r="K1244" t="s">
        <v>5114</v>
      </c>
      <c r="L1244" t="s">
        <v>72</v>
      </c>
      <c r="M1244" s="1" t="str">
        <f t="shared" si="133"/>
        <v>08H1488</v>
      </c>
      <c r="N1244" s="1" t="str">
        <f t="shared" si="134"/>
        <v>C/O</v>
      </c>
      <c r="O1244" s="1" t="str">
        <f t="shared" si="135"/>
        <v>Transmission</v>
      </c>
      <c r="P1244" s="1" t="str">
        <f t="shared" si="136"/>
        <v>7PZ0</v>
      </c>
      <c r="Q1244" s="2" t="str">
        <f t="shared" si="137"/>
        <v>7PZ0Transmission</v>
      </c>
      <c r="R1244" s="2" t="str">
        <f>New_Xref[[#This Row],[Serial Prefix]]&amp;IF(New_Xref[[#This Row],[Func Loc]]&lt;&gt;"",New_Xref[[#This Row],[Func Loc]],"NO MATCH")</f>
        <v>7PZ0TRAN .TRAN</v>
      </c>
      <c r="S1244" s="3" t="str">
        <f t="shared" si="138"/>
        <v>7PZ05726451XTransmission</v>
      </c>
      <c r="T1244" s="3" t="s">
        <v>73</v>
      </c>
      <c r="U1244" s="3" t="s">
        <v>34</v>
      </c>
      <c r="V1244" t="str">
        <f t="shared" si="139"/>
        <v>303000</v>
      </c>
    </row>
    <row r="1245" spans="1:22">
      <c r="A1245" t="s">
        <v>5081</v>
      </c>
      <c r="B1245" t="s">
        <v>5082</v>
      </c>
      <c r="C1245" t="s">
        <v>5116</v>
      </c>
      <c r="D1245" t="s">
        <v>5117</v>
      </c>
      <c r="E1245" t="s">
        <v>191</v>
      </c>
      <c r="F1245" t="s">
        <v>27</v>
      </c>
      <c r="G1245">
        <v>1</v>
      </c>
      <c r="H1245" t="s">
        <v>5113</v>
      </c>
      <c r="I1245" t="s">
        <v>5118</v>
      </c>
      <c r="J1245" t="s">
        <v>5119</v>
      </c>
      <c r="K1245" t="s">
        <v>5118</v>
      </c>
      <c r="L1245" t="s">
        <v>72</v>
      </c>
      <c r="M1245" s="1" t="str">
        <f t="shared" si="133"/>
        <v>08D1</v>
      </c>
      <c r="N1245" s="1" t="str">
        <f t="shared" si="134"/>
        <v>C/O</v>
      </c>
      <c r="O1245" s="1" t="str">
        <f t="shared" si="135"/>
        <v>Transmission</v>
      </c>
      <c r="P1245" s="1" t="str">
        <f t="shared" si="136"/>
        <v>7PZ0</v>
      </c>
      <c r="Q1245" s="2" t="str">
        <f t="shared" si="137"/>
        <v>7PZ0Transmission</v>
      </c>
      <c r="R1245" s="2" t="str">
        <f>New_Xref[[#This Row],[Serial Prefix]]&amp;IF(New_Xref[[#This Row],[Func Loc]]&lt;&gt;"",New_Xref[[#This Row],[Func Loc]],"NO MATCH")</f>
        <v>7PZ0TRAN .TRAN</v>
      </c>
      <c r="S1245" s="3" t="str">
        <f t="shared" si="138"/>
        <v>7PZ01943805XTransmission</v>
      </c>
      <c r="T1245" s="3" t="s">
        <v>73</v>
      </c>
      <c r="U1245" s="3" t="s">
        <v>34</v>
      </c>
      <c r="V1245" t="str">
        <f t="shared" si="139"/>
        <v>303000</v>
      </c>
    </row>
    <row r="1246" spans="1:22">
      <c r="A1246" t="s">
        <v>5081</v>
      </c>
      <c r="B1246" t="s">
        <v>5120</v>
      </c>
      <c r="C1246" t="s">
        <v>5121</v>
      </c>
      <c r="D1246" t="s">
        <v>5122</v>
      </c>
      <c r="E1246" t="s">
        <v>4592</v>
      </c>
      <c r="F1246" t="s">
        <v>27</v>
      </c>
      <c r="G1246">
        <v>1</v>
      </c>
      <c r="H1246" t="s">
        <v>5123</v>
      </c>
      <c r="I1246" t="s">
        <v>5124</v>
      </c>
      <c r="J1246" t="s">
        <v>5125</v>
      </c>
      <c r="K1246" t="s">
        <v>5124</v>
      </c>
      <c r="L1246" t="s">
        <v>2275</v>
      </c>
      <c r="M1246" s="1" t="str">
        <f t="shared" si="133"/>
        <v>08H1064</v>
      </c>
      <c r="N1246" s="1" t="str">
        <f t="shared" si="134"/>
        <v>C/O</v>
      </c>
      <c r="O1246" s="1" t="str">
        <f t="shared" si="135"/>
        <v>Power Train Oil Pump</v>
      </c>
      <c r="P1246" s="1" t="str">
        <f t="shared" si="136"/>
        <v>7PZ0</v>
      </c>
      <c r="Q1246" s="2" t="str">
        <f t="shared" si="137"/>
        <v>7PZ0Power Train Oil Pump</v>
      </c>
      <c r="R1246" s="2" t="str">
        <f>New_Xref[[#This Row],[Serial Prefix]]&amp;IF(New_Xref[[#This Row],[Func Loc]]&lt;&gt;"",New_Xref[[#This Row],[Func Loc]],"NO MATCH")</f>
        <v>7PZ0TRAN .PUMP.DP01</v>
      </c>
      <c r="S1246" s="3" t="str">
        <f t="shared" si="138"/>
        <v>7PZ030R0357Power Train Oil Pump</v>
      </c>
      <c r="T1246" s="3" t="s">
        <v>584</v>
      </c>
      <c r="U1246" s="3" t="s">
        <v>34</v>
      </c>
      <c r="V1246" t="str">
        <f t="shared" si="139"/>
        <v>306600</v>
      </c>
    </row>
    <row r="1247" spans="1:22">
      <c r="A1247" t="s">
        <v>5081</v>
      </c>
      <c r="B1247" t="s">
        <v>5082</v>
      </c>
      <c r="C1247" t="s">
        <v>5126</v>
      </c>
      <c r="D1247" t="s">
        <v>5127</v>
      </c>
      <c r="E1247" t="s">
        <v>1992</v>
      </c>
      <c r="F1247" t="s">
        <v>27</v>
      </c>
      <c r="G1247">
        <v>1</v>
      </c>
      <c r="H1247" t="s">
        <v>5128</v>
      </c>
      <c r="I1247" t="s">
        <v>5129</v>
      </c>
      <c r="J1247" t="s">
        <v>5130</v>
      </c>
      <c r="K1247" t="s">
        <v>5129</v>
      </c>
      <c r="L1247" t="s">
        <v>304</v>
      </c>
      <c r="M1247" s="1" t="str">
        <f t="shared" si="133"/>
        <v>08D1</v>
      </c>
      <c r="N1247" s="1" t="str">
        <f t="shared" si="134"/>
        <v>C/O</v>
      </c>
      <c r="O1247" s="1" t="str">
        <f t="shared" si="135"/>
        <v>Torque Converter</v>
      </c>
      <c r="P1247" s="1" t="str">
        <f t="shared" si="136"/>
        <v>7PZ0</v>
      </c>
      <c r="Q1247" s="2" t="str">
        <f t="shared" si="137"/>
        <v>7PZ0Torque Converter</v>
      </c>
      <c r="R1247" s="2" t="str">
        <f>New_Xref[[#This Row],[Serial Prefix]]&amp;IF(New_Xref[[#This Row],[Func Loc]]&lt;&gt;"",New_Xref[[#This Row],[Func Loc]],"NO MATCH")</f>
        <v>7PZ0TRAN .TOCO</v>
      </c>
      <c r="S1247" s="3" t="str">
        <f t="shared" si="138"/>
        <v>7PZ01210030XTorque Converter</v>
      </c>
      <c r="T1247" s="3" t="s">
        <v>305</v>
      </c>
      <c r="U1247" s="3" t="s">
        <v>34</v>
      </c>
      <c r="V1247" t="str">
        <f t="shared" si="139"/>
        <v>310100</v>
      </c>
    </row>
    <row r="1248" spans="1:22">
      <c r="A1248" t="s">
        <v>5081</v>
      </c>
      <c r="B1248" t="s">
        <v>5082</v>
      </c>
      <c r="C1248" t="s">
        <v>5012</v>
      </c>
      <c r="D1248" t="s">
        <v>5013</v>
      </c>
      <c r="E1248" t="s">
        <v>5014</v>
      </c>
      <c r="F1248" t="s">
        <v>27</v>
      </c>
      <c r="G1248">
        <v>1</v>
      </c>
      <c r="H1248" t="s">
        <v>5131</v>
      </c>
      <c r="I1248" t="s">
        <v>5132</v>
      </c>
      <c r="J1248" t="s">
        <v>5133</v>
      </c>
      <c r="K1248" t="s">
        <v>5132</v>
      </c>
      <c r="L1248" t="s">
        <v>907</v>
      </c>
      <c r="M1248" s="1" t="str">
        <f t="shared" si="133"/>
        <v>08D1</v>
      </c>
      <c r="N1248" s="1" t="str">
        <f t="shared" si="134"/>
        <v>C/O</v>
      </c>
      <c r="O1248" s="1" t="str">
        <f t="shared" si="135"/>
        <v>Final Drive LH</v>
      </c>
      <c r="P1248" s="1" t="str">
        <f t="shared" si="136"/>
        <v>7PZ0</v>
      </c>
      <c r="Q1248" s="2" t="str">
        <f t="shared" si="137"/>
        <v>7PZ0Final Drive LH</v>
      </c>
      <c r="R1248" s="2" t="str">
        <f>New_Xref[[#This Row],[Serial Prefix]]&amp;IF(New_Xref[[#This Row],[Func Loc]]&lt;&gt;"",New_Xref[[#This Row],[Func Loc]],"NO MATCH")</f>
        <v>7PZ0FDRV .FIDR.FDLH</v>
      </c>
      <c r="S1248" s="3" t="str">
        <f t="shared" si="138"/>
        <v>7PZ00R8956Final Drive LH</v>
      </c>
      <c r="T1248" s="3" t="s">
        <v>908</v>
      </c>
      <c r="U1248" s="3" t="s">
        <v>108</v>
      </c>
      <c r="V1248" t="str">
        <f t="shared" si="139"/>
        <v>4050LT</v>
      </c>
    </row>
    <row r="1249" spans="1:22">
      <c r="A1249" t="s">
        <v>5081</v>
      </c>
      <c r="B1249" t="s">
        <v>5082</v>
      </c>
      <c r="C1249" t="s">
        <v>5012</v>
      </c>
      <c r="D1249" t="s">
        <v>5013</v>
      </c>
      <c r="E1249" t="s">
        <v>5014</v>
      </c>
      <c r="F1249" t="s">
        <v>27</v>
      </c>
      <c r="G1249">
        <v>1</v>
      </c>
      <c r="H1249" t="s">
        <v>5131</v>
      </c>
      <c r="I1249" t="s">
        <v>5134</v>
      </c>
      <c r="J1249" t="s">
        <v>5135</v>
      </c>
      <c r="K1249" t="s">
        <v>5134</v>
      </c>
      <c r="L1249" t="s">
        <v>911</v>
      </c>
      <c r="M1249" s="1" t="str">
        <f t="shared" si="133"/>
        <v>08D1</v>
      </c>
      <c r="N1249" s="1" t="str">
        <f t="shared" si="134"/>
        <v>C/O</v>
      </c>
      <c r="O1249" s="1" t="str">
        <f t="shared" si="135"/>
        <v>Final Drive RH</v>
      </c>
      <c r="P1249" s="1" t="str">
        <f t="shared" si="136"/>
        <v>7PZ0</v>
      </c>
      <c r="Q1249" s="2" t="str">
        <f t="shared" si="137"/>
        <v>7PZ0Final Drive RH</v>
      </c>
      <c r="R1249" s="2" t="str">
        <f>New_Xref[[#This Row],[Serial Prefix]]&amp;IF(New_Xref[[#This Row],[Func Loc]]&lt;&gt;"",New_Xref[[#This Row],[Func Loc]],"NO MATCH")</f>
        <v>7PZ0FDRV .FIDR.FDRH</v>
      </c>
      <c r="S1249" s="3" t="str">
        <f t="shared" si="138"/>
        <v>7PZ00R8956Final Drive RH</v>
      </c>
      <c r="T1249" s="3" t="s">
        <v>908</v>
      </c>
      <c r="U1249" s="3" t="s">
        <v>115</v>
      </c>
      <c r="V1249" t="str">
        <f t="shared" si="139"/>
        <v>4050RI</v>
      </c>
    </row>
    <row r="1250" spans="1:22">
      <c r="A1250" t="s">
        <v>5081</v>
      </c>
      <c r="B1250" t="s">
        <v>5112</v>
      </c>
      <c r="C1250" t="s">
        <v>5020</v>
      </c>
      <c r="D1250" t="s">
        <v>5021</v>
      </c>
      <c r="E1250" t="s">
        <v>5136</v>
      </c>
      <c r="F1250" t="s">
        <v>27</v>
      </c>
      <c r="G1250">
        <v>1</v>
      </c>
      <c r="H1250" t="s">
        <v>5137</v>
      </c>
      <c r="I1250" t="s">
        <v>5138</v>
      </c>
      <c r="J1250" t="s">
        <v>5139</v>
      </c>
      <c r="K1250" t="s">
        <v>5138</v>
      </c>
      <c r="L1250" t="s">
        <v>4615</v>
      </c>
      <c r="M1250" s="1" t="str">
        <f t="shared" si="133"/>
        <v>08H1488</v>
      </c>
      <c r="N1250" s="1" t="str">
        <f t="shared" si="134"/>
        <v>C/O</v>
      </c>
      <c r="O1250" s="1" t="str">
        <f t="shared" si="135"/>
        <v>Steering Clutch &amp; Brake LH</v>
      </c>
      <c r="P1250" s="1" t="str">
        <f t="shared" si="136"/>
        <v>7PZ0</v>
      </c>
      <c r="Q1250" s="2" t="str">
        <f t="shared" si="137"/>
        <v>7PZ0Steering Clutch &amp; Brake LH</v>
      </c>
      <c r="R1250" s="2" t="str">
        <f>New_Xref[[#This Row],[Serial Prefix]]&amp;IF(New_Xref[[#This Row],[Func Loc]]&lt;&gt;"",New_Xref[[#This Row],[Func Loc]],"NO MATCH")</f>
        <v>7PZ0BRSS .SCBA.SCLH</v>
      </c>
      <c r="S1250" s="3" t="str">
        <f t="shared" si="138"/>
        <v>7PZ05085837XSteering Clutch &amp; Brake LH</v>
      </c>
      <c r="T1250" s="3" t="s">
        <v>4616</v>
      </c>
      <c r="U1250" s="3" t="s">
        <v>108</v>
      </c>
      <c r="V1250" t="str">
        <f t="shared" si="139"/>
        <v>4100LT</v>
      </c>
    </row>
    <row r="1251" spans="1:22">
      <c r="A1251" t="s">
        <v>5081</v>
      </c>
      <c r="B1251" t="s">
        <v>5112</v>
      </c>
      <c r="C1251" t="s">
        <v>5020</v>
      </c>
      <c r="D1251" t="s">
        <v>5021</v>
      </c>
      <c r="E1251" t="s">
        <v>5136</v>
      </c>
      <c r="F1251" t="s">
        <v>27</v>
      </c>
      <c r="G1251">
        <v>1</v>
      </c>
      <c r="H1251" t="s">
        <v>5137</v>
      </c>
      <c r="I1251" t="s">
        <v>5138</v>
      </c>
      <c r="J1251" t="s">
        <v>5139</v>
      </c>
      <c r="K1251" t="s">
        <v>5140</v>
      </c>
      <c r="L1251" t="s">
        <v>4620</v>
      </c>
      <c r="M1251" s="1" t="str">
        <f t="shared" si="133"/>
        <v>08H1488</v>
      </c>
      <c r="N1251" s="1" t="str">
        <f t="shared" si="134"/>
        <v>C/O</v>
      </c>
      <c r="O1251" s="1" t="str">
        <f t="shared" si="135"/>
        <v>Steering Clutch &amp; Brake RH</v>
      </c>
      <c r="P1251" s="1" t="str">
        <f t="shared" si="136"/>
        <v>7PZ0</v>
      </c>
      <c r="Q1251" s="2" t="str">
        <f t="shared" si="137"/>
        <v>7PZ0Steering Clutch &amp; Brake RH</v>
      </c>
      <c r="R1251" s="2" t="str">
        <f>New_Xref[[#This Row],[Serial Prefix]]&amp;IF(New_Xref[[#This Row],[Func Loc]]&lt;&gt;"",New_Xref[[#This Row],[Func Loc]],"NO MATCH")</f>
        <v>7PZ0BRSS .SCBA.SCRH</v>
      </c>
      <c r="S1251" s="3" t="str">
        <f t="shared" si="138"/>
        <v>7PZ05085837XSteering Clutch &amp; Brake RH</v>
      </c>
      <c r="T1251" s="3" t="s">
        <v>4616</v>
      </c>
      <c r="U1251" s="3" t="s">
        <v>115</v>
      </c>
      <c r="V1251" t="str">
        <f t="shared" si="139"/>
        <v>4100RI</v>
      </c>
    </row>
    <row r="1252" spans="1:22">
      <c r="A1252" t="s">
        <v>5081</v>
      </c>
      <c r="B1252" t="s">
        <v>5082</v>
      </c>
      <c r="C1252" t="s">
        <v>5141</v>
      </c>
      <c r="D1252" t="s">
        <v>5142</v>
      </c>
      <c r="E1252" t="s">
        <v>5143</v>
      </c>
      <c r="F1252" t="s">
        <v>27</v>
      </c>
      <c r="G1252">
        <v>1</v>
      </c>
      <c r="H1252" t="s">
        <v>5137</v>
      </c>
      <c r="I1252" t="s">
        <v>5144</v>
      </c>
      <c r="J1252" t="s">
        <v>5145</v>
      </c>
      <c r="K1252" t="s">
        <v>5144</v>
      </c>
      <c r="L1252" t="s">
        <v>4615</v>
      </c>
      <c r="M1252" s="1" t="str">
        <f t="shared" si="133"/>
        <v>08D1</v>
      </c>
      <c r="N1252" s="1" t="str">
        <f t="shared" si="134"/>
        <v>C/O</v>
      </c>
      <c r="O1252" s="1" t="str">
        <f t="shared" si="135"/>
        <v>Steering Clutch &amp; Brake LH</v>
      </c>
      <c r="P1252" s="1" t="str">
        <f t="shared" si="136"/>
        <v>7PZ0</v>
      </c>
      <c r="Q1252" s="2" t="str">
        <f t="shared" si="137"/>
        <v>7PZ0Steering Clutch &amp; Brake LH</v>
      </c>
      <c r="R1252" s="2" t="str">
        <f>New_Xref[[#This Row],[Serial Prefix]]&amp;IF(New_Xref[[#This Row],[Func Loc]]&lt;&gt;"",New_Xref[[#This Row],[Func Loc]],"NO MATCH")</f>
        <v>7PZ0BRSS .SCBA.SCLH</v>
      </c>
      <c r="S1252" s="3" t="str">
        <f t="shared" si="138"/>
        <v>7PZ01189628XSteering Clutch &amp; Brake LH</v>
      </c>
      <c r="T1252" s="3" t="s">
        <v>4616</v>
      </c>
      <c r="U1252" s="3" t="s">
        <v>108</v>
      </c>
      <c r="V1252" t="str">
        <f t="shared" si="139"/>
        <v>4100LT</v>
      </c>
    </row>
    <row r="1253" spans="1:22">
      <c r="A1253" t="s">
        <v>5081</v>
      </c>
      <c r="B1253" t="s">
        <v>5082</v>
      </c>
      <c r="C1253" t="s">
        <v>5141</v>
      </c>
      <c r="D1253" t="s">
        <v>5142</v>
      </c>
      <c r="E1253" t="s">
        <v>5143</v>
      </c>
      <c r="F1253" t="s">
        <v>27</v>
      </c>
      <c r="G1253">
        <v>1</v>
      </c>
      <c r="H1253" t="s">
        <v>5137</v>
      </c>
      <c r="I1253" t="s">
        <v>5146</v>
      </c>
      <c r="J1253" t="s">
        <v>5147</v>
      </c>
      <c r="K1253" t="s">
        <v>5146</v>
      </c>
      <c r="L1253" t="s">
        <v>4620</v>
      </c>
      <c r="M1253" s="1" t="str">
        <f t="shared" si="133"/>
        <v>08D1</v>
      </c>
      <c r="N1253" s="1" t="str">
        <f t="shared" si="134"/>
        <v>C/O</v>
      </c>
      <c r="O1253" s="1" t="str">
        <f t="shared" si="135"/>
        <v>Steering Clutch &amp; Brake RH</v>
      </c>
      <c r="P1253" s="1" t="str">
        <f t="shared" si="136"/>
        <v>7PZ0</v>
      </c>
      <c r="Q1253" s="2" t="str">
        <f t="shared" si="137"/>
        <v>7PZ0Steering Clutch &amp; Brake RH</v>
      </c>
      <c r="R1253" s="2" t="str">
        <f>New_Xref[[#This Row],[Serial Prefix]]&amp;IF(New_Xref[[#This Row],[Func Loc]]&lt;&gt;"",New_Xref[[#This Row],[Func Loc]],"NO MATCH")</f>
        <v>7PZ0BRSS .SCBA.SCRH</v>
      </c>
      <c r="S1253" s="3" t="str">
        <f t="shared" si="138"/>
        <v>7PZ01189628XSteering Clutch &amp; Brake RH</v>
      </c>
      <c r="T1253" s="3" t="s">
        <v>4616</v>
      </c>
      <c r="U1253" s="3" t="s">
        <v>115</v>
      </c>
      <c r="V1253" t="str">
        <f t="shared" si="139"/>
        <v>4100RI</v>
      </c>
    </row>
    <row r="1254" spans="1:22">
      <c r="A1254" t="s">
        <v>5081</v>
      </c>
      <c r="B1254" t="s">
        <v>5148</v>
      </c>
      <c r="C1254" t="s">
        <v>5149</v>
      </c>
      <c r="D1254" t="s">
        <v>5150</v>
      </c>
      <c r="E1254" t="s">
        <v>5151</v>
      </c>
      <c r="F1254" t="s">
        <v>125</v>
      </c>
      <c r="G1254">
        <v>1</v>
      </c>
      <c r="H1254" t="s">
        <v>5152</v>
      </c>
      <c r="I1254" t="s">
        <v>5153</v>
      </c>
      <c r="J1254" t="s">
        <v>5154</v>
      </c>
      <c r="K1254" t="s">
        <v>5153</v>
      </c>
      <c r="L1254" t="s">
        <v>4627</v>
      </c>
      <c r="M1254" s="1" t="str">
        <f t="shared" si="133"/>
        <v>08H1061</v>
      </c>
      <c r="N1254" s="1" t="str">
        <f t="shared" si="134"/>
        <v>C/O</v>
      </c>
      <c r="O1254" s="1" t="str">
        <f t="shared" si="135"/>
        <v>Track Frame LH</v>
      </c>
      <c r="P1254" s="1" t="str">
        <f t="shared" si="136"/>
        <v>7PZ0</v>
      </c>
      <c r="Q1254" s="2" t="str">
        <f t="shared" si="137"/>
        <v>7PZ0Track Frame LH</v>
      </c>
      <c r="R1254" s="2" t="str">
        <f>New_Xref[[#This Row],[Serial Prefix]]&amp;IF(New_Xref[[#This Row],[Func Loc]]&lt;&gt;"",New_Xref[[#This Row],[Func Loc]],"NO MATCH")</f>
        <v>7PZ0STRU .TFLH</v>
      </c>
      <c r="S1254" s="3" t="str">
        <f t="shared" si="138"/>
        <v>7PZ01792517FTrack Frame LH</v>
      </c>
      <c r="T1254" s="3" t="s">
        <v>4628</v>
      </c>
      <c r="U1254" s="3" t="s">
        <v>108</v>
      </c>
      <c r="V1254" t="str">
        <f t="shared" si="139"/>
        <v>4150LT</v>
      </c>
    </row>
    <row r="1255" spans="1:22">
      <c r="A1255" t="s">
        <v>5081</v>
      </c>
      <c r="B1255" t="s">
        <v>5148</v>
      </c>
      <c r="C1255" t="s">
        <v>5155</v>
      </c>
      <c r="D1255" t="s">
        <v>5156</v>
      </c>
      <c r="E1255" t="s">
        <v>5151</v>
      </c>
      <c r="F1255" t="s">
        <v>125</v>
      </c>
      <c r="G1255">
        <v>1</v>
      </c>
      <c r="H1255" t="s">
        <v>5157</v>
      </c>
      <c r="I1255" t="s">
        <v>5158</v>
      </c>
      <c r="J1255" t="s">
        <v>5159</v>
      </c>
      <c r="K1255" t="s">
        <v>5158</v>
      </c>
      <c r="L1255" t="s">
        <v>4634</v>
      </c>
      <c r="M1255" s="1" t="str">
        <f t="shared" si="133"/>
        <v>08H1061</v>
      </c>
      <c r="N1255" s="1" t="str">
        <f t="shared" si="134"/>
        <v>C/O</v>
      </c>
      <c r="O1255" s="1" t="str">
        <f t="shared" si="135"/>
        <v>Track Frame RH</v>
      </c>
      <c r="P1255" s="1" t="str">
        <f t="shared" si="136"/>
        <v>7PZ0</v>
      </c>
      <c r="Q1255" s="2" t="str">
        <f t="shared" si="137"/>
        <v>7PZ0Track Frame RH</v>
      </c>
      <c r="R1255" s="2" t="str">
        <f>New_Xref[[#This Row],[Serial Prefix]]&amp;IF(New_Xref[[#This Row],[Func Loc]]&lt;&gt;"",New_Xref[[#This Row],[Func Loc]],"NO MATCH")</f>
        <v>7PZ0STRU .TFRH</v>
      </c>
      <c r="S1255" s="3" t="str">
        <f t="shared" si="138"/>
        <v>7PZ01792516FTrack Frame RH</v>
      </c>
      <c r="T1255" s="3" t="s">
        <v>4628</v>
      </c>
      <c r="U1255" s="3" t="s">
        <v>115</v>
      </c>
      <c r="V1255" t="str">
        <f t="shared" si="139"/>
        <v>4150RI</v>
      </c>
    </row>
    <row r="1256" spans="1:22">
      <c r="A1256" t="s">
        <v>5081</v>
      </c>
      <c r="B1256" t="s">
        <v>5082</v>
      </c>
      <c r="C1256" t="s">
        <v>5028</v>
      </c>
      <c r="D1256" t="s">
        <v>5029</v>
      </c>
      <c r="E1256" t="s">
        <v>5030</v>
      </c>
      <c r="F1256" t="s">
        <v>27</v>
      </c>
      <c r="G1256">
        <v>1</v>
      </c>
      <c r="H1256" t="s">
        <v>5160</v>
      </c>
      <c r="I1256" t="s">
        <v>5161</v>
      </c>
      <c r="J1256" t="s">
        <v>5162</v>
      </c>
      <c r="K1256" t="s">
        <v>5161</v>
      </c>
      <c r="L1256" t="s">
        <v>4627</v>
      </c>
      <c r="M1256" s="1" t="str">
        <f t="shared" si="133"/>
        <v>08D1</v>
      </c>
      <c r="N1256" s="1" t="str">
        <f t="shared" si="134"/>
        <v>C/O</v>
      </c>
      <c r="O1256" s="1" t="str">
        <f t="shared" si="135"/>
        <v>Track Frame LH</v>
      </c>
      <c r="P1256" s="1" t="str">
        <f t="shared" si="136"/>
        <v>7PZ0</v>
      </c>
      <c r="Q1256" s="2" t="str">
        <f t="shared" si="137"/>
        <v>7PZ0Track Frame LH</v>
      </c>
      <c r="R1256" s="2" t="str">
        <f>New_Xref[[#This Row],[Serial Prefix]]&amp;IF(New_Xref[[#This Row],[Func Loc]]&lt;&gt;"",New_Xref[[#This Row],[Func Loc]],"NO MATCH")</f>
        <v>7PZ0STRU .TFLH</v>
      </c>
      <c r="S1256" s="3" t="str">
        <f t="shared" si="138"/>
        <v>7PZ03370989FTrack Frame LH</v>
      </c>
      <c r="T1256" s="3" t="s">
        <v>4628</v>
      </c>
      <c r="U1256" s="3" t="s">
        <v>108</v>
      </c>
      <c r="V1256" t="str">
        <f t="shared" si="139"/>
        <v>4150LT</v>
      </c>
    </row>
    <row r="1257" spans="1:22">
      <c r="A1257" t="s">
        <v>5081</v>
      </c>
      <c r="B1257" t="s">
        <v>5082</v>
      </c>
      <c r="C1257" t="s">
        <v>5034</v>
      </c>
      <c r="D1257" t="s">
        <v>5035</v>
      </c>
      <c r="E1257" t="s">
        <v>5036</v>
      </c>
      <c r="F1257" t="s">
        <v>27</v>
      </c>
      <c r="G1257">
        <v>1</v>
      </c>
      <c r="H1257" t="s">
        <v>5163</v>
      </c>
      <c r="I1257" t="s">
        <v>5164</v>
      </c>
      <c r="J1257" t="s">
        <v>5165</v>
      </c>
      <c r="K1257" t="s">
        <v>5164</v>
      </c>
      <c r="L1257" t="s">
        <v>4634</v>
      </c>
      <c r="M1257" s="1" t="str">
        <f t="shared" si="133"/>
        <v>08D1</v>
      </c>
      <c r="N1257" s="1" t="str">
        <f t="shared" si="134"/>
        <v>C/O</v>
      </c>
      <c r="O1257" s="1" t="str">
        <f t="shared" si="135"/>
        <v>Track Frame RH</v>
      </c>
      <c r="P1257" s="1" t="str">
        <f t="shared" si="136"/>
        <v>7PZ0</v>
      </c>
      <c r="Q1257" s="2" t="str">
        <f t="shared" si="137"/>
        <v>7PZ0Track Frame RH</v>
      </c>
      <c r="R1257" s="2" t="str">
        <f>New_Xref[[#This Row],[Serial Prefix]]&amp;IF(New_Xref[[#This Row],[Func Loc]]&lt;&gt;"",New_Xref[[#This Row],[Func Loc]],"NO MATCH")</f>
        <v>7PZ0STRU .TFRH</v>
      </c>
      <c r="S1257" s="3" t="str">
        <f t="shared" si="138"/>
        <v>7PZ03370988FTrack Frame RH</v>
      </c>
      <c r="T1257" s="3" t="s">
        <v>4628</v>
      </c>
      <c r="U1257" s="3" t="s">
        <v>115</v>
      </c>
      <c r="V1257" t="str">
        <f t="shared" si="139"/>
        <v>4150RI</v>
      </c>
    </row>
    <row r="1258" spans="1:22">
      <c r="A1258" t="s">
        <v>5081</v>
      </c>
      <c r="B1258" t="s">
        <v>5166</v>
      </c>
      <c r="C1258" t="s">
        <v>5041</v>
      </c>
      <c r="D1258" t="s">
        <v>5042</v>
      </c>
      <c r="E1258" t="s">
        <v>5043</v>
      </c>
      <c r="F1258" t="s">
        <v>27</v>
      </c>
      <c r="G1258">
        <v>1</v>
      </c>
      <c r="H1258" t="s">
        <v>5167</v>
      </c>
      <c r="I1258" t="s">
        <v>5168</v>
      </c>
      <c r="J1258" t="s">
        <v>5169</v>
      </c>
      <c r="K1258" t="s">
        <v>5168</v>
      </c>
      <c r="L1258" t="s">
        <v>4641</v>
      </c>
      <c r="M1258" s="1" t="str">
        <f t="shared" si="133"/>
        <v>08H397</v>
      </c>
      <c r="N1258" s="1" t="str">
        <f t="shared" si="134"/>
        <v>C/O</v>
      </c>
      <c r="O1258" s="1" t="str">
        <f t="shared" si="135"/>
        <v>Pivot Shaft</v>
      </c>
      <c r="P1258" s="1" t="str">
        <f t="shared" si="136"/>
        <v>7PZ0</v>
      </c>
      <c r="Q1258" s="2" t="str">
        <f t="shared" si="137"/>
        <v>7PZ0Pivot Shaft</v>
      </c>
      <c r="R1258" s="2" t="str">
        <f>New_Xref[[#This Row],[Serial Prefix]]&amp;IF(New_Xref[[#This Row],[Func Loc]]&lt;&gt;"",New_Xref[[#This Row],[Func Loc]],"NO MATCH")</f>
        <v>7PZ0STRU .CHAS.PISH</v>
      </c>
      <c r="S1258" s="3" t="str">
        <f t="shared" si="138"/>
        <v>7PZ010R9168Pivot Shaft</v>
      </c>
      <c r="T1258" s="3" t="s">
        <v>4642</v>
      </c>
      <c r="U1258" s="3" t="s">
        <v>34</v>
      </c>
      <c r="V1258" t="str">
        <f t="shared" si="139"/>
        <v>415300</v>
      </c>
    </row>
    <row r="1259" spans="1:22">
      <c r="A1259" t="s">
        <v>5081</v>
      </c>
      <c r="B1259" t="s">
        <v>5082</v>
      </c>
      <c r="C1259" t="s">
        <v>614</v>
      </c>
      <c r="D1259" t="s">
        <v>615</v>
      </c>
      <c r="E1259" t="s">
        <v>616</v>
      </c>
      <c r="F1259" t="s">
        <v>27</v>
      </c>
      <c r="G1259">
        <v>1</v>
      </c>
      <c r="H1259" t="s">
        <v>5170</v>
      </c>
      <c r="I1259" t="s">
        <v>5171</v>
      </c>
      <c r="J1259" t="s">
        <v>5172</v>
      </c>
      <c r="K1259" t="s">
        <v>5171</v>
      </c>
      <c r="L1259" t="s">
        <v>2453</v>
      </c>
      <c r="M1259" s="1" t="str">
        <f t="shared" si="133"/>
        <v>08D1</v>
      </c>
      <c r="N1259" s="1" t="str">
        <f t="shared" si="134"/>
        <v>C/O</v>
      </c>
      <c r="O1259" s="1" t="str">
        <f t="shared" si="135"/>
        <v>Main Hydraulic Pump</v>
      </c>
      <c r="P1259" s="1" t="str">
        <f t="shared" si="136"/>
        <v>7PZ0</v>
      </c>
      <c r="Q1259" s="2" t="str">
        <f t="shared" si="137"/>
        <v>7PZ0Main Hydraulic Pump</v>
      </c>
      <c r="R1259" s="2" t="str">
        <f>New_Xref[[#This Row],[Serial Prefix]]&amp;IF(New_Xref[[#This Row],[Func Loc]]&lt;&gt;"",New_Xref[[#This Row],[Func Loc]],"NO MATCH")</f>
        <v>7PZ0MYHD .PUMP.HP01</v>
      </c>
      <c r="S1259" s="3" t="str">
        <f t="shared" si="138"/>
        <v>7PZ010R7974Main Hydraulic Pump</v>
      </c>
      <c r="T1259" s="3" t="s">
        <v>503</v>
      </c>
      <c r="U1259" s="3" t="s">
        <v>34</v>
      </c>
      <c r="V1259" t="str">
        <f t="shared" si="139"/>
        <v>507300</v>
      </c>
    </row>
    <row r="1260" spans="1:22">
      <c r="A1260" t="s">
        <v>5081</v>
      </c>
      <c r="B1260" t="s">
        <v>5082</v>
      </c>
      <c r="H1260" t="s">
        <v>5173</v>
      </c>
      <c r="I1260" t="s">
        <v>5174</v>
      </c>
      <c r="J1260" t="s">
        <v>5175</v>
      </c>
      <c r="K1260" t="s">
        <v>5174</v>
      </c>
      <c r="L1260" t="s">
        <v>375</v>
      </c>
      <c r="M1260" s="1" t="str">
        <f t="shared" si="133"/>
        <v>08D1</v>
      </c>
      <c r="N1260" s="1" t="str">
        <f t="shared" si="134"/>
        <v>C/O</v>
      </c>
      <c r="O1260" s="1" t="str">
        <f t="shared" si="135"/>
        <v>Blade Tilt Cylinder LH</v>
      </c>
      <c r="P1260" s="1" t="str">
        <f t="shared" si="136"/>
        <v>7PZ0</v>
      </c>
      <c r="Q1260" s="2" t="str">
        <f t="shared" si="137"/>
        <v>7PZ0Blade Tilt Cylinder LH</v>
      </c>
      <c r="R1260" s="2" t="str">
        <f>New_Xref[[#This Row],[Serial Prefix]]&amp;IF(New_Xref[[#This Row],[Func Loc]]&lt;&gt;"",New_Xref[[#This Row],[Func Loc]],"NO MATCH")</f>
        <v>7PZ0MYHD .CYLI.BLTL</v>
      </c>
      <c r="S1260" s="3" t="str">
        <f t="shared" si="138"/>
        <v>7PZ0Blade Tilt Cylinder LH</v>
      </c>
      <c r="T1260" s="3" t="s">
        <v>638</v>
      </c>
      <c r="U1260" s="3" t="s">
        <v>108</v>
      </c>
      <c r="V1260" t="str">
        <f t="shared" si="139"/>
        <v>5104LT</v>
      </c>
    </row>
    <row r="1261" spans="1:22">
      <c r="A1261" t="s">
        <v>5081</v>
      </c>
      <c r="B1261" t="s">
        <v>5082</v>
      </c>
      <c r="H1261" t="s">
        <v>5176</v>
      </c>
      <c r="I1261" t="s">
        <v>5177</v>
      </c>
      <c r="J1261" t="s">
        <v>5178</v>
      </c>
      <c r="K1261" t="s">
        <v>5177</v>
      </c>
      <c r="L1261" t="s">
        <v>378</v>
      </c>
      <c r="M1261" s="1" t="str">
        <f t="shared" si="133"/>
        <v>08D1</v>
      </c>
      <c r="N1261" s="1" t="str">
        <f t="shared" si="134"/>
        <v>C/O</v>
      </c>
      <c r="O1261" s="1" t="str">
        <f t="shared" si="135"/>
        <v>Blade Tilt Cylinder RH</v>
      </c>
      <c r="P1261" s="1" t="str">
        <f t="shared" si="136"/>
        <v>7PZ0</v>
      </c>
      <c r="Q1261" s="2" t="str">
        <f t="shared" si="137"/>
        <v>7PZ0Blade Tilt Cylinder RH</v>
      </c>
      <c r="R1261" s="2" t="str">
        <f>New_Xref[[#This Row],[Serial Prefix]]&amp;IF(New_Xref[[#This Row],[Func Loc]]&lt;&gt;"",New_Xref[[#This Row],[Func Loc]],"NO MATCH")</f>
        <v>7PZ0MYHD .CYLI.BLTR</v>
      </c>
      <c r="S1261" s="3" t="str">
        <f t="shared" si="138"/>
        <v>7PZ0Blade Tilt Cylinder RH</v>
      </c>
      <c r="T1261" s="3" t="s">
        <v>638</v>
      </c>
      <c r="U1261" s="3" t="s">
        <v>115</v>
      </c>
      <c r="V1261" t="str">
        <f t="shared" si="139"/>
        <v>5104RI</v>
      </c>
    </row>
    <row r="1262" spans="1:22">
      <c r="A1262" t="s">
        <v>5081</v>
      </c>
      <c r="B1262" t="s">
        <v>5082</v>
      </c>
      <c r="H1262" t="s">
        <v>5179</v>
      </c>
      <c r="I1262" t="s">
        <v>5180</v>
      </c>
      <c r="J1262" t="s">
        <v>5181</v>
      </c>
      <c r="K1262" t="s">
        <v>5180</v>
      </c>
      <c r="L1262" t="s">
        <v>129</v>
      </c>
      <c r="M1262" s="1" t="str">
        <f t="shared" si="133"/>
        <v>08D1</v>
      </c>
      <c r="N1262" s="1" t="str">
        <f t="shared" si="134"/>
        <v>C/O</v>
      </c>
      <c r="O1262" s="1" t="str">
        <f t="shared" si="135"/>
        <v>Blade Lift Cylinder LH</v>
      </c>
      <c r="P1262" s="1" t="str">
        <f t="shared" si="136"/>
        <v>7PZ0</v>
      </c>
      <c r="Q1262" s="2" t="str">
        <f t="shared" si="137"/>
        <v>7PZ0Blade Lift Cylinder LH</v>
      </c>
      <c r="R1262" s="2" t="str">
        <f>New_Xref[[#This Row],[Serial Prefix]]&amp;IF(New_Xref[[#This Row],[Func Loc]]&lt;&gt;"",New_Xref[[#This Row],[Func Loc]],"NO MATCH")</f>
        <v>7PZ0MYHD .CYLI.BLLL</v>
      </c>
      <c r="S1262" s="3" t="str">
        <f t="shared" si="138"/>
        <v>7PZ0Blade Lift Cylinder LH</v>
      </c>
      <c r="T1262" s="3" t="s">
        <v>4783</v>
      </c>
      <c r="U1262" s="3" t="s">
        <v>108</v>
      </c>
      <c r="V1262" t="str">
        <f t="shared" si="139"/>
        <v>5113LT</v>
      </c>
    </row>
    <row r="1263" spans="1:22">
      <c r="A1263" t="s">
        <v>5081</v>
      </c>
      <c r="B1263" t="s">
        <v>5082</v>
      </c>
      <c r="H1263" t="s">
        <v>5179</v>
      </c>
      <c r="I1263" t="s">
        <v>5182</v>
      </c>
      <c r="J1263" t="s">
        <v>5183</v>
      </c>
      <c r="K1263" t="s">
        <v>5182</v>
      </c>
      <c r="L1263" t="s">
        <v>133</v>
      </c>
      <c r="M1263" s="1" t="str">
        <f t="shared" si="133"/>
        <v>08D1</v>
      </c>
      <c r="N1263" s="1" t="str">
        <f t="shared" si="134"/>
        <v>C/O</v>
      </c>
      <c r="O1263" s="1" t="str">
        <f t="shared" si="135"/>
        <v>Blade Lift Cylinder RH</v>
      </c>
      <c r="P1263" s="1" t="str">
        <f t="shared" si="136"/>
        <v>7PZ0</v>
      </c>
      <c r="Q1263" s="2" t="str">
        <f t="shared" si="137"/>
        <v>7PZ0Blade Lift Cylinder RH</v>
      </c>
      <c r="R1263" s="2" t="str">
        <f>New_Xref[[#This Row],[Serial Prefix]]&amp;IF(New_Xref[[#This Row],[Func Loc]]&lt;&gt;"",New_Xref[[#This Row],[Func Loc]],"NO MATCH")</f>
        <v>7PZ0MYHD .CYLI.BLLR</v>
      </c>
      <c r="S1263" s="3" t="str">
        <f t="shared" si="138"/>
        <v>7PZ0Blade Lift Cylinder RH</v>
      </c>
      <c r="T1263" s="3" t="s">
        <v>4783</v>
      </c>
      <c r="U1263" s="3" t="s">
        <v>115</v>
      </c>
      <c r="V1263" t="str">
        <f t="shared" si="139"/>
        <v>5113RI</v>
      </c>
    </row>
    <row r="1264" spans="1:22">
      <c r="A1264" t="s">
        <v>5081</v>
      </c>
      <c r="B1264" t="s">
        <v>5082</v>
      </c>
      <c r="H1264" t="s">
        <v>5184</v>
      </c>
      <c r="I1264" t="s">
        <v>5185</v>
      </c>
      <c r="J1264" t="s">
        <v>5186</v>
      </c>
      <c r="K1264" t="s">
        <v>5185</v>
      </c>
      <c r="L1264" t="s">
        <v>1923</v>
      </c>
      <c r="M1264" s="1" t="str">
        <f t="shared" si="133"/>
        <v>08D1</v>
      </c>
      <c r="N1264" s="1" t="str">
        <f t="shared" si="134"/>
        <v>C/O</v>
      </c>
      <c r="O1264" s="1" t="str">
        <f t="shared" si="135"/>
        <v>Ripper Lift Cylinder RH</v>
      </c>
      <c r="P1264" s="1" t="str">
        <f t="shared" si="136"/>
        <v>7PZ0</v>
      </c>
      <c r="Q1264" s="2" t="str">
        <f t="shared" si="137"/>
        <v>7PZ0Ripper Lift Cylinder RH</v>
      </c>
      <c r="R1264" s="2" t="str">
        <f>New_Xref[[#This Row],[Serial Prefix]]&amp;IF(New_Xref[[#This Row],[Func Loc]]&lt;&gt;"",New_Xref[[#This Row],[Func Loc]],"NO MATCH")</f>
        <v>7PZ0MYHD .CYLI.RILR</v>
      </c>
      <c r="S1264" s="3" t="str">
        <f t="shared" si="138"/>
        <v>7PZ0Ripper Lift Cylinder RH</v>
      </c>
      <c r="T1264" s="3" t="s">
        <v>246</v>
      </c>
      <c r="U1264" s="3" t="s">
        <v>115</v>
      </c>
      <c r="V1264" t="str">
        <f t="shared" si="139"/>
        <v>5352RI</v>
      </c>
    </row>
    <row r="1265" spans="1:22">
      <c r="A1265" t="s">
        <v>5081</v>
      </c>
      <c r="B1265" t="s">
        <v>5187</v>
      </c>
      <c r="H1265" t="s">
        <v>5188</v>
      </c>
      <c r="I1265" t="s">
        <v>5189</v>
      </c>
      <c r="J1265" t="s">
        <v>5190</v>
      </c>
      <c r="K1265" t="s">
        <v>5189</v>
      </c>
      <c r="L1265" t="s">
        <v>2092</v>
      </c>
      <c r="M1265" s="1" t="str">
        <f t="shared" si="133"/>
        <v>08D2</v>
      </c>
      <c r="N1265" s="1" t="str">
        <f t="shared" si="134"/>
        <v>C/O</v>
      </c>
      <c r="O1265" s="1" t="str">
        <f t="shared" si="135"/>
        <v>Ripper Lift Cylinder LH</v>
      </c>
      <c r="P1265" s="1" t="str">
        <f t="shared" si="136"/>
        <v>7PZ0</v>
      </c>
      <c r="Q1265" s="2" t="str">
        <f t="shared" si="137"/>
        <v>7PZ0Ripper Lift Cylinder LH</v>
      </c>
      <c r="R1265" s="2" t="str">
        <f>New_Xref[[#This Row],[Serial Prefix]]&amp;IF(New_Xref[[#This Row],[Func Loc]]&lt;&gt;"",New_Xref[[#This Row],[Func Loc]],"NO MATCH")</f>
        <v>7PZ0MYHD .CYLI.RILL</v>
      </c>
      <c r="S1265" s="3" t="str">
        <f t="shared" si="138"/>
        <v>7PZ0Ripper Lift Cylinder LH</v>
      </c>
      <c r="T1265" s="3" t="s">
        <v>246</v>
      </c>
      <c r="U1265" s="3" t="s">
        <v>108</v>
      </c>
      <c r="V1265" t="str">
        <f t="shared" si="139"/>
        <v>5352LT</v>
      </c>
    </row>
    <row r="1266" spans="1:22">
      <c r="A1266" t="s">
        <v>5081</v>
      </c>
      <c r="B1266" t="s">
        <v>5082</v>
      </c>
      <c r="H1266" t="s">
        <v>5191</v>
      </c>
      <c r="I1266" t="s">
        <v>5192</v>
      </c>
      <c r="J1266" t="s">
        <v>5193</v>
      </c>
      <c r="K1266" t="s">
        <v>5192</v>
      </c>
      <c r="L1266" t="s">
        <v>4684</v>
      </c>
      <c r="M1266" s="1" t="str">
        <f t="shared" si="133"/>
        <v>08D1</v>
      </c>
      <c r="N1266" s="1" t="str">
        <f t="shared" si="134"/>
        <v>C/O</v>
      </c>
      <c r="O1266" s="1" t="str">
        <f t="shared" si="135"/>
        <v>Ripper Tilt Cylinder LH</v>
      </c>
      <c r="P1266" s="1" t="str">
        <f t="shared" si="136"/>
        <v>7PZ0</v>
      </c>
      <c r="Q1266" s="2" t="str">
        <f t="shared" si="137"/>
        <v>7PZ0Ripper Tilt Cylinder LH</v>
      </c>
      <c r="R1266" s="2" t="str">
        <f>New_Xref[[#This Row],[Serial Prefix]]&amp;IF(New_Xref[[#This Row],[Func Loc]]&lt;&gt;"",New_Xref[[#This Row],[Func Loc]],"NO MATCH")</f>
        <v>7PZ0MYHD .CYLI.RITL</v>
      </c>
      <c r="S1266" s="3" t="str">
        <f t="shared" si="138"/>
        <v>7PZ0Ripper Tilt Cylinder LH</v>
      </c>
      <c r="T1266" s="3" t="s">
        <v>4685</v>
      </c>
      <c r="U1266" s="3" t="s">
        <v>108</v>
      </c>
      <c r="V1266" t="str">
        <f t="shared" si="139"/>
        <v>5356LT</v>
      </c>
    </row>
    <row r="1267" spans="1:22">
      <c r="A1267" t="s">
        <v>5081</v>
      </c>
      <c r="B1267" t="s">
        <v>5082</v>
      </c>
      <c r="H1267" t="s">
        <v>5194</v>
      </c>
      <c r="I1267" t="s">
        <v>5195</v>
      </c>
      <c r="J1267" t="s">
        <v>5196</v>
      </c>
      <c r="K1267" t="s">
        <v>5195</v>
      </c>
      <c r="L1267" t="s">
        <v>4688</v>
      </c>
      <c r="M1267" s="1" t="str">
        <f t="shared" si="133"/>
        <v>08D1</v>
      </c>
      <c r="N1267" s="1" t="str">
        <f t="shared" si="134"/>
        <v>C/O</v>
      </c>
      <c r="O1267" s="1" t="str">
        <f t="shared" si="135"/>
        <v>Ripper Tilt Cylinder RH</v>
      </c>
      <c r="P1267" s="1" t="str">
        <f t="shared" si="136"/>
        <v>7PZ0</v>
      </c>
      <c r="Q1267" s="2" t="str">
        <f t="shared" si="137"/>
        <v>7PZ0Ripper Tilt Cylinder RH</v>
      </c>
      <c r="R1267" s="2" t="str">
        <f>New_Xref[[#This Row],[Serial Prefix]]&amp;IF(New_Xref[[#This Row],[Func Loc]]&lt;&gt;"",New_Xref[[#This Row],[Func Loc]],"NO MATCH")</f>
        <v>7PZ0MYHD .CYLI.RITR</v>
      </c>
      <c r="S1267" s="3" t="str">
        <f t="shared" si="138"/>
        <v>7PZ0Ripper Tilt Cylinder RH</v>
      </c>
      <c r="T1267" s="3" t="s">
        <v>4685</v>
      </c>
      <c r="U1267" s="3" t="s">
        <v>115</v>
      </c>
      <c r="V1267" t="str">
        <f t="shared" si="139"/>
        <v>5356RI</v>
      </c>
    </row>
    <row r="1268" spans="1:22">
      <c r="A1268" t="s">
        <v>5197</v>
      </c>
      <c r="B1268" t="s">
        <v>5198</v>
      </c>
      <c r="C1268" t="s">
        <v>5199</v>
      </c>
      <c r="D1268" t="s">
        <v>5200</v>
      </c>
      <c r="E1268" t="s">
        <v>5201</v>
      </c>
      <c r="F1268" t="s">
        <v>27</v>
      </c>
      <c r="G1268">
        <v>1</v>
      </c>
      <c r="H1268" t="s">
        <v>5202</v>
      </c>
      <c r="I1268" t="s">
        <v>5203</v>
      </c>
      <c r="J1268" t="s">
        <v>5204</v>
      </c>
      <c r="K1268" t="s">
        <v>5205</v>
      </c>
      <c r="L1268" t="s">
        <v>32</v>
      </c>
      <c r="M1268" s="1" t="str">
        <f t="shared" si="133"/>
        <v>08H119</v>
      </c>
      <c r="N1268" s="1" t="str">
        <f t="shared" si="134"/>
        <v>C/O</v>
      </c>
      <c r="O1268" s="1" t="str">
        <f t="shared" si="135"/>
        <v>Engine</v>
      </c>
      <c r="P1268" s="1" t="str">
        <f t="shared" si="136"/>
        <v>AMA0</v>
      </c>
      <c r="Q1268" s="2" t="str">
        <f t="shared" si="137"/>
        <v>AMA0Engine</v>
      </c>
      <c r="R1268" s="2" t="str">
        <f>New_Xref[[#This Row],[Serial Prefix]]&amp;IF(New_Xref[[#This Row],[Func Loc]]&lt;&gt;"",New_Xref[[#This Row],[Func Loc]],"NO MATCH")</f>
        <v>AMA0ENGD</v>
      </c>
      <c r="S1268" s="3" t="str">
        <f t="shared" si="138"/>
        <v>AMA03413157XEngine</v>
      </c>
      <c r="T1268" s="3" t="s">
        <v>33</v>
      </c>
      <c r="U1268" s="3" t="s">
        <v>34</v>
      </c>
      <c r="V1268" t="str">
        <f t="shared" si="139"/>
        <v>100000</v>
      </c>
    </row>
    <row r="1269" spans="1:22">
      <c r="A1269" t="s">
        <v>5197</v>
      </c>
      <c r="B1269" t="s">
        <v>5206</v>
      </c>
      <c r="C1269" t="s">
        <v>5199</v>
      </c>
      <c r="D1269" t="s">
        <v>5200</v>
      </c>
      <c r="E1269" t="s">
        <v>5201</v>
      </c>
      <c r="F1269" t="s">
        <v>27</v>
      </c>
      <c r="G1269">
        <v>1</v>
      </c>
      <c r="H1269" t="s">
        <v>5202</v>
      </c>
      <c r="I1269" t="s">
        <v>5207</v>
      </c>
      <c r="J1269" t="s">
        <v>5208</v>
      </c>
      <c r="K1269" t="s">
        <v>5209</v>
      </c>
      <c r="L1269" t="s">
        <v>83</v>
      </c>
      <c r="M1269" s="1" t="str">
        <f t="shared" si="133"/>
        <v>08H214</v>
      </c>
      <c r="N1269" s="1" t="str">
        <f t="shared" si="134"/>
        <v>C/O</v>
      </c>
      <c r="O1269" s="1" t="str">
        <f t="shared" si="135"/>
        <v>Engine Trial</v>
      </c>
      <c r="P1269" s="1" t="str">
        <f t="shared" si="136"/>
        <v>AMA0</v>
      </c>
      <c r="Q1269" s="2" t="str">
        <f t="shared" si="137"/>
        <v>AMA0Engine Trial</v>
      </c>
      <c r="R1269" s="2" t="str">
        <f>New_Xref[[#This Row],[Serial Prefix]]&amp;IF(New_Xref[[#This Row],[Func Loc]]&lt;&gt;"",New_Xref[[#This Row],[Func Loc]],"NO MATCH")</f>
        <v>AMA0NO MATCH</v>
      </c>
      <c r="S1269" s="3" t="str">
        <f t="shared" si="138"/>
        <v>AMA03413157XEngine Trial</v>
      </c>
      <c r="T1269" s="3" t="s">
        <v>33</v>
      </c>
      <c r="U1269" s="3" t="s">
        <v>34</v>
      </c>
      <c r="V1269" t="str">
        <f t="shared" si="139"/>
        <v>100000</v>
      </c>
    </row>
    <row r="1270" spans="1:22">
      <c r="A1270" t="s">
        <v>5197</v>
      </c>
      <c r="B1270" t="s">
        <v>5210</v>
      </c>
      <c r="C1270" t="s">
        <v>5211</v>
      </c>
      <c r="D1270" t="s">
        <v>5212</v>
      </c>
      <c r="E1270" t="s">
        <v>5213</v>
      </c>
      <c r="F1270" t="s">
        <v>27</v>
      </c>
      <c r="G1270">
        <v>1</v>
      </c>
      <c r="H1270" t="s">
        <v>5214</v>
      </c>
      <c r="I1270" t="s">
        <v>5215</v>
      </c>
      <c r="J1270" t="s">
        <v>5216</v>
      </c>
      <c r="K1270" t="s">
        <v>5217</v>
      </c>
      <c r="L1270" t="s">
        <v>32</v>
      </c>
      <c r="M1270" s="1" t="str">
        <f t="shared" si="133"/>
        <v>08H108</v>
      </c>
      <c r="N1270" s="1" t="str">
        <f t="shared" si="134"/>
        <v>C/O</v>
      </c>
      <c r="O1270" s="1" t="str">
        <f t="shared" si="135"/>
        <v>Engine</v>
      </c>
      <c r="P1270" s="1" t="str">
        <f t="shared" si="136"/>
        <v>GEB0</v>
      </c>
      <c r="Q1270" s="2" t="str">
        <f t="shared" si="137"/>
        <v>GEB0Engine</v>
      </c>
      <c r="R1270" s="2" t="str">
        <f>New_Xref[[#This Row],[Serial Prefix]]&amp;IF(New_Xref[[#This Row],[Func Loc]]&lt;&gt;"",New_Xref[[#This Row],[Func Loc]],"NO MATCH")</f>
        <v>GEB0ENGD</v>
      </c>
      <c r="S1270" s="3" t="str">
        <f t="shared" si="138"/>
        <v>GEB02465627XEngine</v>
      </c>
      <c r="T1270" s="3" t="s">
        <v>33</v>
      </c>
      <c r="U1270" s="3" t="s">
        <v>34</v>
      </c>
      <c r="V1270" t="str">
        <f t="shared" si="139"/>
        <v>100000</v>
      </c>
    </row>
    <row r="1271" spans="1:22">
      <c r="A1271" t="s">
        <v>5197</v>
      </c>
      <c r="B1271" t="s">
        <v>5218</v>
      </c>
      <c r="C1271" t="s">
        <v>5219</v>
      </c>
      <c r="D1271" t="s">
        <v>5220</v>
      </c>
      <c r="E1271" t="s">
        <v>5221</v>
      </c>
      <c r="F1271" t="s">
        <v>27</v>
      </c>
      <c r="G1271">
        <v>1</v>
      </c>
      <c r="H1271" t="s">
        <v>5214</v>
      </c>
      <c r="I1271" t="s">
        <v>5222</v>
      </c>
      <c r="J1271" t="s">
        <v>5223</v>
      </c>
      <c r="K1271" t="s">
        <v>5224</v>
      </c>
      <c r="L1271" t="s">
        <v>32</v>
      </c>
      <c r="M1271" s="1" t="str">
        <f t="shared" si="133"/>
        <v>08H115</v>
      </c>
      <c r="N1271" s="1" t="str">
        <f t="shared" si="134"/>
        <v>C/O</v>
      </c>
      <c r="O1271" s="1" t="str">
        <f t="shared" si="135"/>
        <v>Engine</v>
      </c>
      <c r="P1271" s="1" t="str">
        <f t="shared" si="136"/>
        <v>GEB0</v>
      </c>
      <c r="Q1271" s="2" t="str">
        <f t="shared" si="137"/>
        <v>GEB0Engine</v>
      </c>
      <c r="R1271" s="2" t="str">
        <f>New_Xref[[#This Row],[Serial Prefix]]&amp;IF(New_Xref[[#This Row],[Func Loc]]&lt;&gt;"",New_Xref[[#This Row],[Func Loc]],"NO MATCH")</f>
        <v>GEB0ENGD</v>
      </c>
      <c r="S1271" s="3" t="str">
        <f t="shared" si="138"/>
        <v>GEB011R0075Engine</v>
      </c>
      <c r="T1271" s="3" t="s">
        <v>33</v>
      </c>
      <c r="U1271" s="3" t="s">
        <v>34</v>
      </c>
      <c r="V1271" t="str">
        <f t="shared" si="139"/>
        <v>100000</v>
      </c>
    </row>
    <row r="1272" spans="1:22">
      <c r="A1272" t="s">
        <v>5197</v>
      </c>
      <c r="B1272" t="s">
        <v>5225</v>
      </c>
      <c r="C1272" t="s">
        <v>5199</v>
      </c>
      <c r="D1272" t="s">
        <v>5200</v>
      </c>
      <c r="E1272" t="s">
        <v>5201</v>
      </c>
      <c r="F1272" t="s">
        <v>27</v>
      </c>
      <c r="G1272">
        <v>1</v>
      </c>
      <c r="H1272" t="s">
        <v>5226</v>
      </c>
      <c r="I1272" t="s">
        <v>5227</v>
      </c>
      <c r="J1272" t="s">
        <v>5228</v>
      </c>
      <c r="K1272" t="s">
        <v>5229</v>
      </c>
      <c r="L1272" t="s">
        <v>32</v>
      </c>
      <c r="M1272" s="1" t="str">
        <f t="shared" si="133"/>
        <v>08R231</v>
      </c>
      <c r="N1272" s="1" t="str">
        <f t="shared" si="134"/>
        <v>C/O</v>
      </c>
      <c r="O1272" s="1" t="str">
        <f t="shared" si="135"/>
        <v>Engine</v>
      </c>
      <c r="P1272" s="1" t="str">
        <f t="shared" si="136"/>
        <v>JEL0</v>
      </c>
      <c r="Q1272" s="2" t="str">
        <f t="shared" si="137"/>
        <v>JEL0Engine</v>
      </c>
      <c r="R1272" s="2" t="str">
        <f>New_Xref[[#This Row],[Serial Prefix]]&amp;IF(New_Xref[[#This Row],[Func Loc]]&lt;&gt;"",New_Xref[[#This Row],[Func Loc]],"NO MATCH")</f>
        <v>JEL0ENGD</v>
      </c>
      <c r="S1272" s="3" t="str">
        <f t="shared" si="138"/>
        <v>JEL03413157XEngine</v>
      </c>
      <c r="T1272" s="3" t="s">
        <v>33</v>
      </c>
      <c r="U1272" s="3" t="s">
        <v>34</v>
      </c>
      <c r="V1272" t="str">
        <f t="shared" si="139"/>
        <v>100000</v>
      </c>
    </row>
    <row r="1273" spans="1:22">
      <c r="A1273" t="s">
        <v>5197</v>
      </c>
      <c r="B1273" t="s">
        <v>5230</v>
      </c>
      <c r="C1273" t="s">
        <v>5231</v>
      </c>
      <c r="D1273" t="s">
        <v>5232</v>
      </c>
      <c r="E1273" t="s">
        <v>263</v>
      </c>
      <c r="F1273" t="s">
        <v>27</v>
      </c>
      <c r="G1273">
        <v>1</v>
      </c>
      <c r="H1273" t="s">
        <v>5233</v>
      </c>
      <c r="I1273" t="s">
        <v>5234</v>
      </c>
      <c r="J1273" t="s">
        <v>5235</v>
      </c>
      <c r="K1273" t="s">
        <v>5236</v>
      </c>
      <c r="L1273" t="s">
        <v>719</v>
      </c>
      <c r="M1273" s="1" t="str">
        <f t="shared" si="133"/>
        <v>08D06</v>
      </c>
      <c r="N1273" s="1" t="str">
        <f t="shared" si="134"/>
        <v>C/O</v>
      </c>
      <c r="O1273" s="1" t="str">
        <f t="shared" si="135"/>
        <v>Turbocharger LH</v>
      </c>
      <c r="P1273" s="1" t="str">
        <f t="shared" si="136"/>
        <v>AMA0</v>
      </c>
      <c r="Q1273" s="2" t="str">
        <f t="shared" si="137"/>
        <v>AMA0Turbocharger LH</v>
      </c>
      <c r="R1273" s="2" t="str">
        <f>New_Xref[[#This Row],[Serial Prefix]]&amp;IF(New_Xref[[#This Row],[Func Loc]]&lt;&gt;"",New_Xref[[#This Row],[Func Loc]],"NO MATCH")</f>
        <v>AMA0ENGD .TURB.TC01</v>
      </c>
      <c r="S1273" s="3" t="str">
        <f t="shared" si="138"/>
        <v>AMA020R2934Turbocharger LH</v>
      </c>
      <c r="T1273" s="3" t="s">
        <v>47</v>
      </c>
      <c r="U1273" s="3" t="s">
        <v>108</v>
      </c>
      <c r="V1273" t="str">
        <f t="shared" si="139"/>
        <v>1052LT</v>
      </c>
    </row>
    <row r="1274" spans="1:22">
      <c r="A1274" t="s">
        <v>5197</v>
      </c>
      <c r="B1274" t="s">
        <v>5230</v>
      </c>
      <c r="C1274" t="s">
        <v>5237</v>
      </c>
      <c r="D1274" t="s">
        <v>5238</v>
      </c>
      <c r="E1274" t="s">
        <v>263</v>
      </c>
      <c r="F1274" t="s">
        <v>27</v>
      </c>
      <c r="G1274">
        <v>1</v>
      </c>
      <c r="H1274" t="s">
        <v>5239</v>
      </c>
      <c r="I1274" t="s">
        <v>5234</v>
      </c>
      <c r="J1274" t="s">
        <v>5240</v>
      </c>
      <c r="K1274" t="s">
        <v>5241</v>
      </c>
      <c r="L1274" t="s">
        <v>722</v>
      </c>
      <c r="M1274" s="1" t="str">
        <f t="shared" si="133"/>
        <v>08D06</v>
      </c>
      <c r="N1274" s="1" t="str">
        <f t="shared" si="134"/>
        <v>C/O</v>
      </c>
      <c r="O1274" s="1" t="str">
        <f t="shared" si="135"/>
        <v>Turbocharger RH</v>
      </c>
      <c r="P1274" s="1" t="str">
        <f t="shared" si="136"/>
        <v>AMA0</v>
      </c>
      <c r="Q1274" s="2" t="str">
        <f t="shared" si="137"/>
        <v>AMA0Turbocharger RH</v>
      </c>
      <c r="R1274" s="2" t="str">
        <f>New_Xref[[#This Row],[Serial Prefix]]&amp;IF(New_Xref[[#This Row],[Func Loc]]&lt;&gt;"",New_Xref[[#This Row],[Func Loc]],"NO MATCH")</f>
        <v>AMA0ENGD .TURB.TC02</v>
      </c>
      <c r="S1274" s="3" t="str">
        <f t="shared" si="138"/>
        <v>AMA020R2933Turbocharger RH</v>
      </c>
      <c r="T1274" s="3" t="s">
        <v>47</v>
      </c>
      <c r="U1274" s="3" t="s">
        <v>115</v>
      </c>
      <c r="V1274" t="str">
        <f t="shared" si="139"/>
        <v>1052RI</v>
      </c>
    </row>
    <row r="1275" spans="1:22">
      <c r="A1275" t="s">
        <v>5197</v>
      </c>
      <c r="B1275" t="s">
        <v>5242</v>
      </c>
      <c r="C1275" t="s">
        <v>5243</v>
      </c>
      <c r="D1275" t="s">
        <v>5244</v>
      </c>
      <c r="E1275" t="s">
        <v>263</v>
      </c>
      <c r="F1275" t="s">
        <v>27</v>
      </c>
      <c r="G1275">
        <v>1</v>
      </c>
      <c r="H1275" t="s">
        <v>5245</v>
      </c>
      <c r="I1275" t="s">
        <v>5246</v>
      </c>
      <c r="J1275" t="s">
        <v>5247</v>
      </c>
      <c r="K1275" t="s">
        <v>5248</v>
      </c>
      <c r="L1275" t="s">
        <v>719</v>
      </c>
      <c r="M1275" s="1" t="str">
        <f t="shared" si="133"/>
        <v>08D4</v>
      </c>
      <c r="N1275" s="1" t="str">
        <f t="shared" si="134"/>
        <v>C/O</v>
      </c>
      <c r="O1275" s="1" t="str">
        <f t="shared" si="135"/>
        <v>Turbocharger LH</v>
      </c>
      <c r="P1275" s="1" t="str">
        <f t="shared" si="136"/>
        <v>GEB0</v>
      </c>
      <c r="Q1275" s="2" t="str">
        <f t="shared" si="137"/>
        <v>GEB0Turbocharger LH</v>
      </c>
      <c r="R1275" s="2" t="str">
        <f>New_Xref[[#This Row],[Serial Prefix]]&amp;IF(New_Xref[[#This Row],[Func Loc]]&lt;&gt;"",New_Xref[[#This Row],[Func Loc]],"NO MATCH")</f>
        <v>GEB0ENGD .TURB.TC01</v>
      </c>
      <c r="S1275" s="3" t="str">
        <f t="shared" si="138"/>
        <v>GEB010R8968Turbocharger LH</v>
      </c>
      <c r="T1275" s="3" t="s">
        <v>47</v>
      </c>
      <c r="U1275" s="3" t="s">
        <v>108</v>
      </c>
      <c r="V1275" t="str">
        <f t="shared" si="139"/>
        <v>1052LT</v>
      </c>
    </row>
    <row r="1276" spans="1:22">
      <c r="A1276" t="s">
        <v>5197</v>
      </c>
      <c r="B1276" t="s">
        <v>5242</v>
      </c>
      <c r="C1276" t="s">
        <v>5249</v>
      </c>
      <c r="D1276" t="s">
        <v>5250</v>
      </c>
      <c r="E1276" t="s">
        <v>263</v>
      </c>
      <c r="F1276" t="s">
        <v>27</v>
      </c>
      <c r="G1276">
        <v>1</v>
      </c>
      <c r="H1276" t="s">
        <v>5251</v>
      </c>
      <c r="I1276" t="s">
        <v>5246</v>
      </c>
      <c r="J1276" t="s">
        <v>5252</v>
      </c>
      <c r="K1276" t="s">
        <v>5253</v>
      </c>
      <c r="L1276" t="s">
        <v>722</v>
      </c>
      <c r="M1276" s="1" t="str">
        <f t="shared" si="133"/>
        <v>08D4</v>
      </c>
      <c r="N1276" s="1" t="str">
        <f t="shared" si="134"/>
        <v>C/O</v>
      </c>
      <c r="O1276" s="1" t="str">
        <f t="shared" si="135"/>
        <v>Turbocharger RH</v>
      </c>
      <c r="P1276" s="1" t="str">
        <f t="shared" si="136"/>
        <v>GEB0</v>
      </c>
      <c r="Q1276" s="2" t="str">
        <f t="shared" si="137"/>
        <v>GEB0Turbocharger RH</v>
      </c>
      <c r="R1276" s="2" t="str">
        <f>New_Xref[[#This Row],[Serial Prefix]]&amp;IF(New_Xref[[#This Row],[Func Loc]]&lt;&gt;"",New_Xref[[#This Row],[Func Loc]],"NO MATCH")</f>
        <v>GEB0ENGD .TURB.TC02</v>
      </c>
      <c r="S1276" s="3" t="str">
        <f t="shared" si="138"/>
        <v>GEB010R8948Turbocharger RH</v>
      </c>
      <c r="T1276" s="3" t="s">
        <v>47</v>
      </c>
      <c r="U1276" s="3" t="s">
        <v>115</v>
      </c>
      <c r="V1276" t="str">
        <f t="shared" si="139"/>
        <v>1052RI</v>
      </c>
    </row>
    <row r="1277" spans="1:22">
      <c r="A1277" t="s">
        <v>5197</v>
      </c>
      <c r="B1277" t="s">
        <v>5254</v>
      </c>
      <c r="C1277" t="s">
        <v>5237</v>
      </c>
      <c r="D1277" t="s">
        <v>5238</v>
      </c>
      <c r="E1277" t="s">
        <v>5255</v>
      </c>
      <c r="F1277" t="s">
        <v>27</v>
      </c>
      <c r="G1277">
        <v>1</v>
      </c>
      <c r="H1277" t="s">
        <v>5256</v>
      </c>
      <c r="I1277" t="s">
        <v>5257</v>
      </c>
      <c r="J1277" t="s">
        <v>5258</v>
      </c>
      <c r="K1277" t="s">
        <v>5259</v>
      </c>
      <c r="L1277" t="s">
        <v>722</v>
      </c>
      <c r="M1277" s="1" t="str">
        <f t="shared" si="133"/>
        <v>08D242</v>
      </c>
      <c r="N1277" s="1" t="str">
        <f t="shared" si="134"/>
        <v>C/O</v>
      </c>
      <c r="O1277" s="1" t="str">
        <f t="shared" si="135"/>
        <v>Turbocharger RH</v>
      </c>
      <c r="P1277" s="1" t="str">
        <f t="shared" si="136"/>
        <v>JEL0</v>
      </c>
      <c r="Q1277" s="2" t="str">
        <f t="shared" si="137"/>
        <v>JEL0Turbocharger RH</v>
      </c>
      <c r="R1277" s="2" t="str">
        <f>New_Xref[[#This Row],[Serial Prefix]]&amp;IF(New_Xref[[#This Row],[Func Loc]]&lt;&gt;"",New_Xref[[#This Row],[Func Loc]],"NO MATCH")</f>
        <v>JEL0ENGD .TURB.TC02</v>
      </c>
      <c r="S1277" s="3" t="str">
        <f t="shared" si="138"/>
        <v>JEL020R2933Turbocharger RH</v>
      </c>
      <c r="T1277" s="3" t="s">
        <v>47</v>
      </c>
      <c r="U1277" s="3" t="s">
        <v>115</v>
      </c>
      <c r="V1277" t="str">
        <f t="shared" si="139"/>
        <v>1052RI</v>
      </c>
    </row>
    <row r="1278" spans="1:22">
      <c r="A1278" t="s">
        <v>5197</v>
      </c>
      <c r="B1278" t="s">
        <v>5254</v>
      </c>
      <c r="C1278" t="s">
        <v>5231</v>
      </c>
      <c r="D1278" t="s">
        <v>5232</v>
      </c>
      <c r="E1278" t="s">
        <v>5260</v>
      </c>
      <c r="F1278" t="s">
        <v>27</v>
      </c>
      <c r="G1278">
        <v>1</v>
      </c>
      <c r="H1278" t="s">
        <v>5261</v>
      </c>
      <c r="I1278" t="s">
        <v>5257</v>
      </c>
      <c r="J1278" t="s">
        <v>5262</v>
      </c>
      <c r="K1278" t="s">
        <v>5263</v>
      </c>
      <c r="L1278" t="s">
        <v>719</v>
      </c>
      <c r="M1278" s="1" t="str">
        <f t="shared" si="133"/>
        <v>08D242</v>
      </c>
      <c r="N1278" s="1" t="str">
        <f t="shared" si="134"/>
        <v>C/O</v>
      </c>
      <c r="O1278" s="1" t="str">
        <f t="shared" si="135"/>
        <v>Turbocharger LH</v>
      </c>
      <c r="P1278" s="1" t="str">
        <f t="shared" si="136"/>
        <v>JEL0</v>
      </c>
      <c r="Q1278" s="2" t="str">
        <f t="shared" si="137"/>
        <v>JEL0Turbocharger LH</v>
      </c>
      <c r="R1278" s="2" t="str">
        <f>New_Xref[[#This Row],[Serial Prefix]]&amp;IF(New_Xref[[#This Row],[Func Loc]]&lt;&gt;"",New_Xref[[#This Row],[Func Loc]],"NO MATCH")</f>
        <v>JEL0ENGD .TURB.TC01</v>
      </c>
      <c r="S1278" s="3" t="str">
        <f t="shared" si="138"/>
        <v>JEL020R2934Turbocharger LH</v>
      </c>
      <c r="T1278" s="3" t="s">
        <v>47</v>
      </c>
      <c r="U1278" s="3" t="s">
        <v>108</v>
      </c>
      <c r="V1278" t="str">
        <f t="shared" si="139"/>
        <v>1052LT</v>
      </c>
    </row>
    <row r="1279" spans="1:22">
      <c r="A1279" t="s">
        <v>5197</v>
      </c>
      <c r="B1279" t="s">
        <v>5230</v>
      </c>
      <c r="C1279" t="s">
        <v>431</v>
      </c>
      <c r="D1279" t="s">
        <v>432</v>
      </c>
      <c r="E1279" t="s">
        <v>276</v>
      </c>
      <c r="F1279" t="s">
        <v>27</v>
      </c>
      <c r="G1279">
        <v>12</v>
      </c>
      <c r="H1279" t="s">
        <v>5264</v>
      </c>
      <c r="I1279" t="s">
        <v>5234</v>
      </c>
      <c r="J1279" t="s">
        <v>5265</v>
      </c>
      <c r="K1279" t="s">
        <v>5266</v>
      </c>
      <c r="L1279" t="s">
        <v>62</v>
      </c>
      <c r="M1279" s="1" t="str">
        <f t="shared" si="133"/>
        <v>08D06</v>
      </c>
      <c r="N1279" s="1" t="str">
        <f t="shared" si="134"/>
        <v>C/O</v>
      </c>
      <c r="O1279" s="1" t="str">
        <f t="shared" si="135"/>
        <v>Fuel Injectors</v>
      </c>
      <c r="P1279" s="1" t="str">
        <f t="shared" si="136"/>
        <v>AMA0</v>
      </c>
      <c r="Q1279" s="2" t="str">
        <f t="shared" si="137"/>
        <v>AMA0Fuel Injectors</v>
      </c>
      <c r="R1279" s="2" t="str">
        <f>New_Xref[[#This Row],[Serial Prefix]]&amp;IF(New_Xref[[#This Row],[Func Loc]]&lt;&gt;"",New_Xref[[#This Row],[Func Loc]],"NO MATCH")</f>
        <v>AMA0ENGD .FUEL.INJE</v>
      </c>
      <c r="S1279" s="3" t="str">
        <f t="shared" si="138"/>
        <v>AMA06470750Fuel Injectors</v>
      </c>
      <c r="T1279" s="3" t="s">
        <v>63</v>
      </c>
      <c r="U1279" s="3" t="s">
        <v>34</v>
      </c>
      <c r="V1279" t="str">
        <f t="shared" si="139"/>
        <v>125100</v>
      </c>
    </row>
    <row r="1280" spans="1:22">
      <c r="A1280" t="s">
        <v>5197</v>
      </c>
      <c r="B1280" t="s">
        <v>5242</v>
      </c>
      <c r="C1280" t="s">
        <v>431</v>
      </c>
      <c r="D1280" t="s">
        <v>432</v>
      </c>
      <c r="E1280" t="s">
        <v>276</v>
      </c>
      <c r="F1280" t="s">
        <v>27</v>
      </c>
      <c r="G1280">
        <v>12</v>
      </c>
      <c r="H1280" t="s">
        <v>5267</v>
      </c>
      <c r="I1280" t="s">
        <v>5246</v>
      </c>
      <c r="J1280" t="s">
        <v>5268</v>
      </c>
      <c r="K1280" t="s">
        <v>5269</v>
      </c>
      <c r="L1280" t="s">
        <v>62</v>
      </c>
      <c r="M1280" s="1" t="str">
        <f t="shared" si="133"/>
        <v>08D4</v>
      </c>
      <c r="N1280" s="1" t="str">
        <f t="shared" si="134"/>
        <v>C/O</v>
      </c>
      <c r="O1280" s="1" t="str">
        <f t="shared" si="135"/>
        <v>Fuel Injectors</v>
      </c>
      <c r="P1280" s="1" t="str">
        <f t="shared" si="136"/>
        <v>GEB0</v>
      </c>
      <c r="Q1280" s="2" t="str">
        <f t="shared" si="137"/>
        <v>GEB0Fuel Injectors</v>
      </c>
      <c r="R1280" s="2" t="str">
        <f>New_Xref[[#This Row],[Serial Prefix]]&amp;IF(New_Xref[[#This Row],[Func Loc]]&lt;&gt;"",New_Xref[[#This Row],[Func Loc]],"NO MATCH")</f>
        <v>GEB0ENGD .FUEL.INJE</v>
      </c>
      <c r="S1280" s="3" t="str">
        <f t="shared" si="138"/>
        <v>GEB06470750Fuel Injectors</v>
      </c>
      <c r="T1280" s="3" t="s">
        <v>63</v>
      </c>
      <c r="U1280" s="3" t="s">
        <v>34</v>
      </c>
      <c r="V1280" t="str">
        <f t="shared" si="139"/>
        <v>125100</v>
      </c>
    </row>
    <row r="1281" spans="1:22">
      <c r="A1281" t="s">
        <v>5197</v>
      </c>
      <c r="B1281" t="s">
        <v>5254</v>
      </c>
      <c r="H1281" t="s">
        <v>5270</v>
      </c>
      <c r="I1281" t="s">
        <v>5257</v>
      </c>
      <c r="J1281" t="s">
        <v>5271</v>
      </c>
      <c r="K1281" t="s">
        <v>5272</v>
      </c>
      <c r="L1281" t="s">
        <v>62</v>
      </c>
      <c r="M1281" s="1" t="str">
        <f t="shared" si="133"/>
        <v>08D242</v>
      </c>
      <c r="N1281" s="1" t="str">
        <f t="shared" si="134"/>
        <v>C/O</v>
      </c>
      <c r="O1281" s="1" t="str">
        <f t="shared" si="135"/>
        <v>Fuel Injectors</v>
      </c>
      <c r="P1281" s="1" t="str">
        <f t="shared" si="136"/>
        <v>JEL0</v>
      </c>
      <c r="Q1281" s="2" t="str">
        <f t="shared" si="137"/>
        <v>JEL0Fuel Injectors</v>
      </c>
      <c r="R1281" s="2" t="str">
        <f>New_Xref[[#This Row],[Serial Prefix]]&amp;IF(New_Xref[[#This Row],[Func Loc]]&lt;&gt;"",New_Xref[[#This Row],[Func Loc]],"NO MATCH")</f>
        <v>JEL0ENGD .FUEL.INJE</v>
      </c>
      <c r="S1281" s="3" t="str">
        <f t="shared" si="138"/>
        <v>JEL0Fuel Injectors</v>
      </c>
      <c r="T1281" s="3" t="s">
        <v>63</v>
      </c>
      <c r="U1281" s="3" t="s">
        <v>34</v>
      </c>
      <c r="V1281" t="str">
        <f t="shared" si="139"/>
        <v>125100</v>
      </c>
    </row>
    <row r="1282" spans="1:22">
      <c r="A1282" t="s">
        <v>5197</v>
      </c>
      <c r="B1282" t="s">
        <v>5230</v>
      </c>
      <c r="C1282" t="s">
        <v>5273</v>
      </c>
      <c r="D1282" t="s">
        <v>5274</v>
      </c>
      <c r="E1282" t="s">
        <v>5275</v>
      </c>
      <c r="F1282" t="s">
        <v>27</v>
      </c>
      <c r="G1282">
        <v>1</v>
      </c>
      <c r="H1282" t="s">
        <v>5276</v>
      </c>
      <c r="I1282" t="s">
        <v>5277</v>
      </c>
      <c r="J1282" t="s">
        <v>5278</v>
      </c>
      <c r="K1282" t="s">
        <v>5277</v>
      </c>
      <c r="L1282" t="s">
        <v>67</v>
      </c>
      <c r="M1282" s="1" t="str">
        <f t="shared" si="133"/>
        <v>08D06</v>
      </c>
      <c r="N1282" s="1" t="str">
        <f t="shared" si="134"/>
        <v>C/O</v>
      </c>
      <c r="O1282" s="1" t="str">
        <f t="shared" si="135"/>
        <v>Engine Radiator</v>
      </c>
      <c r="P1282" s="1" t="str">
        <f t="shared" si="136"/>
        <v>AMA0</v>
      </c>
      <c r="Q1282" s="2" t="str">
        <f t="shared" si="137"/>
        <v>AMA0Engine Radiator</v>
      </c>
      <c r="R1282" s="2" t="str">
        <f>New_Xref[[#This Row],[Serial Prefix]]&amp;IF(New_Xref[[#This Row],[Func Loc]]&lt;&gt;"",New_Xref[[#This Row],[Func Loc]],"NO MATCH")</f>
        <v>AMA0ENGD .ENCS.RADI</v>
      </c>
      <c r="S1282" s="3" t="str">
        <f t="shared" si="138"/>
        <v>AMA04530329FEngine Radiator</v>
      </c>
      <c r="T1282" s="3" t="s">
        <v>68</v>
      </c>
      <c r="U1282" s="3" t="s">
        <v>34</v>
      </c>
      <c r="V1282" t="str">
        <f t="shared" si="139"/>
        <v>135300</v>
      </c>
    </row>
    <row r="1283" spans="1:22">
      <c r="A1283" t="s">
        <v>5197</v>
      </c>
      <c r="B1283" t="s">
        <v>5279</v>
      </c>
      <c r="H1283" t="s">
        <v>5276</v>
      </c>
      <c r="I1283" t="s">
        <v>5280</v>
      </c>
      <c r="J1283" t="s">
        <v>5281</v>
      </c>
      <c r="K1283" t="s">
        <v>5282</v>
      </c>
      <c r="L1283" t="s">
        <v>67</v>
      </c>
      <c r="M1283" s="1" t="str">
        <f t="shared" si="133"/>
        <v>08H206</v>
      </c>
      <c r="N1283" s="1" t="str">
        <f t="shared" si="134"/>
        <v>C/O</v>
      </c>
      <c r="O1283" s="1" t="str">
        <f t="shared" si="135"/>
        <v>Engine Radiator</v>
      </c>
      <c r="P1283" s="1" t="str">
        <f t="shared" si="136"/>
        <v>AMA0</v>
      </c>
      <c r="Q1283" s="2" t="str">
        <f t="shared" si="137"/>
        <v>AMA0Engine Radiator</v>
      </c>
      <c r="R1283" s="2" t="str">
        <f>New_Xref[[#This Row],[Serial Prefix]]&amp;IF(New_Xref[[#This Row],[Func Loc]]&lt;&gt;"",New_Xref[[#This Row],[Func Loc]],"NO MATCH")</f>
        <v>AMA0ENGD .ENCS.RADI</v>
      </c>
      <c r="S1283" s="3" t="str">
        <f t="shared" ref="S1283:S1346" si="140">P1283&amp;D1283&amp;O1283</f>
        <v>AMA0Engine Radiator</v>
      </c>
      <c r="T1283" s="3" t="s">
        <v>68</v>
      </c>
      <c r="U1283" s="3" t="s">
        <v>34</v>
      </c>
      <c r="V1283" t="str">
        <f t="shared" si="139"/>
        <v>135300</v>
      </c>
    </row>
    <row r="1284" spans="1:22">
      <c r="A1284" t="s">
        <v>5197</v>
      </c>
      <c r="B1284" t="s">
        <v>5242</v>
      </c>
      <c r="C1284" t="s">
        <v>5283</v>
      </c>
      <c r="D1284" t="s">
        <v>5284</v>
      </c>
      <c r="E1284" t="s">
        <v>1690</v>
      </c>
      <c r="F1284" t="s">
        <v>27</v>
      </c>
      <c r="G1284">
        <v>1</v>
      </c>
      <c r="H1284" t="s">
        <v>5285</v>
      </c>
      <c r="I1284" t="s">
        <v>5286</v>
      </c>
      <c r="J1284" t="s">
        <v>5287</v>
      </c>
      <c r="K1284" t="s">
        <v>5286</v>
      </c>
      <c r="L1284" t="s">
        <v>67</v>
      </c>
      <c r="M1284" s="1" t="str">
        <f t="shared" ref="M1284:M1347" si="141">LEFT(K1284,FIND(" ",K1284,1)-1)</f>
        <v>08D4</v>
      </c>
      <c r="N1284" s="1" t="str">
        <f t="shared" ref="N1284:N1347" si="142">MID(K1284,LEN(M1284)+2,FIND(" ",K1284,LEN(M1284)+2)-LEN(M1284)-2)</f>
        <v>C/O</v>
      </c>
      <c r="O1284" s="1" t="str">
        <f t="shared" ref="O1284:O1347" si="143">MID(K1284,FIND(N1284,K1284,1)+LEN(N1284)+1, 150)</f>
        <v>Engine Radiator</v>
      </c>
      <c r="P1284" s="1" t="str">
        <f t="shared" ref="P1284:P1347" si="144">LEFT(B1284,4)</f>
        <v>GEB0</v>
      </c>
      <c r="Q1284" s="2" t="str">
        <f t="shared" ref="Q1284:Q1347" si="145">P1284&amp;O1284</f>
        <v>GEB0Engine Radiator</v>
      </c>
      <c r="R1284" s="2" t="str">
        <f>New_Xref[[#This Row],[Serial Prefix]]&amp;IF(New_Xref[[#This Row],[Func Loc]]&lt;&gt;"",New_Xref[[#This Row],[Func Loc]],"NO MATCH")</f>
        <v>GEB0ENGD .ENCS.RADI</v>
      </c>
      <c r="S1284" s="3" t="str">
        <f t="shared" si="140"/>
        <v>GEB03200457FEngine Radiator</v>
      </c>
      <c r="T1284" s="3" t="s">
        <v>68</v>
      </c>
      <c r="U1284" s="3" t="s">
        <v>34</v>
      </c>
      <c r="V1284" t="str">
        <f t="shared" ref="V1284:V1347" si="146">LEFT(T1284,FIND(" -",T1284,1)-1)&amp;LEFT(U1284,FIND(" -",U1284,1)-1)</f>
        <v>135300</v>
      </c>
    </row>
    <row r="1285" spans="1:22">
      <c r="A1285" t="s">
        <v>5197</v>
      </c>
      <c r="B1285" t="s">
        <v>5230</v>
      </c>
      <c r="C1285" t="s">
        <v>3996</v>
      </c>
      <c r="D1285" t="s">
        <v>831</v>
      </c>
      <c r="E1285" t="s">
        <v>832</v>
      </c>
      <c r="F1285" t="s">
        <v>27</v>
      </c>
      <c r="G1285">
        <v>1</v>
      </c>
      <c r="H1285" t="s">
        <v>5288</v>
      </c>
      <c r="I1285" t="s">
        <v>5234</v>
      </c>
      <c r="J1285" t="s">
        <v>5289</v>
      </c>
      <c r="K1285" t="s">
        <v>5290</v>
      </c>
      <c r="L1285" t="s">
        <v>739</v>
      </c>
      <c r="M1285" s="1" t="str">
        <f t="shared" si="141"/>
        <v>08D06</v>
      </c>
      <c r="N1285" s="1" t="str">
        <f t="shared" si="142"/>
        <v>C/O</v>
      </c>
      <c r="O1285" s="1" t="str">
        <f t="shared" si="143"/>
        <v>Water Pump Main</v>
      </c>
      <c r="P1285" s="1" t="str">
        <f t="shared" si="144"/>
        <v>AMA0</v>
      </c>
      <c r="Q1285" s="2" t="str">
        <f t="shared" si="145"/>
        <v>AMA0Water Pump Main</v>
      </c>
      <c r="R1285" s="2" t="str">
        <f>New_Xref[[#This Row],[Serial Prefix]]&amp;IF(New_Xref[[#This Row],[Func Loc]]&lt;&gt;"",New_Xref[[#This Row],[Func Loc]],"NO MATCH")</f>
        <v>AMA0ENGD .WAPU.WP01</v>
      </c>
      <c r="S1285" s="3" t="str">
        <f t="shared" si="140"/>
        <v>AMA010R6400Water Pump Main</v>
      </c>
      <c r="T1285" s="3" t="s">
        <v>183</v>
      </c>
      <c r="U1285" s="3" t="s">
        <v>34</v>
      </c>
      <c r="V1285" t="str">
        <f t="shared" si="146"/>
        <v>136100</v>
      </c>
    </row>
    <row r="1286" spans="1:22">
      <c r="A1286" t="s">
        <v>5197</v>
      </c>
      <c r="B1286" t="s">
        <v>5242</v>
      </c>
      <c r="C1286" t="s">
        <v>830</v>
      </c>
      <c r="D1286" t="s">
        <v>831</v>
      </c>
      <c r="E1286" t="s">
        <v>832</v>
      </c>
      <c r="F1286" t="s">
        <v>27</v>
      </c>
      <c r="G1286">
        <v>1</v>
      </c>
      <c r="H1286" t="s">
        <v>5291</v>
      </c>
      <c r="I1286" t="s">
        <v>5246</v>
      </c>
      <c r="J1286" t="s">
        <v>5292</v>
      </c>
      <c r="K1286" t="s">
        <v>5293</v>
      </c>
      <c r="L1286" t="s">
        <v>739</v>
      </c>
      <c r="M1286" s="1" t="str">
        <f t="shared" si="141"/>
        <v>08D4</v>
      </c>
      <c r="N1286" s="1" t="str">
        <f t="shared" si="142"/>
        <v>C/O</v>
      </c>
      <c r="O1286" s="1" t="str">
        <f t="shared" si="143"/>
        <v>Water Pump Main</v>
      </c>
      <c r="P1286" s="1" t="str">
        <f t="shared" si="144"/>
        <v>GEB0</v>
      </c>
      <c r="Q1286" s="2" t="str">
        <f t="shared" si="145"/>
        <v>GEB0Water Pump Main</v>
      </c>
      <c r="R1286" s="2" t="str">
        <f>New_Xref[[#This Row],[Serial Prefix]]&amp;IF(New_Xref[[#This Row],[Func Loc]]&lt;&gt;"",New_Xref[[#This Row],[Func Loc]],"NO MATCH")</f>
        <v>GEB0ENGD .WAPU.WP01</v>
      </c>
      <c r="S1286" s="3" t="str">
        <f t="shared" si="140"/>
        <v>GEB010R6400Water Pump Main</v>
      </c>
      <c r="T1286" s="3" t="s">
        <v>183</v>
      </c>
      <c r="U1286" s="3" t="s">
        <v>34</v>
      </c>
      <c r="V1286" t="str">
        <f t="shared" si="146"/>
        <v>136100</v>
      </c>
    </row>
    <row r="1287" spans="1:22">
      <c r="A1287" t="s">
        <v>5197</v>
      </c>
      <c r="B1287" t="s">
        <v>5254</v>
      </c>
      <c r="C1287" t="s">
        <v>286</v>
      </c>
      <c r="D1287" t="s">
        <v>287</v>
      </c>
      <c r="E1287" t="s">
        <v>5294</v>
      </c>
      <c r="F1287" t="s">
        <v>27</v>
      </c>
      <c r="G1287">
        <v>1</v>
      </c>
      <c r="H1287" t="s">
        <v>5295</v>
      </c>
      <c r="I1287" t="s">
        <v>5257</v>
      </c>
      <c r="J1287" t="s">
        <v>5296</v>
      </c>
      <c r="K1287" t="s">
        <v>5297</v>
      </c>
      <c r="L1287" t="s">
        <v>739</v>
      </c>
      <c r="M1287" s="1" t="str">
        <f t="shared" si="141"/>
        <v>08D242</v>
      </c>
      <c r="N1287" s="1" t="str">
        <f t="shared" si="142"/>
        <v>C/O</v>
      </c>
      <c r="O1287" s="1" t="str">
        <f t="shared" si="143"/>
        <v>Water Pump Main</v>
      </c>
      <c r="P1287" s="1" t="str">
        <f t="shared" si="144"/>
        <v>JEL0</v>
      </c>
      <c r="Q1287" s="2" t="str">
        <f t="shared" si="145"/>
        <v>JEL0Water Pump Main</v>
      </c>
      <c r="R1287" s="2" t="str">
        <f>New_Xref[[#This Row],[Serial Prefix]]&amp;IF(New_Xref[[#This Row],[Func Loc]]&lt;&gt;"",New_Xref[[#This Row],[Func Loc]],"NO MATCH")</f>
        <v>JEL0ENGD .WAPU.WP01</v>
      </c>
      <c r="S1287" s="3" t="str">
        <f t="shared" si="140"/>
        <v>JEL020R1859Water Pump Main</v>
      </c>
      <c r="T1287" s="3" t="s">
        <v>183</v>
      </c>
      <c r="U1287" s="3" t="s">
        <v>34</v>
      </c>
      <c r="V1287" t="str">
        <f t="shared" si="146"/>
        <v>136100</v>
      </c>
    </row>
    <row r="1288" spans="1:22">
      <c r="A1288" t="s">
        <v>5197</v>
      </c>
      <c r="B1288" t="s">
        <v>5230</v>
      </c>
      <c r="C1288" t="s">
        <v>5106</v>
      </c>
      <c r="D1288" t="s">
        <v>5107</v>
      </c>
      <c r="E1288" t="s">
        <v>5108</v>
      </c>
      <c r="F1288" t="s">
        <v>27</v>
      </c>
      <c r="G1288">
        <v>1</v>
      </c>
      <c r="H1288" t="s">
        <v>5298</v>
      </c>
      <c r="I1288" t="s">
        <v>5299</v>
      </c>
      <c r="J1288" t="s">
        <v>5300</v>
      </c>
      <c r="K1288" t="s">
        <v>5299</v>
      </c>
      <c r="L1288" t="s">
        <v>4994</v>
      </c>
      <c r="M1288" s="1" t="str">
        <f t="shared" si="141"/>
        <v>08D06</v>
      </c>
      <c r="N1288" s="1" t="str">
        <f t="shared" si="142"/>
        <v>C/O</v>
      </c>
      <c r="O1288" s="1" t="str">
        <f t="shared" si="143"/>
        <v>Transfer &amp; Bevel Gears</v>
      </c>
      <c r="P1288" s="1" t="str">
        <f t="shared" si="144"/>
        <v>AMA0</v>
      </c>
      <c r="Q1288" s="2" t="str">
        <f t="shared" si="145"/>
        <v>AMA0Transfer &amp; Bevel Gears</v>
      </c>
      <c r="R1288" s="2" t="str">
        <f>New_Xref[[#This Row],[Serial Prefix]]&amp;IF(New_Xref[[#This Row],[Func Loc]]&lt;&gt;"",New_Xref[[#This Row],[Func Loc]],"NO MATCH")</f>
        <v>AMA0TRAN .TRAN.BEGE</v>
      </c>
      <c r="S1288" s="3" t="str">
        <f t="shared" si="140"/>
        <v>AMA03523191XTransfer &amp; Bevel Gears</v>
      </c>
      <c r="T1288" s="3" t="s">
        <v>4995</v>
      </c>
      <c r="U1288" s="3" t="s">
        <v>34</v>
      </c>
      <c r="V1288" t="str">
        <f t="shared" si="146"/>
        <v>301100</v>
      </c>
    </row>
    <row r="1289" spans="1:22">
      <c r="A1289" t="s">
        <v>5197</v>
      </c>
      <c r="B1289" t="s">
        <v>5242</v>
      </c>
      <c r="C1289" t="s">
        <v>5106</v>
      </c>
      <c r="D1289" t="s">
        <v>5107</v>
      </c>
      <c r="E1289" t="s">
        <v>5301</v>
      </c>
      <c r="F1289" t="s">
        <v>27</v>
      </c>
      <c r="G1289">
        <v>1</v>
      </c>
      <c r="H1289" t="s">
        <v>5302</v>
      </c>
      <c r="I1289" t="s">
        <v>5303</v>
      </c>
      <c r="J1289" t="s">
        <v>5304</v>
      </c>
      <c r="K1289" t="s">
        <v>5303</v>
      </c>
      <c r="L1289" t="s">
        <v>4994</v>
      </c>
      <c r="M1289" s="1" t="str">
        <f t="shared" si="141"/>
        <v>08D4</v>
      </c>
      <c r="N1289" s="1" t="str">
        <f t="shared" si="142"/>
        <v>C/O</v>
      </c>
      <c r="O1289" s="1" t="str">
        <f t="shared" si="143"/>
        <v>Transfer &amp; Bevel Gears</v>
      </c>
      <c r="P1289" s="1" t="str">
        <f t="shared" si="144"/>
        <v>GEB0</v>
      </c>
      <c r="Q1289" s="2" t="str">
        <f t="shared" si="145"/>
        <v>GEB0Transfer &amp; Bevel Gears</v>
      </c>
      <c r="R1289" s="2" t="str">
        <f>New_Xref[[#This Row],[Serial Prefix]]&amp;IF(New_Xref[[#This Row],[Func Loc]]&lt;&gt;"",New_Xref[[#This Row],[Func Loc]],"NO MATCH")</f>
        <v>GEB0TRAN .TRAN.BEGE</v>
      </c>
      <c r="S1289" s="3" t="str">
        <f t="shared" si="140"/>
        <v>GEB03523191XTransfer &amp; Bevel Gears</v>
      </c>
      <c r="T1289" s="3" t="s">
        <v>4995</v>
      </c>
      <c r="U1289" s="3" t="s">
        <v>34</v>
      </c>
      <c r="V1289" t="str">
        <f t="shared" si="146"/>
        <v>301100</v>
      </c>
    </row>
    <row r="1290" spans="1:22">
      <c r="A1290" t="s">
        <v>5197</v>
      </c>
      <c r="B1290" t="s">
        <v>5225</v>
      </c>
      <c r="C1290" t="s">
        <v>5106</v>
      </c>
      <c r="D1290" t="s">
        <v>5107</v>
      </c>
      <c r="E1290" t="s">
        <v>5305</v>
      </c>
      <c r="F1290" t="s">
        <v>27</v>
      </c>
      <c r="G1290">
        <v>1</v>
      </c>
      <c r="H1290" t="s">
        <v>5306</v>
      </c>
      <c r="I1290" t="s">
        <v>5307</v>
      </c>
      <c r="J1290" t="s">
        <v>5308</v>
      </c>
      <c r="K1290" t="s">
        <v>5309</v>
      </c>
      <c r="L1290" t="s">
        <v>4994</v>
      </c>
      <c r="M1290" s="1" t="str">
        <f t="shared" si="141"/>
        <v>08R231</v>
      </c>
      <c r="N1290" s="1" t="str">
        <f t="shared" si="142"/>
        <v>C/O</v>
      </c>
      <c r="O1290" s="1" t="str">
        <f t="shared" si="143"/>
        <v>Transfer &amp; Bevel Gears</v>
      </c>
      <c r="P1290" s="1" t="str">
        <f t="shared" si="144"/>
        <v>JEL0</v>
      </c>
      <c r="Q1290" s="2" t="str">
        <f t="shared" si="145"/>
        <v>JEL0Transfer &amp; Bevel Gears</v>
      </c>
      <c r="R1290" s="2" t="str">
        <f>New_Xref[[#This Row],[Serial Prefix]]&amp;IF(New_Xref[[#This Row],[Func Loc]]&lt;&gt;"",New_Xref[[#This Row],[Func Loc]],"NO MATCH")</f>
        <v>JEL0TRAN .TRAN.BEGE</v>
      </c>
      <c r="S1290" s="3" t="str">
        <f t="shared" si="140"/>
        <v>JEL03523191XTransfer &amp; Bevel Gears</v>
      </c>
      <c r="T1290" t="s">
        <v>4995</v>
      </c>
      <c r="U1290" t="s">
        <v>34</v>
      </c>
      <c r="V1290" t="str">
        <f t="shared" si="146"/>
        <v>301100</v>
      </c>
    </row>
    <row r="1291" spans="1:22">
      <c r="A1291" t="s">
        <v>5197</v>
      </c>
      <c r="B1291" t="s">
        <v>5230</v>
      </c>
      <c r="C1291" t="s">
        <v>5116</v>
      </c>
      <c r="D1291" t="s">
        <v>5117</v>
      </c>
      <c r="E1291" t="s">
        <v>191</v>
      </c>
      <c r="F1291" t="s">
        <v>27</v>
      </c>
      <c r="G1291">
        <v>1</v>
      </c>
      <c r="H1291" t="s">
        <v>5310</v>
      </c>
      <c r="I1291" t="s">
        <v>5311</v>
      </c>
      <c r="J1291" t="s">
        <v>5312</v>
      </c>
      <c r="K1291" t="s">
        <v>5311</v>
      </c>
      <c r="L1291" t="s">
        <v>72</v>
      </c>
      <c r="M1291" s="1" t="str">
        <f t="shared" si="141"/>
        <v>08D06</v>
      </c>
      <c r="N1291" s="1" t="str">
        <f t="shared" si="142"/>
        <v>C/O</v>
      </c>
      <c r="O1291" s="1" t="str">
        <f t="shared" si="143"/>
        <v>Transmission</v>
      </c>
      <c r="P1291" s="1" t="str">
        <f t="shared" si="144"/>
        <v>AMA0</v>
      </c>
      <c r="Q1291" s="2" t="str">
        <f t="shared" si="145"/>
        <v>AMA0Transmission</v>
      </c>
      <c r="R1291" s="2" t="str">
        <f>New_Xref[[#This Row],[Serial Prefix]]&amp;IF(New_Xref[[#This Row],[Func Loc]]&lt;&gt;"",New_Xref[[#This Row],[Func Loc]],"NO MATCH")</f>
        <v>AMA0TRAN .TRAN</v>
      </c>
      <c r="S1291" s="3" t="str">
        <f t="shared" si="140"/>
        <v>AMA01943805XTransmission</v>
      </c>
      <c r="T1291" s="3" t="s">
        <v>73</v>
      </c>
      <c r="U1291" s="3" t="s">
        <v>34</v>
      </c>
      <c r="V1291" t="str">
        <f t="shared" si="146"/>
        <v>303000</v>
      </c>
    </row>
    <row r="1292" spans="1:22">
      <c r="A1292" t="s">
        <v>5197</v>
      </c>
      <c r="B1292" t="s">
        <v>5313</v>
      </c>
      <c r="C1292" t="s">
        <v>4996</v>
      </c>
      <c r="D1292" t="s">
        <v>4997</v>
      </c>
      <c r="E1292" t="s">
        <v>191</v>
      </c>
      <c r="F1292" t="s">
        <v>27</v>
      </c>
      <c r="G1292">
        <v>1</v>
      </c>
      <c r="H1292" t="s">
        <v>5310</v>
      </c>
      <c r="I1292" t="s">
        <v>5314</v>
      </c>
      <c r="J1292" t="s">
        <v>5315</v>
      </c>
      <c r="K1292" t="s">
        <v>5314</v>
      </c>
      <c r="L1292" t="s">
        <v>72</v>
      </c>
      <c r="M1292" s="1" t="str">
        <f t="shared" si="141"/>
        <v>08H127</v>
      </c>
      <c r="N1292" s="1" t="str">
        <f t="shared" si="142"/>
        <v>C/O</v>
      </c>
      <c r="O1292" s="1" t="str">
        <f t="shared" si="143"/>
        <v>Transmission</v>
      </c>
      <c r="P1292" s="1" t="str">
        <f t="shared" si="144"/>
        <v>AMA0</v>
      </c>
      <c r="Q1292" s="2" t="str">
        <f t="shared" si="145"/>
        <v>AMA0Transmission</v>
      </c>
      <c r="R1292" s="2" t="str">
        <f>New_Xref[[#This Row],[Serial Prefix]]&amp;IF(New_Xref[[#This Row],[Func Loc]]&lt;&gt;"",New_Xref[[#This Row],[Func Loc]],"NO MATCH")</f>
        <v>AMA0TRAN .TRAN</v>
      </c>
      <c r="S1292" s="3" t="str">
        <f t="shared" si="140"/>
        <v>AMA05726451XTransmission</v>
      </c>
      <c r="T1292" s="3" t="s">
        <v>73</v>
      </c>
      <c r="U1292" s="3" t="s">
        <v>34</v>
      </c>
      <c r="V1292" t="str">
        <f t="shared" si="146"/>
        <v>303000</v>
      </c>
    </row>
    <row r="1293" spans="1:22">
      <c r="A1293" t="s">
        <v>5197</v>
      </c>
      <c r="B1293" t="s">
        <v>5242</v>
      </c>
      <c r="C1293" t="s">
        <v>4996</v>
      </c>
      <c r="D1293" t="s">
        <v>4997</v>
      </c>
      <c r="E1293" t="s">
        <v>191</v>
      </c>
      <c r="F1293" t="s">
        <v>27</v>
      </c>
      <c r="G1293">
        <v>1</v>
      </c>
      <c r="H1293" t="s">
        <v>5316</v>
      </c>
      <c r="I1293" t="s">
        <v>5317</v>
      </c>
      <c r="J1293" t="s">
        <v>5318</v>
      </c>
      <c r="K1293" t="s">
        <v>5317</v>
      </c>
      <c r="L1293" t="s">
        <v>72</v>
      </c>
      <c r="M1293" s="1" t="str">
        <f t="shared" si="141"/>
        <v>08D4</v>
      </c>
      <c r="N1293" s="1" t="str">
        <f t="shared" si="142"/>
        <v>C/O</v>
      </c>
      <c r="O1293" s="1" t="str">
        <f t="shared" si="143"/>
        <v>Transmission</v>
      </c>
      <c r="P1293" s="1" t="str">
        <f t="shared" si="144"/>
        <v>GEB0</v>
      </c>
      <c r="Q1293" s="2" t="str">
        <f t="shared" si="145"/>
        <v>GEB0Transmission</v>
      </c>
      <c r="R1293" s="2" t="str">
        <f>New_Xref[[#This Row],[Serial Prefix]]&amp;IF(New_Xref[[#This Row],[Func Loc]]&lt;&gt;"",New_Xref[[#This Row],[Func Loc]],"NO MATCH")</f>
        <v>GEB0TRAN .TRAN</v>
      </c>
      <c r="S1293" s="3" t="str">
        <f t="shared" si="140"/>
        <v>GEB05726451XTransmission</v>
      </c>
      <c r="T1293" s="3" t="s">
        <v>73</v>
      </c>
      <c r="U1293" s="3" t="s">
        <v>34</v>
      </c>
      <c r="V1293" t="str">
        <f t="shared" si="146"/>
        <v>303000</v>
      </c>
    </row>
    <row r="1294" spans="1:22">
      <c r="A1294" t="s">
        <v>5197</v>
      </c>
      <c r="B1294" t="s">
        <v>5230</v>
      </c>
      <c r="H1294" t="s">
        <v>5319</v>
      </c>
      <c r="I1294" t="s">
        <v>5320</v>
      </c>
      <c r="J1294" t="s">
        <v>5321</v>
      </c>
      <c r="K1294" t="s">
        <v>5320</v>
      </c>
      <c r="L1294" t="s">
        <v>2275</v>
      </c>
      <c r="M1294" s="1" t="str">
        <f t="shared" si="141"/>
        <v>08D06</v>
      </c>
      <c r="N1294" s="1" t="str">
        <f t="shared" si="142"/>
        <v>C/O</v>
      </c>
      <c r="O1294" s="1" t="str">
        <f t="shared" si="143"/>
        <v>Power Train Oil Pump</v>
      </c>
      <c r="P1294" s="1" t="str">
        <f t="shared" si="144"/>
        <v>AMA0</v>
      </c>
      <c r="Q1294" s="2" t="str">
        <f t="shared" si="145"/>
        <v>AMA0Power Train Oil Pump</v>
      </c>
      <c r="R1294" s="2" t="str">
        <f>New_Xref[[#This Row],[Serial Prefix]]&amp;IF(New_Xref[[#This Row],[Func Loc]]&lt;&gt;"",New_Xref[[#This Row],[Func Loc]],"NO MATCH")</f>
        <v>AMA0TRAN .PUMP.DP01</v>
      </c>
      <c r="S1294" s="3" t="str">
        <f t="shared" si="140"/>
        <v>AMA0Power Train Oil Pump</v>
      </c>
      <c r="T1294" s="3" t="s">
        <v>584</v>
      </c>
      <c r="U1294" s="3" t="s">
        <v>34</v>
      </c>
      <c r="V1294" t="str">
        <f t="shared" si="146"/>
        <v>306600</v>
      </c>
    </row>
    <row r="1295" spans="1:22">
      <c r="A1295" t="s">
        <v>5197</v>
      </c>
      <c r="B1295" t="s">
        <v>5242</v>
      </c>
      <c r="H1295" t="s">
        <v>5322</v>
      </c>
      <c r="I1295" t="s">
        <v>5323</v>
      </c>
      <c r="J1295" t="s">
        <v>5324</v>
      </c>
      <c r="K1295" t="s">
        <v>5323</v>
      </c>
      <c r="L1295" t="s">
        <v>2275</v>
      </c>
      <c r="M1295" s="1" t="str">
        <f t="shared" si="141"/>
        <v>08D4</v>
      </c>
      <c r="N1295" s="1" t="str">
        <f t="shared" si="142"/>
        <v>C/O</v>
      </c>
      <c r="O1295" s="1" t="str">
        <f t="shared" si="143"/>
        <v>Power Train Oil Pump</v>
      </c>
      <c r="P1295" s="1" t="str">
        <f t="shared" si="144"/>
        <v>GEB0</v>
      </c>
      <c r="Q1295" s="2" t="str">
        <f t="shared" si="145"/>
        <v>GEB0Power Train Oil Pump</v>
      </c>
      <c r="R1295" s="2" t="str">
        <f>New_Xref[[#This Row],[Serial Prefix]]&amp;IF(New_Xref[[#This Row],[Func Loc]]&lt;&gt;"",New_Xref[[#This Row],[Func Loc]],"NO MATCH")</f>
        <v>GEB0TRAN .PUMP.DP01</v>
      </c>
      <c r="S1295" s="3" t="str">
        <f t="shared" si="140"/>
        <v>GEB0Power Train Oil Pump</v>
      </c>
      <c r="T1295" s="3" t="s">
        <v>584</v>
      </c>
      <c r="U1295" s="3" t="s">
        <v>34</v>
      </c>
      <c r="V1295" t="str">
        <f t="shared" si="146"/>
        <v>306600</v>
      </c>
    </row>
    <row r="1296" spans="1:22">
      <c r="A1296" t="s">
        <v>5197</v>
      </c>
      <c r="B1296" t="s">
        <v>5230</v>
      </c>
      <c r="C1296" t="s">
        <v>5325</v>
      </c>
      <c r="D1296" t="s">
        <v>5326</v>
      </c>
      <c r="E1296" t="s">
        <v>453</v>
      </c>
      <c r="F1296" t="s">
        <v>27</v>
      </c>
      <c r="G1296">
        <v>1</v>
      </c>
      <c r="H1296" t="s">
        <v>5327</v>
      </c>
      <c r="I1296" t="s">
        <v>5328</v>
      </c>
      <c r="J1296" t="s">
        <v>5329</v>
      </c>
      <c r="K1296" t="s">
        <v>5328</v>
      </c>
      <c r="L1296" t="s">
        <v>304</v>
      </c>
      <c r="M1296" s="1" t="str">
        <f t="shared" si="141"/>
        <v>08D06</v>
      </c>
      <c r="N1296" s="1" t="str">
        <f t="shared" si="142"/>
        <v>C/O</v>
      </c>
      <c r="O1296" s="1" t="str">
        <f t="shared" si="143"/>
        <v>Torque Converter</v>
      </c>
      <c r="P1296" s="1" t="str">
        <f t="shared" si="144"/>
        <v>AMA0</v>
      </c>
      <c r="Q1296" s="2" t="str">
        <f t="shared" si="145"/>
        <v>AMA0Torque Converter</v>
      </c>
      <c r="R1296" s="2" t="str">
        <f>New_Xref[[#This Row],[Serial Prefix]]&amp;IF(New_Xref[[#This Row],[Func Loc]]&lt;&gt;"",New_Xref[[#This Row],[Func Loc]],"NO MATCH")</f>
        <v>AMA0TRAN .TOCO</v>
      </c>
      <c r="S1296" s="3" t="str">
        <f t="shared" si="140"/>
        <v>AMA03439846XTorque Converter</v>
      </c>
      <c r="T1296" s="3" t="s">
        <v>305</v>
      </c>
      <c r="U1296" s="3" t="s">
        <v>34</v>
      </c>
      <c r="V1296" t="str">
        <f t="shared" si="146"/>
        <v>310100</v>
      </c>
    </row>
    <row r="1297" spans="1:22">
      <c r="A1297" t="s">
        <v>5197</v>
      </c>
      <c r="B1297" t="s">
        <v>5242</v>
      </c>
      <c r="C1297" t="s">
        <v>5126</v>
      </c>
      <c r="D1297" t="s">
        <v>5127</v>
      </c>
      <c r="E1297" t="s">
        <v>1992</v>
      </c>
      <c r="F1297" t="s">
        <v>27</v>
      </c>
      <c r="G1297">
        <v>1</v>
      </c>
      <c r="H1297" t="s">
        <v>5330</v>
      </c>
      <c r="I1297" t="s">
        <v>5331</v>
      </c>
      <c r="J1297" t="s">
        <v>5332</v>
      </c>
      <c r="K1297" t="s">
        <v>5331</v>
      </c>
      <c r="L1297" t="s">
        <v>304</v>
      </c>
      <c r="M1297" s="1" t="str">
        <f t="shared" si="141"/>
        <v>08D4</v>
      </c>
      <c r="N1297" s="1" t="str">
        <f t="shared" si="142"/>
        <v>C/O</v>
      </c>
      <c r="O1297" s="1" t="str">
        <f t="shared" si="143"/>
        <v>Torque Converter</v>
      </c>
      <c r="P1297" s="1" t="str">
        <f t="shared" si="144"/>
        <v>GEB0</v>
      </c>
      <c r="Q1297" s="2" t="str">
        <f t="shared" si="145"/>
        <v>GEB0Torque Converter</v>
      </c>
      <c r="R1297" s="2" t="str">
        <f>New_Xref[[#This Row],[Serial Prefix]]&amp;IF(New_Xref[[#This Row],[Func Loc]]&lt;&gt;"",New_Xref[[#This Row],[Func Loc]],"NO MATCH")</f>
        <v>GEB0TRAN .TOCO</v>
      </c>
      <c r="S1297" s="3" t="str">
        <f t="shared" si="140"/>
        <v>GEB01210030XTorque Converter</v>
      </c>
      <c r="T1297" s="3" t="s">
        <v>305</v>
      </c>
      <c r="U1297" s="3" t="s">
        <v>34</v>
      </c>
      <c r="V1297" t="str">
        <f t="shared" si="146"/>
        <v>310100</v>
      </c>
    </row>
    <row r="1298" spans="1:22">
      <c r="A1298" t="s">
        <v>5197</v>
      </c>
      <c r="B1298" t="s">
        <v>5225</v>
      </c>
      <c r="C1298" t="s">
        <v>5325</v>
      </c>
      <c r="D1298" t="s">
        <v>5326</v>
      </c>
      <c r="E1298" t="s">
        <v>2719</v>
      </c>
      <c r="F1298" t="s">
        <v>27</v>
      </c>
      <c r="G1298">
        <v>1</v>
      </c>
      <c r="H1298" t="s">
        <v>5333</v>
      </c>
      <c r="I1298" t="s">
        <v>5334</v>
      </c>
      <c r="J1298" t="s">
        <v>5335</v>
      </c>
      <c r="K1298" t="s">
        <v>5334</v>
      </c>
      <c r="L1298" t="s">
        <v>304</v>
      </c>
      <c r="M1298" s="1" t="str">
        <f t="shared" si="141"/>
        <v>08R231</v>
      </c>
      <c r="N1298" s="1" t="str">
        <f t="shared" si="142"/>
        <v>C/O</v>
      </c>
      <c r="O1298" s="1" t="str">
        <f t="shared" si="143"/>
        <v>Torque Converter</v>
      </c>
      <c r="P1298" s="1" t="str">
        <f t="shared" si="144"/>
        <v>JEL0</v>
      </c>
      <c r="Q1298" s="2" t="str">
        <f t="shared" si="145"/>
        <v>JEL0Torque Converter</v>
      </c>
      <c r="R1298" s="2" t="str">
        <f>New_Xref[[#This Row],[Serial Prefix]]&amp;IF(New_Xref[[#This Row],[Func Loc]]&lt;&gt;"",New_Xref[[#This Row],[Func Loc]],"NO MATCH")</f>
        <v>JEL0TRAN .TOCO</v>
      </c>
      <c r="S1298" s="3" t="str">
        <f t="shared" si="140"/>
        <v>JEL03439846XTorque Converter</v>
      </c>
      <c r="T1298" s="3" t="s">
        <v>305</v>
      </c>
      <c r="U1298" s="3" t="s">
        <v>34</v>
      </c>
      <c r="V1298" t="str">
        <f t="shared" si="146"/>
        <v>310100</v>
      </c>
    </row>
    <row r="1299" spans="1:22">
      <c r="A1299" t="s">
        <v>5197</v>
      </c>
      <c r="B1299" t="s">
        <v>5230</v>
      </c>
      <c r="C1299" t="s">
        <v>5012</v>
      </c>
      <c r="D1299" t="s">
        <v>5013</v>
      </c>
      <c r="E1299" t="s">
        <v>5014</v>
      </c>
      <c r="F1299" t="s">
        <v>27</v>
      </c>
      <c r="G1299">
        <v>1</v>
      </c>
      <c r="H1299" t="s">
        <v>5336</v>
      </c>
      <c r="I1299" t="s">
        <v>5337</v>
      </c>
      <c r="J1299" t="s">
        <v>5338</v>
      </c>
      <c r="K1299" t="s">
        <v>5337</v>
      </c>
      <c r="L1299" t="s">
        <v>907</v>
      </c>
      <c r="M1299" s="1" t="str">
        <f t="shared" si="141"/>
        <v>08D06</v>
      </c>
      <c r="N1299" s="1" t="str">
        <f t="shared" si="142"/>
        <v>C/O</v>
      </c>
      <c r="O1299" s="1" t="str">
        <f t="shared" si="143"/>
        <v>Final Drive LH</v>
      </c>
      <c r="P1299" s="1" t="str">
        <f t="shared" si="144"/>
        <v>AMA0</v>
      </c>
      <c r="Q1299" s="2" t="str">
        <f t="shared" si="145"/>
        <v>AMA0Final Drive LH</v>
      </c>
      <c r="R1299" s="2" t="str">
        <f>New_Xref[[#This Row],[Serial Prefix]]&amp;IF(New_Xref[[#This Row],[Func Loc]]&lt;&gt;"",New_Xref[[#This Row],[Func Loc]],"NO MATCH")</f>
        <v>AMA0FDRV .FIDR.FDLH</v>
      </c>
      <c r="S1299" s="3" t="str">
        <f t="shared" si="140"/>
        <v>AMA00R8956Final Drive LH</v>
      </c>
      <c r="T1299" s="3" t="s">
        <v>908</v>
      </c>
      <c r="U1299" s="3" t="s">
        <v>108</v>
      </c>
      <c r="V1299" t="str">
        <f t="shared" si="146"/>
        <v>4050LT</v>
      </c>
    </row>
    <row r="1300" spans="1:22">
      <c r="A1300" t="s">
        <v>5197</v>
      </c>
      <c r="B1300" t="s">
        <v>5230</v>
      </c>
      <c r="C1300" t="s">
        <v>5012</v>
      </c>
      <c r="D1300" t="s">
        <v>5013</v>
      </c>
      <c r="E1300" t="s">
        <v>5014</v>
      </c>
      <c r="F1300" t="s">
        <v>27</v>
      </c>
      <c r="G1300">
        <v>1</v>
      </c>
      <c r="H1300" t="s">
        <v>5336</v>
      </c>
      <c r="I1300" t="s">
        <v>5339</v>
      </c>
      <c r="J1300" t="s">
        <v>5340</v>
      </c>
      <c r="K1300" t="s">
        <v>5339</v>
      </c>
      <c r="L1300" t="s">
        <v>911</v>
      </c>
      <c r="M1300" s="1" t="str">
        <f t="shared" si="141"/>
        <v>08D06</v>
      </c>
      <c r="N1300" s="1" t="str">
        <f t="shared" si="142"/>
        <v>C/O</v>
      </c>
      <c r="O1300" s="1" t="str">
        <f t="shared" si="143"/>
        <v>Final Drive RH</v>
      </c>
      <c r="P1300" s="1" t="str">
        <f t="shared" si="144"/>
        <v>AMA0</v>
      </c>
      <c r="Q1300" s="2" t="str">
        <f t="shared" si="145"/>
        <v>AMA0Final Drive RH</v>
      </c>
      <c r="R1300" s="2" t="str">
        <f>New_Xref[[#This Row],[Serial Prefix]]&amp;IF(New_Xref[[#This Row],[Func Loc]]&lt;&gt;"",New_Xref[[#This Row],[Func Loc]],"NO MATCH")</f>
        <v>AMA0FDRV .FIDR.FDRH</v>
      </c>
      <c r="S1300" s="3" t="str">
        <f t="shared" si="140"/>
        <v>AMA00R8956Final Drive RH</v>
      </c>
      <c r="T1300" s="3" t="s">
        <v>908</v>
      </c>
      <c r="U1300" s="3" t="s">
        <v>115</v>
      </c>
      <c r="V1300" t="str">
        <f t="shared" si="146"/>
        <v>4050RI</v>
      </c>
    </row>
    <row r="1301" spans="1:22">
      <c r="A1301" t="s">
        <v>5197</v>
      </c>
      <c r="B1301" t="s">
        <v>5242</v>
      </c>
      <c r="C1301" t="s">
        <v>5012</v>
      </c>
      <c r="D1301" t="s">
        <v>5013</v>
      </c>
      <c r="E1301" t="s">
        <v>5014</v>
      </c>
      <c r="F1301" t="s">
        <v>27</v>
      </c>
      <c r="G1301">
        <v>1</v>
      </c>
      <c r="H1301" t="s">
        <v>5341</v>
      </c>
      <c r="I1301" t="s">
        <v>5342</v>
      </c>
      <c r="J1301" t="s">
        <v>5343</v>
      </c>
      <c r="K1301" t="s">
        <v>5342</v>
      </c>
      <c r="L1301" t="s">
        <v>911</v>
      </c>
      <c r="M1301" s="1" t="str">
        <f t="shared" si="141"/>
        <v>08D4</v>
      </c>
      <c r="N1301" s="1" t="str">
        <f t="shared" si="142"/>
        <v>C/O</v>
      </c>
      <c r="O1301" s="1" t="str">
        <f t="shared" si="143"/>
        <v>Final Drive RH</v>
      </c>
      <c r="P1301" s="1" t="str">
        <f t="shared" si="144"/>
        <v>GEB0</v>
      </c>
      <c r="Q1301" s="2" t="str">
        <f t="shared" si="145"/>
        <v>GEB0Final Drive RH</v>
      </c>
      <c r="R1301" s="2" t="str">
        <f>New_Xref[[#This Row],[Serial Prefix]]&amp;IF(New_Xref[[#This Row],[Func Loc]]&lt;&gt;"",New_Xref[[#This Row],[Func Loc]],"NO MATCH")</f>
        <v>GEB0FDRV .FIDR.FDRH</v>
      </c>
      <c r="S1301" s="3" t="str">
        <f t="shared" si="140"/>
        <v>GEB00R8956Final Drive RH</v>
      </c>
      <c r="T1301" s="3" t="s">
        <v>908</v>
      </c>
      <c r="U1301" s="3" t="s">
        <v>115</v>
      </c>
      <c r="V1301" t="str">
        <f t="shared" si="146"/>
        <v>4050RI</v>
      </c>
    </row>
    <row r="1302" spans="1:22">
      <c r="A1302" t="s">
        <v>5197</v>
      </c>
      <c r="B1302" t="s">
        <v>5242</v>
      </c>
      <c r="C1302" t="s">
        <v>5012</v>
      </c>
      <c r="D1302" t="s">
        <v>5013</v>
      </c>
      <c r="E1302" t="s">
        <v>5014</v>
      </c>
      <c r="F1302" t="s">
        <v>27</v>
      </c>
      <c r="G1302">
        <v>1</v>
      </c>
      <c r="H1302" t="s">
        <v>5341</v>
      </c>
      <c r="I1302" t="s">
        <v>5344</v>
      </c>
      <c r="J1302" t="s">
        <v>5345</v>
      </c>
      <c r="K1302" t="s">
        <v>5344</v>
      </c>
      <c r="L1302" t="s">
        <v>907</v>
      </c>
      <c r="M1302" s="1" t="str">
        <f t="shared" si="141"/>
        <v>08D4</v>
      </c>
      <c r="N1302" s="1" t="str">
        <f t="shared" si="142"/>
        <v>C/O</v>
      </c>
      <c r="O1302" s="1" t="str">
        <f t="shared" si="143"/>
        <v>Final Drive LH</v>
      </c>
      <c r="P1302" s="1" t="str">
        <f t="shared" si="144"/>
        <v>GEB0</v>
      </c>
      <c r="Q1302" s="2" t="str">
        <f t="shared" si="145"/>
        <v>GEB0Final Drive LH</v>
      </c>
      <c r="R1302" s="2" t="str">
        <f>New_Xref[[#This Row],[Serial Prefix]]&amp;IF(New_Xref[[#This Row],[Func Loc]]&lt;&gt;"",New_Xref[[#This Row],[Func Loc]],"NO MATCH")</f>
        <v>GEB0FDRV .FIDR.FDLH</v>
      </c>
      <c r="S1302" s="3" t="str">
        <f t="shared" si="140"/>
        <v>GEB00R8956Final Drive LH</v>
      </c>
      <c r="T1302" s="3" t="s">
        <v>908</v>
      </c>
      <c r="U1302" s="3" t="s">
        <v>108</v>
      </c>
      <c r="V1302" t="str">
        <f t="shared" si="146"/>
        <v>4050LT</v>
      </c>
    </row>
    <row r="1303" spans="1:22">
      <c r="A1303" t="s">
        <v>5197</v>
      </c>
      <c r="B1303" t="s">
        <v>5230</v>
      </c>
      <c r="C1303" t="s">
        <v>5141</v>
      </c>
      <c r="D1303" t="s">
        <v>5142</v>
      </c>
      <c r="E1303" t="s">
        <v>5143</v>
      </c>
      <c r="F1303" t="s">
        <v>27</v>
      </c>
      <c r="G1303">
        <v>1</v>
      </c>
      <c r="H1303" t="s">
        <v>5346</v>
      </c>
      <c r="I1303" t="s">
        <v>5347</v>
      </c>
      <c r="J1303" t="s">
        <v>5348</v>
      </c>
      <c r="K1303" t="s">
        <v>5347</v>
      </c>
      <c r="L1303" t="s">
        <v>4620</v>
      </c>
      <c r="M1303" s="1" t="str">
        <f t="shared" si="141"/>
        <v>08D06</v>
      </c>
      <c r="N1303" s="1" t="str">
        <f t="shared" si="142"/>
        <v>C/O</v>
      </c>
      <c r="O1303" s="1" t="str">
        <f t="shared" si="143"/>
        <v>Steering Clutch &amp; Brake RH</v>
      </c>
      <c r="P1303" s="1" t="str">
        <f t="shared" si="144"/>
        <v>AMA0</v>
      </c>
      <c r="Q1303" s="2" t="str">
        <f t="shared" si="145"/>
        <v>AMA0Steering Clutch &amp; Brake RH</v>
      </c>
      <c r="R1303" s="2" t="str">
        <f>New_Xref[[#This Row],[Serial Prefix]]&amp;IF(New_Xref[[#This Row],[Func Loc]]&lt;&gt;"",New_Xref[[#This Row],[Func Loc]],"NO MATCH")</f>
        <v>AMA0BRSS .SCBA.SCRH</v>
      </c>
      <c r="S1303" s="3" t="str">
        <f t="shared" si="140"/>
        <v>AMA01189628XSteering Clutch &amp; Brake RH</v>
      </c>
      <c r="T1303" s="3" t="s">
        <v>4616</v>
      </c>
      <c r="U1303" s="3" t="s">
        <v>115</v>
      </c>
      <c r="V1303" t="str">
        <f t="shared" si="146"/>
        <v>4100RI</v>
      </c>
    </row>
    <row r="1304" spans="1:22">
      <c r="A1304" t="s">
        <v>5197</v>
      </c>
      <c r="B1304" t="s">
        <v>5230</v>
      </c>
      <c r="C1304" t="s">
        <v>5141</v>
      </c>
      <c r="D1304" t="s">
        <v>5142</v>
      </c>
      <c r="E1304" t="s">
        <v>5143</v>
      </c>
      <c r="F1304" t="s">
        <v>27</v>
      </c>
      <c r="G1304">
        <v>1</v>
      </c>
      <c r="H1304" t="s">
        <v>5346</v>
      </c>
      <c r="I1304" t="s">
        <v>5349</v>
      </c>
      <c r="J1304" t="s">
        <v>5350</v>
      </c>
      <c r="K1304" t="s">
        <v>5349</v>
      </c>
      <c r="L1304" t="s">
        <v>4615</v>
      </c>
      <c r="M1304" s="1" t="str">
        <f t="shared" si="141"/>
        <v>08D06</v>
      </c>
      <c r="N1304" s="1" t="str">
        <f t="shared" si="142"/>
        <v>C/O</v>
      </c>
      <c r="O1304" s="1" t="str">
        <f t="shared" si="143"/>
        <v>Steering Clutch &amp; Brake LH</v>
      </c>
      <c r="P1304" s="1" t="str">
        <f t="shared" si="144"/>
        <v>AMA0</v>
      </c>
      <c r="Q1304" s="2" t="str">
        <f t="shared" si="145"/>
        <v>AMA0Steering Clutch &amp; Brake LH</v>
      </c>
      <c r="R1304" s="2" t="str">
        <f>New_Xref[[#This Row],[Serial Prefix]]&amp;IF(New_Xref[[#This Row],[Func Loc]]&lt;&gt;"",New_Xref[[#This Row],[Func Loc]],"NO MATCH")</f>
        <v>AMA0BRSS .SCBA.SCLH</v>
      </c>
      <c r="S1304" s="3" t="str">
        <f t="shared" si="140"/>
        <v>AMA01189628XSteering Clutch &amp; Brake LH</v>
      </c>
      <c r="T1304" s="3" t="s">
        <v>4616</v>
      </c>
      <c r="U1304" s="3" t="s">
        <v>108</v>
      </c>
      <c r="V1304" t="str">
        <f t="shared" si="146"/>
        <v>4100LT</v>
      </c>
    </row>
    <row r="1305" spans="1:22">
      <c r="A1305" t="s">
        <v>5197</v>
      </c>
      <c r="B1305" t="s">
        <v>5313</v>
      </c>
      <c r="C1305" t="s">
        <v>5020</v>
      </c>
      <c r="D1305" t="s">
        <v>5021</v>
      </c>
      <c r="E1305" t="s">
        <v>5136</v>
      </c>
      <c r="F1305" t="s">
        <v>27</v>
      </c>
      <c r="G1305">
        <v>1</v>
      </c>
      <c r="H1305" t="s">
        <v>5346</v>
      </c>
      <c r="I1305" t="s">
        <v>5351</v>
      </c>
      <c r="J1305" t="s">
        <v>5352</v>
      </c>
      <c r="K1305" t="s">
        <v>5351</v>
      </c>
      <c r="L1305" t="s">
        <v>4620</v>
      </c>
      <c r="M1305" s="1" t="str">
        <f t="shared" si="141"/>
        <v>08H127</v>
      </c>
      <c r="N1305" s="1" t="str">
        <f t="shared" si="142"/>
        <v>C/O</v>
      </c>
      <c r="O1305" s="1" t="str">
        <f t="shared" si="143"/>
        <v>Steering Clutch &amp; Brake RH</v>
      </c>
      <c r="P1305" s="1" t="str">
        <f t="shared" si="144"/>
        <v>AMA0</v>
      </c>
      <c r="Q1305" s="2" t="str">
        <f t="shared" si="145"/>
        <v>AMA0Steering Clutch &amp; Brake RH</v>
      </c>
      <c r="R1305" s="2" t="str">
        <f>New_Xref[[#This Row],[Serial Prefix]]&amp;IF(New_Xref[[#This Row],[Func Loc]]&lt;&gt;"",New_Xref[[#This Row],[Func Loc]],"NO MATCH")</f>
        <v>AMA0BRSS .SCBA.SCRH</v>
      </c>
      <c r="S1305" s="3" t="str">
        <f t="shared" si="140"/>
        <v>AMA05085837XSteering Clutch &amp; Brake RH</v>
      </c>
      <c r="T1305" s="3" t="s">
        <v>4616</v>
      </c>
      <c r="U1305" s="3" t="s">
        <v>115</v>
      </c>
      <c r="V1305" t="str">
        <f t="shared" si="146"/>
        <v>4100RI</v>
      </c>
    </row>
    <row r="1306" spans="1:22">
      <c r="A1306" t="s">
        <v>5197</v>
      </c>
      <c r="B1306" t="s">
        <v>5242</v>
      </c>
      <c r="C1306" t="s">
        <v>5020</v>
      </c>
      <c r="D1306" t="s">
        <v>5021</v>
      </c>
      <c r="E1306" t="s">
        <v>5136</v>
      </c>
      <c r="F1306" t="s">
        <v>27</v>
      </c>
      <c r="G1306">
        <v>1</v>
      </c>
      <c r="H1306" t="s">
        <v>5353</v>
      </c>
      <c r="I1306" t="s">
        <v>5354</v>
      </c>
      <c r="J1306" t="s">
        <v>5355</v>
      </c>
      <c r="K1306" t="s">
        <v>5354</v>
      </c>
      <c r="L1306" t="s">
        <v>4615</v>
      </c>
      <c r="M1306" s="1" t="str">
        <f t="shared" si="141"/>
        <v>08D4</v>
      </c>
      <c r="N1306" s="1" t="str">
        <f t="shared" si="142"/>
        <v>C/O</v>
      </c>
      <c r="O1306" s="1" t="str">
        <f t="shared" si="143"/>
        <v>Steering Clutch &amp; Brake LH</v>
      </c>
      <c r="P1306" s="1" t="str">
        <f t="shared" si="144"/>
        <v>GEB0</v>
      </c>
      <c r="Q1306" s="2" t="str">
        <f t="shared" si="145"/>
        <v>GEB0Steering Clutch &amp; Brake LH</v>
      </c>
      <c r="R1306" s="2" t="str">
        <f>New_Xref[[#This Row],[Serial Prefix]]&amp;IF(New_Xref[[#This Row],[Func Loc]]&lt;&gt;"",New_Xref[[#This Row],[Func Loc]],"NO MATCH")</f>
        <v>GEB0BRSS .SCBA.SCLH</v>
      </c>
      <c r="S1306" s="3" t="str">
        <f t="shared" si="140"/>
        <v>GEB05085837XSteering Clutch &amp; Brake LH</v>
      </c>
      <c r="T1306" s="3" t="s">
        <v>4616</v>
      </c>
      <c r="U1306" s="3" t="s">
        <v>108</v>
      </c>
      <c r="V1306" t="str">
        <f t="shared" si="146"/>
        <v>4100LT</v>
      </c>
    </row>
    <row r="1307" spans="1:22">
      <c r="A1307" t="s">
        <v>5197</v>
      </c>
      <c r="B1307" t="s">
        <v>5242</v>
      </c>
      <c r="C1307" t="s">
        <v>5020</v>
      </c>
      <c r="D1307" t="s">
        <v>5021</v>
      </c>
      <c r="E1307" t="s">
        <v>5136</v>
      </c>
      <c r="F1307" t="s">
        <v>27</v>
      </c>
      <c r="G1307">
        <v>1</v>
      </c>
      <c r="H1307" t="s">
        <v>5353</v>
      </c>
      <c r="I1307" t="s">
        <v>5356</v>
      </c>
      <c r="J1307" t="s">
        <v>5357</v>
      </c>
      <c r="K1307" t="s">
        <v>5356</v>
      </c>
      <c r="L1307" t="s">
        <v>4620</v>
      </c>
      <c r="M1307" s="1" t="str">
        <f t="shared" si="141"/>
        <v>08D4</v>
      </c>
      <c r="N1307" s="1" t="str">
        <f t="shared" si="142"/>
        <v>C/O</v>
      </c>
      <c r="O1307" s="1" t="str">
        <f t="shared" si="143"/>
        <v>Steering Clutch &amp; Brake RH</v>
      </c>
      <c r="P1307" s="1" t="str">
        <f t="shared" si="144"/>
        <v>GEB0</v>
      </c>
      <c r="Q1307" s="2" t="str">
        <f t="shared" si="145"/>
        <v>GEB0Steering Clutch &amp; Brake RH</v>
      </c>
      <c r="R1307" s="2" t="str">
        <f>New_Xref[[#This Row],[Serial Prefix]]&amp;IF(New_Xref[[#This Row],[Func Loc]]&lt;&gt;"",New_Xref[[#This Row],[Func Loc]],"NO MATCH")</f>
        <v>GEB0BRSS .SCBA.SCRH</v>
      </c>
      <c r="S1307" s="3" t="str">
        <f t="shared" si="140"/>
        <v>GEB05085837XSteering Clutch &amp; Brake RH</v>
      </c>
      <c r="T1307" s="3" t="s">
        <v>4616</v>
      </c>
      <c r="U1307" s="3" t="s">
        <v>115</v>
      </c>
      <c r="V1307" t="str">
        <f t="shared" si="146"/>
        <v>4100RI</v>
      </c>
    </row>
    <row r="1308" spans="1:22">
      <c r="A1308" t="s">
        <v>5197</v>
      </c>
      <c r="B1308" t="s">
        <v>5242</v>
      </c>
      <c r="C1308" t="s">
        <v>5141</v>
      </c>
      <c r="D1308" t="s">
        <v>5142</v>
      </c>
      <c r="E1308" t="s">
        <v>5143</v>
      </c>
      <c r="F1308" t="s">
        <v>27</v>
      </c>
      <c r="G1308">
        <v>1</v>
      </c>
      <c r="H1308" t="s">
        <v>5353</v>
      </c>
      <c r="I1308" t="s">
        <v>5354</v>
      </c>
      <c r="J1308" t="s">
        <v>5355</v>
      </c>
      <c r="K1308" t="s">
        <v>5354</v>
      </c>
      <c r="L1308" t="s">
        <v>4615</v>
      </c>
      <c r="M1308" s="1" t="str">
        <f t="shared" si="141"/>
        <v>08D4</v>
      </c>
      <c r="N1308" s="1" t="str">
        <f t="shared" si="142"/>
        <v>C/O</v>
      </c>
      <c r="O1308" s="1" t="str">
        <f t="shared" si="143"/>
        <v>Steering Clutch &amp; Brake LH</v>
      </c>
      <c r="P1308" s="1" t="str">
        <f t="shared" si="144"/>
        <v>GEB0</v>
      </c>
      <c r="Q1308" s="2" t="str">
        <f t="shared" si="145"/>
        <v>GEB0Steering Clutch &amp; Brake LH</v>
      </c>
      <c r="R1308" s="2" t="str">
        <f>New_Xref[[#This Row],[Serial Prefix]]&amp;IF(New_Xref[[#This Row],[Func Loc]]&lt;&gt;"",New_Xref[[#This Row],[Func Loc]],"NO MATCH")</f>
        <v>GEB0BRSS .SCBA.SCLH</v>
      </c>
      <c r="S1308" s="3" t="str">
        <f t="shared" si="140"/>
        <v>GEB01189628XSteering Clutch &amp; Brake LH</v>
      </c>
      <c r="T1308" s="3" t="s">
        <v>4616</v>
      </c>
      <c r="U1308" s="3" t="s">
        <v>108</v>
      </c>
      <c r="V1308" t="str">
        <f t="shared" si="146"/>
        <v>4100LT</v>
      </c>
    </row>
    <row r="1309" spans="1:22">
      <c r="A1309" t="s">
        <v>5197</v>
      </c>
      <c r="B1309" t="s">
        <v>5242</v>
      </c>
      <c r="C1309" t="s">
        <v>5141</v>
      </c>
      <c r="D1309" t="s">
        <v>5142</v>
      </c>
      <c r="E1309" t="s">
        <v>5143</v>
      </c>
      <c r="F1309" t="s">
        <v>27</v>
      </c>
      <c r="G1309">
        <v>1</v>
      </c>
      <c r="H1309" t="s">
        <v>5353</v>
      </c>
      <c r="I1309" t="s">
        <v>5356</v>
      </c>
      <c r="J1309" t="s">
        <v>5357</v>
      </c>
      <c r="K1309" t="s">
        <v>5356</v>
      </c>
      <c r="L1309" t="s">
        <v>4620</v>
      </c>
      <c r="M1309" s="1" t="str">
        <f t="shared" si="141"/>
        <v>08D4</v>
      </c>
      <c r="N1309" s="1" t="str">
        <f t="shared" si="142"/>
        <v>C/O</v>
      </c>
      <c r="O1309" s="1" t="str">
        <f t="shared" si="143"/>
        <v>Steering Clutch &amp; Brake RH</v>
      </c>
      <c r="P1309" s="1" t="str">
        <f t="shared" si="144"/>
        <v>GEB0</v>
      </c>
      <c r="Q1309" s="2" t="str">
        <f t="shared" si="145"/>
        <v>GEB0Steering Clutch &amp; Brake RH</v>
      </c>
      <c r="R1309" s="2" t="str">
        <f>New_Xref[[#This Row],[Serial Prefix]]&amp;IF(New_Xref[[#This Row],[Func Loc]]&lt;&gt;"",New_Xref[[#This Row],[Func Loc]],"NO MATCH")</f>
        <v>GEB0BRSS .SCBA.SCRH</v>
      </c>
      <c r="S1309" s="3" t="str">
        <f t="shared" si="140"/>
        <v>GEB01189628XSteering Clutch &amp; Brake RH</v>
      </c>
      <c r="T1309" s="3" t="s">
        <v>4616</v>
      </c>
      <c r="U1309" s="3" t="s">
        <v>115</v>
      </c>
      <c r="V1309" t="str">
        <f t="shared" si="146"/>
        <v>4100RI</v>
      </c>
    </row>
    <row r="1310" spans="1:22">
      <c r="A1310" t="s">
        <v>5197</v>
      </c>
      <c r="B1310" t="s">
        <v>5230</v>
      </c>
      <c r="C1310" t="s">
        <v>5028</v>
      </c>
      <c r="D1310" t="s">
        <v>5029</v>
      </c>
      <c r="E1310" t="s">
        <v>5030</v>
      </c>
      <c r="F1310" t="s">
        <v>27</v>
      </c>
      <c r="G1310">
        <v>1</v>
      </c>
      <c r="H1310" t="s">
        <v>5358</v>
      </c>
      <c r="I1310" t="s">
        <v>5359</v>
      </c>
      <c r="J1310" t="s">
        <v>5360</v>
      </c>
      <c r="K1310" t="s">
        <v>5359</v>
      </c>
      <c r="L1310" t="s">
        <v>4627</v>
      </c>
      <c r="M1310" s="1" t="str">
        <f t="shared" si="141"/>
        <v>08D06</v>
      </c>
      <c r="N1310" s="1" t="str">
        <f t="shared" si="142"/>
        <v>C/O</v>
      </c>
      <c r="O1310" s="1" t="str">
        <f t="shared" si="143"/>
        <v>Track Frame LH</v>
      </c>
      <c r="P1310" s="1" t="str">
        <f t="shared" si="144"/>
        <v>AMA0</v>
      </c>
      <c r="Q1310" s="2" t="str">
        <f t="shared" si="145"/>
        <v>AMA0Track Frame LH</v>
      </c>
      <c r="R1310" s="2" t="str">
        <f>New_Xref[[#This Row],[Serial Prefix]]&amp;IF(New_Xref[[#This Row],[Func Loc]]&lt;&gt;"",New_Xref[[#This Row],[Func Loc]],"NO MATCH")</f>
        <v>AMA0STRU .TFLH</v>
      </c>
      <c r="S1310" s="3" t="str">
        <f t="shared" si="140"/>
        <v>AMA03370989FTrack Frame LH</v>
      </c>
      <c r="T1310" s="3" t="s">
        <v>4628</v>
      </c>
      <c r="U1310" s="3" t="s">
        <v>108</v>
      </c>
      <c r="V1310" t="str">
        <f t="shared" si="146"/>
        <v>4150LT</v>
      </c>
    </row>
    <row r="1311" spans="1:22">
      <c r="A1311" t="s">
        <v>5197</v>
      </c>
      <c r="B1311" t="s">
        <v>5230</v>
      </c>
      <c r="C1311" t="s">
        <v>5034</v>
      </c>
      <c r="D1311" t="s">
        <v>5035</v>
      </c>
      <c r="E1311" t="s">
        <v>5036</v>
      </c>
      <c r="F1311" t="s">
        <v>27</v>
      </c>
      <c r="G1311">
        <v>1</v>
      </c>
      <c r="H1311" t="s">
        <v>5361</v>
      </c>
      <c r="I1311" t="s">
        <v>5362</v>
      </c>
      <c r="J1311" t="s">
        <v>5363</v>
      </c>
      <c r="K1311" t="s">
        <v>5362</v>
      </c>
      <c r="L1311" t="s">
        <v>4634</v>
      </c>
      <c r="M1311" s="1" t="str">
        <f t="shared" si="141"/>
        <v>08D06</v>
      </c>
      <c r="N1311" s="1" t="str">
        <f t="shared" si="142"/>
        <v>C/O</v>
      </c>
      <c r="O1311" s="1" t="str">
        <f t="shared" si="143"/>
        <v>Track Frame RH</v>
      </c>
      <c r="P1311" s="1" t="str">
        <f t="shared" si="144"/>
        <v>AMA0</v>
      </c>
      <c r="Q1311" s="2" t="str">
        <f t="shared" si="145"/>
        <v>AMA0Track Frame RH</v>
      </c>
      <c r="R1311" s="2" t="str">
        <f>New_Xref[[#This Row],[Serial Prefix]]&amp;IF(New_Xref[[#This Row],[Func Loc]]&lt;&gt;"",New_Xref[[#This Row],[Func Loc]],"NO MATCH")</f>
        <v>AMA0STRU .TFRH</v>
      </c>
      <c r="S1311" s="3" t="str">
        <f t="shared" si="140"/>
        <v>AMA03370988FTrack Frame RH</v>
      </c>
      <c r="T1311" s="3" t="s">
        <v>4628</v>
      </c>
      <c r="U1311" s="3" t="s">
        <v>115</v>
      </c>
      <c r="V1311" t="str">
        <f t="shared" si="146"/>
        <v>4150RI</v>
      </c>
    </row>
    <row r="1312" spans="1:22">
      <c r="A1312" t="s">
        <v>5197</v>
      </c>
      <c r="B1312" t="s">
        <v>5364</v>
      </c>
      <c r="C1312" t="s">
        <v>5149</v>
      </c>
      <c r="D1312" t="s">
        <v>5150</v>
      </c>
      <c r="E1312" t="s">
        <v>5151</v>
      </c>
      <c r="F1312" t="s">
        <v>125</v>
      </c>
      <c r="G1312">
        <v>1</v>
      </c>
      <c r="H1312" t="s">
        <v>5365</v>
      </c>
      <c r="I1312" t="s">
        <v>5366</v>
      </c>
      <c r="J1312" t="s">
        <v>5367</v>
      </c>
      <c r="K1312" t="s">
        <v>5366</v>
      </c>
      <c r="L1312" t="s">
        <v>4627</v>
      </c>
      <c r="M1312" s="1" t="str">
        <f t="shared" si="141"/>
        <v>08H85</v>
      </c>
      <c r="N1312" s="1" t="str">
        <f t="shared" si="142"/>
        <v>C/O</v>
      </c>
      <c r="O1312" s="1" t="str">
        <f t="shared" si="143"/>
        <v>Track Frame LH</v>
      </c>
      <c r="P1312" s="1" t="str">
        <f t="shared" si="144"/>
        <v>GEB0</v>
      </c>
      <c r="Q1312" s="2" t="str">
        <f t="shared" si="145"/>
        <v>GEB0Track Frame LH</v>
      </c>
      <c r="R1312" s="2" t="str">
        <f>New_Xref[[#This Row],[Serial Prefix]]&amp;IF(New_Xref[[#This Row],[Func Loc]]&lt;&gt;"",New_Xref[[#This Row],[Func Loc]],"NO MATCH")</f>
        <v>GEB0STRU .TFLH</v>
      </c>
      <c r="S1312" s="3" t="str">
        <f t="shared" si="140"/>
        <v>GEB01792517FTrack Frame LH</v>
      </c>
      <c r="T1312" s="3" t="s">
        <v>4628</v>
      </c>
      <c r="U1312" s="3" t="s">
        <v>108</v>
      </c>
      <c r="V1312" t="str">
        <f t="shared" si="146"/>
        <v>4150LT</v>
      </c>
    </row>
    <row r="1313" spans="1:22">
      <c r="A1313" t="s">
        <v>5197</v>
      </c>
      <c r="B1313" t="s">
        <v>5364</v>
      </c>
      <c r="C1313" t="s">
        <v>5155</v>
      </c>
      <c r="D1313" t="s">
        <v>5156</v>
      </c>
      <c r="E1313" t="s">
        <v>5151</v>
      </c>
      <c r="F1313" t="s">
        <v>125</v>
      </c>
      <c r="G1313">
        <v>1</v>
      </c>
      <c r="H1313" t="s">
        <v>5368</v>
      </c>
      <c r="I1313" t="s">
        <v>5369</v>
      </c>
      <c r="J1313" t="s">
        <v>5370</v>
      </c>
      <c r="K1313" t="s">
        <v>5369</v>
      </c>
      <c r="L1313" t="s">
        <v>4634</v>
      </c>
      <c r="M1313" s="1" t="str">
        <f t="shared" si="141"/>
        <v>08H85</v>
      </c>
      <c r="N1313" s="1" t="str">
        <f t="shared" si="142"/>
        <v>C/O</v>
      </c>
      <c r="O1313" s="1" t="str">
        <f t="shared" si="143"/>
        <v>Track Frame RH</v>
      </c>
      <c r="P1313" s="1" t="str">
        <f t="shared" si="144"/>
        <v>GEB0</v>
      </c>
      <c r="Q1313" s="2" t="str">
        <f t="shared" si="145"/>
        <v>GEB0Track Frame RH</v>
      </c>
      <c r="R1313" s="2" t="str">
        <f>New_Xref[[#This Row],[Serial Prefix]]&amp;IF(New_Xref[[#This Row],[Func Loc]]&lt;&gt;"",New_Xref[[#This Row],[Func Loc]],"NO MATCH")</f>
        <v>GEB0STRU .TFRH</v>
      </c>
      <c r="S1313" s="3" t="str">
        <f t="shared" si="140"/>
        <v>GEB01792516FTrack Frame RH</v>
      </c>
      <c r="T1313" s="3" t="s">
        <v>4628</v>
      </c>
      <c r="U1313" s="3" t="s">
        <v>115</v>
      </c>
      <c r="V1313" t="str">
        <f t="shared" si="146"/>
        <v>4150RI</v>
      </c>
    </row>
    <row r="1314" spans="1:22">
      <c r="A1314" t="s">
        <v>5197</v>
      </c>
      <c r="B1314" t="s">
        <v>5371</v>
      </c>
      <c r="C1314" t="s">
        <v>5028</v>
      </c>
      <c r="D1314" t="s">
        <v>5029</v>
      </c>
      <c r="E1314" t="s">
        <v>5030</v>
      </c>
      <c r="F1314" t="s">
        <v>27</v>
      </c>
      <c r="G1314">
        <v>1</v>
      </c>
      <c r="H1314" t="s">
        <v>5160</v>
      </c>
      <c r="I1314" t="s">
        <v>5372</v>
      </c>
      <c r="J1314" t="s">
        <v>5373</v>
      </c>
      <c r="K1314" t="s">
        <v>5372</v>
      </c>
      <c r="L1314" t="s">
        <v>4627</v>
      </c>
      <c r="M1314" s="1" t="str">
        <f t="shared" si="141"/>
        <v>08R19</v>
      </c>
      <c r="N1314" s="1" t="str">
        <f t="shared" si="142"/>
        <v>C/O</v>
      </c>
      <c r="O1314" s="1" t="str">
        <f t="shared" si="143"/>
        <v>Track Frame LH</v>
      </c>
      <c r="P1314" s="1" t="str">
        <f t="shared" si="144"/>
        <v>GEB0</v>
      </c>
      <c r="Q1314" s="2" t="str">
        <f t="shared" si="145"/>
        <v>GEB0Track Frame LH</v>
      </c>
      <c r="R1314" s="2" t="str">
        <f>New_Xref[[#This Row],[Serial Prefix]]&amp;IF(New_Xref[[#This Row],[Func Loc]]&lt;&gt;"",New_Xref[[#This Row],[Func Loc]],"NO MATCH")</f>
        <v>GEB0STRU .TFLH</v>
      </c>
      <c r="S1314" s="3" t="str">
        <f t="shared" si="140"/>
        <v>GEB03370989FTrack Frame LH</v>
      </c>
      <c r="T1314" s="3" t="s">
        <v>4628</v>
      </c>
      <c r="U1314" s="3" t="s">
        <v>108</v>
      </c>
      <c r="V1314" t="str">
        <f t="shared" si="146"/>
        <v>4150LT</v>
      </c>
    </row>
    <row r="1315" spans="1:22">
      <c r="A1315" t="s">
        <v>5197</v>
      </c>
      <c r="B1315" t="s">
        <v>5242</v>
      </c>
      <c r="C1315" t="s">
        <v>5034</v>
      </c>
      <c r="D1315" t="s">
        <v>5035</v>
      </c>
      <c r="E1315" t="s">
        <v>5036</v>
      </c>
      <c r="F1315" t="s">
        <v>27</v>
      </c>
      <c r="G1315">
        <v>1</v>
      </c>
      <c r="H1315" t="s">
        <v>5163</v>
      </c>
      <c r="I1315" t="s">
        <v>5374</v>
      </c>
      <c r="J1315" t="s">
        <v>5375</v>
      </c>
      <c r="K1315" t="s">
        <v>5374</v>
      </c>
      <c r="L1315" t="s">
        <v>4634</v>
      </c>
      <c r="M1315" s="1" t="str">
        <f t="shared" si="141"/>
        <v>08D4</v>
      </c>
      <c r="N1315" s="1" t="str">
        <f t="shared" si="142"/>
        <v>C/O</v>
      </c>
      <c r="O1315" s="1" t="str">
        <f t="shared" si="143"/>
        <v>Track Frame RH</v>
      </c>
      <c r="P1315" s="1" t="str">
        <f t="shared" si="144"/>
        <v>GEB0</v>
      </c>
      <c r="Q1315" s="2" t="str">
        <f t="shared" si="145"/>
        <v>GEB0Track Frame RH</v>
      </c>
      <c r="R1315" s="2" t="str">
        <f>New_Xref[[#This Row],[Serial Prefix]]&amp;IF(New_Xref[[#This Row],[Func Loc]]&lt;&gt;"",New_Xref[[#This Row],[Func Loc]],"NO MATCH")</f>
        <v>GEB0STRU .TFRH</v>
      </c>
      <c r="S1315" s="3" t="str">
        <f t="shared" si="140"/>
        <v>GEB03370988FTrack Frame RH</v>
      </c>
      <c r="T1315" s="3" t="s">
        <v>4628</v>
      </c>
      <c r="U1315" s="3" t="s">
        <v>115</v>
      </c>
      <c r="V1315" t="str">
        <f t="shared" si="146"/>
        <v>4150RI</v>
      </c>
    </row>
    <row r="1316" spans="1:22">
      <c r="A1316" t="s">
        <v>5197</v>
      </c>
      <c r="B1316" t="s">
        <v>5225</v>
      </c>
      <c r="C1316" t="s">
        <v>5034</v>
      </c>
      <c r="D1316" t="s">
        <v>5035</v>
      </c>
      <c r="E1316" t="s">
        <v>5376</v>
      </c>
      <c r="F1316" t="s">
        <v>27</v>
      </c>
      <c r="G1316">
        <v>1</v>
      </c>
      <c r="H1316" t="s">
        <v>5377</v>
      </c>
      <c r="I1316" t="s">
        <v>5378</v>
      </c>
      <c r="J1316" t="s">
        <v>5379</v>
      </c>
      <c r="K1316" t="s">
        <v>5380</v>
      </c>
      <c r="L1316" t="s">
        <v>4634</v>
      </c>
      <c r="M1316" s="1" t="str">
        <f t="shared" si="141"/>
        <v>08R231</v>
      </c>
      <c r="N1316" s="1" t="str">
        <f t="shared" si="142"/>
        <v>C/O</v>
      </c>
      <c r="O1316" s="1" t="str">
        <f t="shared" si="143"/>
        <v>Track Frame RH</v>
      </c>
      <c r="P1316" s="1" t="str">
        <f t="shared" si="144"/>
        <v>JEL0</v>
      </c>
      <c r="Q1316" s="2" t="str">
        <f t="shared" si="145"/>
        <v>JEL0Track Frame RH</v>
      </c>
      <c r="R1316" s="2" t="str">
        <f>New_Xref[[#This Row],[Serial Prefix]]&amp;IF(New_Xref[[#This Row],[Func Loc]]&lt;&gt;"",New_Xref[[#This Row],[Func Loc]],"NO MATCH")</f>
        <v>JEL0STRU .TFRH</v>
      </c>
      <c r="S1316" s="3" t="str">
        <f t="shared" si="140"/>
        <v>JEL03370988FTrack Frame RH</v>
      </c>
      <c r="T1316" t="s">
        <v>4628</v>
      </c>
      <c r="U1316" t="s">
        <v>115</v>
      </c>
      <c r="V1316" t="str">
        <f t="shared" si="146"/>
        <v>4150RI</v>
      </c>
    </row>
    <row r="1317" spans="1:22">
      <c r="A1317" t="s">
        <v>5197</v>
      </c>
      <c r="B1317" t="s">
        <v>5225</v>
      </c>
      <c r="C1317" t="s">
        <v>5028</v>
      </c>
      <c r="D1317" t="s">
        <v>5029</v>
      </c>
      <c r="E1317" t="s">
        <v>5381</v>
      </c>
      <c r="F1317" t="s">
        <v>27</v>
      </c>
      <c r="G1317">
        <v>1</v>
      </c>
      <c r="H1317" t="s">
        <v>5382</v>
      </c>
      <c r="I1317" t="s">
        <v>5383</v>
      </c>
      <c r="J1317" t="s">
        <v>5384</v>
      </c>
      <c r="K1317" t="s">
        <v>5385</v>
      </c>
      <c r="L1317" t="s">
        <v>4627</v>
      </c>
      <c r="M1317" s="1" t="str">
        <f t="shared" si="141"/>
        <v>08R231</v>
      </c>
      <c r="N1317" s="1" t="str">
        <f t="shared" si="142"/>
        <v>C/O</v>
      </c>
      <c r="O1317" s="1" t="str">
        <f t="shared" si="143"/>
        <v>Track Frame LH</v>
      </c>
      <c r="P1317" s="1" t="str">
        <f t="shared" si="144"/>
        <v>JEL0</v>
      </c>
      <c r="Q1317" s="2" t="str">
        <f t="shared" si="145"/>
        <v>JEL0Track Frame LH</v>
      </c>
      <c r="R1317" s="2" t="str">
        <f>New_Xref[[#This Row],[Serial Prefix]]&amp;IF(New_Xref[[#This Row],[Func Loc]]&lt;&gt;"",New_Xref[[#This Row],[Func Loc]],"NO MATCH")</f>
        <v>JEL0STRU .TFLH</v>
      </c>
      <c r="S1317" s="3" t="str">
        <f t="shared" si="140"/>
        <v>JEL03370989FTrack Frame LH</v>
      </c>
      <c r="T1317" t="s">
        <v>4628</v>
      </c>
      <c r="U1317" t="s">
        <v>108</v>
      </c>
      <c r="V1317" t="str">
        <f t="shared" si="146"/>
        <v>4150LT</v>
      </c>
    </row>
    <row r="1318" spans="1:22">
      <c r="A1318" t="s">
        <v>5197</v>
      </c>
      <c r="B1318" t="s">
        <v>5386</v>
      </c>
      <c r="C1318" t="s">
        <v>5041</v>
      </c>
      <c r="D1318" t="s">
        <v>5042</v>
      </c>
      <c r="E1318" t="s">
        <v>5043</v>
      </c>
      <c r="F1318" t="s">
        <v>27</v>
      </c>
      <c r="G1318">
        <v>1</v>
      </c>
      <c r="H1318" t="s">
        <v>5387</v>
      </c>
      <c r="I1318" t="s">
        <v>5388</v>
      </c>
      <c r="J1318" t="s">
        <v>5389</v>
      </c>
      <c r="K1318" t="s">
        <v>5388</v>
      </c>
      <c r="L1318" t="s">
        <v>4641</v>
      </c>
      <c r="M1318" s="1" t="str">
        <f t="shared" si="141"/>
        <v>08H207</v>
      </c>
      <c r="N1318" s="1" t="str">
        <f t="shared" si="142"/>
        <v>C/O</v>
      </c>
      <c r="O1318" s="1" t="str">
        <f t="shared" si="143"/>
        <v>Pivot Shaft</v>
      </c>
      <c r="P1318" s="1" t="str">
        <f t="shared" si="144"/>
        <v>AMA0</v>
      </c>
      <c r="Q1318" s="2" t="str">
        <f t="shared" si="145"/>
        <v>AMA0Pivot Shaft</v>
      </c>
      <c r="R1318" s="2" t="str">
        <f>New_Xref[[#This Row],[Serial Prefix]]&amp;IF(New_Xref[[#This Row],[Func Loc]]&lt;&gt;"",New_Xref[[#This Row],[Func Loc]],"NO MATCH")</f>
        <v>AMA0STRU .CHAS.PISH</v>
      </c>
      <c r="S1318" s="3" t="str">
        <f t="shared" si="140"/>
        <v>AMA010R9168Pivot Shaft</v>
      </c>
      <c r="T1318" s="3" t="s">
        <v>4642</v>
      </c>
      <c r="U1318" s="3" t="s">
        <v>34</v>
      </c>
      <c r="V1318" t="str">
        <f t="shared" si="146"/>
        <v>415300</v>
      </c>
    </row>
    <row r="1319" spans="1:22">
      <c r="A1319" t="s">
        <v>5197</v>
      </c>
      <c r="B1319" t="s">
        <v>5242</v>
      </c>
      <c r="C1319" t="s">
        <v>5041</v>
      </c>
      <c r="D1319" t="s">
        <v>5042</v>
      </c>
      <c r="E1319" t="s">
        <v>5043</v>
      </c>
      <c r="F1319" t="s">
        <v>27</v>
      </c>
      <c r="G1319">
        <v>1</v>
      </c>
      <c r="H1319" t="s">
        <v>5390</v>
      </c>
      <c r="I1319" t="s">
        <v>5391</v>
      </c>
      <c r="J1319" t="s">
        <v>5392</v>
      </c>
      <c r="K1319" t="s">
        <v>5391</v>
      </c>
      <c r="L1319" t="s">
        <v>4641</v>
      </c>
      <c r="M1319" s="1" t="str">
        <f t="shared" si="141"/>
        <v>08D4</v>
      </c>
      <c r="N1319" s="1" t="str">
        <f t="shared" si="142"/>
        <v>C/O</v>
      </c>
      <c r="O1319" s="1" t="str">
        <f t="shared" si="143"/>
        <v>Pivot Shaft</v>
      </c>
      <c r="P1319" s="1" t="str">
        <f t="shared" si="144"/>
        <v>GEB0</v>
      </c>
      <c r="Q1319" s="2" t="str">
        <f t="shared" si="145"/>
        <v>GEB0Pivot Shaft</v>
      </c>
      <c r="R1319" s="2" t="str">
        <f>New_Xref[[#This Row],[Serial Prefix]]&amp;IF(New_Xref[[#This Row],[Func Loc]]&lt;&gt;"",New_Xref[[#This Row],[Func Loc]],"NO MATCH")</f>
        <v>GEB0STRU .CHAS.PISH</v>
      </c>
      <c r="S1319" s="3" t="str">
        <f t="shared" si="140"/>
        <v>GEB010R9168Pivot Shaft</v>
      </c>
      <c r="T1319" s="3" t="s">
        <v>4642</v>
      </c>
      <c r="U1319" s="3" t="s">
        <v>34</v>
      </c>
      <c r="V1319" t="str">
        <f t="shared" si="146"/>
        <v>415300</v>
      </c>
    </row>
    <row r="1320" spans="1:22">
      <c r="A1320" t="s">
        <v>5197</v>
      </c>
      <c r="B1320" t="s">
        <v>5230</v>
      </c>
      <c r="C1320" t="s">
        <v>614</v>
      </c>
      <c r="D1320" t="s">
        <v>615</v>
      </c>
      <c r="E1320" t="s">
        <v>616</v>
      </c>
      <c r="F1320" t="s">
        <v>27</v>
      </c>
      <c r="G1320">
        <v>1</v>
      </c>
      <c r="H1320" t="s">
        <v>5393</v>
      </c>
      <c r="I1320" t="s">
        <v>5394</v>
      </c>
      <c r="J1320" t="s">
        <v>5395</v>
      </c>
      <c r="K1320" t="s">
        <v>5394</v>
      </c>
      <c r="L1320" t="s">
        <v>2453</v>
      </c>
      <c r="M1320" s="1" t="str">
        <f t="shared" si="141"/>
        <v>08D06</v>
      </c>
      <c r="N1320" s="1" t="str">
        <f t="shared" si="142"/>
        <v>C/O</v>
      </c>
      <c r="O1320" s="1" t="str">
        <f t="shared" si="143"/>
        <v>Main Hydraulic Pump</v>
      </c>
      <c r="P1320" s="1" t="str">
        <f t="shared" si="144"/>
        <v>AMA0</v>
      </c>
      <c r="Q1320" s="2" t="str">
        <f t="shared" si="145"/>
        <v>AMA0Main Hydraulic Pump</v>
      </c>
      <c r="R1320" s="2" t="str">
        <f>New_Xref[[#This Row],[Serial Prefix]]&amp;IF(New_Xref[[#This Row],[Func Loc]]&lt;&gt;"",New_Xref[[#This Row],[Func Loc]],"NO MATCH")</f>
        <v>AMA0MYHD .PUMP.HP01</v>
      </c>
      <c r="S1320" s="3" t="str">
        <f t="shared" si="140"/>
        <v>AMA010R7974Main Hydraulic Pump</v>
      </c>
      <c r="T1320" s="3" t="s">
        <v>503</v>
      </c>
      <c r="U1320" s="3" t="s">
        <v>34</v>
      </c>
      <c r="V1320" t="str">
        <f t="shared" si="146"/>
        <v>507300</v>
      </c>
    </row>
    <row r="1321" spans="1:22">
      <c r="A1321" t="s">
        <v>5197</v>
      </c>
      <c r="B1321" t="s">
        <v>5242</v>
      </c>
      <c r="C1321" t="s">
        <v>614</v>
      </c>
      <c r="D1321" t="s">
        <v>615</v>
      </c>
      <c r="E1321" t="s">
        <v>616</v>
      </c>
      <c r="F1321" t="s">
        <v>27</v>
      </c>
      <c r="G1321">
        <v>1</v>
      </c>
      <c r="H1321" t="s">
        <v>5396</v>
      </c>
      <c r="I1321" t="s">
        <v>5397</v>
      </c>
      <c r="J1321" t="s">
        <v>5398</v>
      </c>
      <c r="K1321" t="s">
        <v>5397</v>
      </c>
      <c r="L1321" t="s">
        <v>2453</v>
      </c>
      <c r="M1321" s="1" t="str">
        <f t="shared" si="141"/>
        <v>08D4</v>
      </c>
      <c r="N1321" s="1" t="str">
        <f t="shared" si="142"/>
        <v>C/O</v>
      </c>
      <c r="O1321" s="1" t="str">
        <f t="shared" si="143"/>
        <v>Main Hydraulic Pump</v>
      </c>
      <c r="P1321" s="1" t="str">
        <f t="shared" si="144"/>
        <v>GEB0</v>
      </c>
      <c r="Q1321" s="2" t="str">
        <f t="shared" si="145"/>
        <v>GEB0Main Hydraulic Pump</v>
      </c>
      <c r="R1321" s="2" t="str">
        <f>New_Xref[[#This Row],[Serial Prefix]]&amp;IF(New_Xref[[#This Row],[Func Loc]]&lt;&gt;"",New_Xref[[#This Row],[Func Loc]],"NO MATCH")</f>
        <v>GEB0MYHD .PUMP.HP01</v>
      </c>
      <c r="S1321" s="3" t="str">
        <f t="shared" si="140"/>
        <v>GEB010R7974Main Hydraulic Pump</v>
      </c>
      <c r="T1321" s="3" t="s">
        <v>503</v>
      </c>
      <c r="U1321" s="3" t="s">
        <v>34</v>
      </c>
      <c r="V1321" t="str">
        <f t="shared" si="146"/>
        <v>507300</v>
      </c>
    </row>
    <row r="1322" spans="1:22">
      <c r="A1322" t="s">
        <v>5197</v>
      </c>
      <c r="B1322" t="s">
        <v>5225</v>
      </c>
      <c r="C1322" t="s">
        <v>614</v>
      </c>
      <c r="D1322" t="s">
        <v>615</v>
      </c>
      <c r="E1322" t="s">
        <v>616</v>
      </c>
      <c r="F1322" t="s">
        <v>27</v>
      </c>
      <c r="G1322">
        <v>1</v>
      </c>
      <c r="H1322" t="s">
        <v>5399</v>
      </c>
      <c r="I1322" t="s">
        <v>5400</v>
      </c>
      <c r="J1322" t="s">
        <v>5401</v>
      </c>
      <c r="K1322" t="s">
        <v>5400</v>
      </c>
      <c r="L1322" t="s">
        <v>2453</v>
      </c>
      <c r="M1322" s="1" t="str">
        <f t="shared" si="141"/>
        <v>08R231</v>
      </c>
      <c r="N1322" s="1" t="str">
        <f t="shared" si="142"/>
        <v>C/O</v>
      </c>
      <c r="O1322" s="1" t="str">
        <f t="shared" si="143"/>
        <v>Main Hydraulic Pump</v>
      </c>
      <c r="P1322" s="1" t="str">
        <f t="shared" si="144"/>
        <v>JEL0</v>
      </c>
      <c r="Q1322" s="2" t="str">
        <f t="shared" si="145"/>
        <v>JEL0Main Hydraulic Pump</v>
      </c>
      <c r="R1322" s="2" t="str">
        <f>New_Xref[[#This Row],[Serial Prefix]]&amp;IF(New_Xref[[#This Row],[Func Loc]]&lt;&gt;"",New_Xref[[#This Row],[Func Loc]],"NO MATCH")</f>
        <v>JEL0MYHD .PUMP.HP01</v>
      </c>
      <c r="S1322" s="3" t="str">
        <f t="shared" si="140"/>
        <v>JEL010R7974Main Hydraulic Pump</v>
      </c>
      <c r="T1322" s="3" t="s">
        <v>503</v>
      </c>
      <c r="U1322" s="3" t="s">
        <v>34</v>
      </c>
      <c r="V1322" t="str">
        <f t="shared" si="146"/>
        <v>507300</v>
      </c>
    </row>
    <row r="1323" spans="1:22">
      <c r="A1323" t="s">
        <v>5197</v>
      </c>
      <c r="B1323" t="s">
        <v>5230</v>
      </c>
      <c r="H1323" t="s">
        <v>5402</v>
      </c>
      <c r="I1323" t="s">
        <v>5403</v>
      </c>
      <c r="J1323" t="s">
        <v>5404</v>
      </c>
      <c r="K1323" t="s">
        <v>5403</v>
      </c>
      <c r="L1323" t="s">
        <v>375</v>
      </c>
      <c r="M1323" s="1" t="str">
        <f t="shared" si="141"/>
        <v>08D06</v>
      </c>
      <c r="N1323" s="1" t="str">
        <f t="shared" si="142"/>
        <v>C/O</v>
      </c>
      <c r="O1323" s="1" t="str">
        <f t="shared" si="143"/>
        <v>Blade Tilt Cylinder LH</v>
      </c>
      <c r="P1323" s="1" t="str">
        <f t="shared" si="144"/>
        <v>AMA0</v>
      </c>
      <c r="Q1323" s="2" t="str">
        <f t="shared" si="145"/>
        <v>AMA0Blade Tilt Cylinder LH</v>
      </c>
      <c r="R1323" s="2" t="str">
        <f>New_Xref[[#This Row],[Serial Prefix]]&amp;IF(New_Xref[[#This Row],[Func Loc]]&lt;&gt;"",New_Xref[[#This Row],[Func Loc]],"NO MATCH")</f>
        <v>AMA0MYHD .CYLI.BLTL</v>
      </c>
      <c r="S1323" s="3" t="str">
        <f t="shared" si="140"/>
        <v>AMA0Blade Tilt Cylinder LH</v>
      </c>
      <c r="T1323" s="3" t="s">
        <v>638</v>
      </c>
      <c r="U1323" s="3" t="s">
        <v>108</v>
      </c>
      <c r="V1323" t="str">
        <f t="shared" si="146"/>
        <v>5104LT</v>
      </c>
    </row>
    <row r="1324" spans="1:22">
      <c r="A1324" t="s">
        <v>5197</v>
      </c>
      <c r="B1324" t="s">
        <v>5230</v>
      </c>
      <c r="H1324" t="s">
        <v>5405</v>
      </c>
      <c r="I1324" t="s">
        <v>5406</v>
      </c>
      <c r="J1324" t="s">
        <v>5407</v>
      </c>
      <c r="K1324" t="s">
        <v>5406</v>
      </c>
      <c r="L1324" t="s">
        <v>378</v>
      </c>
      <c r="M1324" s="1" t="str">
        <f t="shared" si="141"/>
        <v>08D06</v>
      </c>
      <c r="N1324" s="1" t="str">
        <f t="shared" si="142"/>
        <v>C/O</v>
      </c>
      <c r="O1324" s="1" t="str">
        <f t="shared" si="143"/>
        <v>Blade Tilt Cylinder RH</v>
      </c>
      <c r="P1324" s="1" t="str">
        <f t="shared" si="144"/>
        <v>AMA0</v>
      </c>
      <c r="Q1324" s="2" t="str">
        <f t="shared" si="145"/>
        <v>AMA0Blade Tilt Cylinder RH</v>
      </c>
      <c r="R1324" s="2" t="str">
        <f>New_Xref[[#This Row],[Serial Prefix]]&amp;IF(New_Xref[[#This Row],[Func Loc]]&lt;&gt;"",New_Xref[[#This Row],[Func Loc]],"NO MATCH")</f>
        <v>AMA0MYHD .CYLI.BLTR</v>
      </c>
      <c r="S1324" s="3" t="str">
        <f t="shared" si="140"/>
        <v>AMA0Blade Tilt Cylinder RH</v>
      </c>
      <c r="T1324" s="3" t="s">
        <v>638</v>
      </c>
      <c r="U1324" s="3" t="s">
        <v>115</v>
      </c>
      <c r="V1324" t="str">
        <f t="shared" si="146"/>
        <v>5104RI</v>
      </c>
    </row>
    <row r="1325" spans="1:22">
      <c r="A1325" t="s">
        <v>5197</v>
      </c>
      <c r="B1325" t="s">
        <v>5242</v>
      </c>
      <c r="H1325" t="s">
        <v>5408</v>
      </c>
      <c r="I1325" t="s">
        <v>5409</v>
      </c>
      <c r="J1325" t="s">
        <v>5410</v>
      </c>
      <c r="K1325" t="s">
        <v>5409</v>
      </c>
      <c r="L1325" t="s">
        <v>375</v>
      </c>
      <c r="M1325" s="1" t="str">
        <f t="shared" si="141"/>
        <v>08D4</v>
      </c>
      <c r="N1325" s="1" t="str">
        <f t="shared" si="142"/>
        <v>C/O</v>
      </c>
      <c r="O1325" s="1" t="str">
        <f t="shared" si="143"/>
        <v>Blade Tilt Cylinder LH</v>
      </c>
      <c r="P1325" s="1" t="str">
        <f t="shared" si="144"/>
        <v>GEB0</v>
      </c>
      <c r="Q1325" s="2" t="str">
        <f t="shared" si="145"/>
        <v>GEB0Blade Tilt Cylinder LH</v>
      </c>
      <c r="R1325" s="2" t="str">
        <f>New_Xref[[#This Row],[Serial Prefix]]&amp;IF(New_Xref[[#This Row],[Func Loc]]&lt;&gt;"",New_Xref[[#This Row],[Func Loc]],"NO MATCH")</f>
        <v>GEB0MYHD .CYLI.BLTL</v>
      </c>
      <c r="S1325" s="3" t="str">
        <f t="shared" si="140"/>
        <v>GEB0Blade Tilt Cylinder LH</v>
      </c>
      <c r="T1325" s="3" t="s">
        <v>638</v>
      </c>
      <c r="U1325" s="3" t="s">
        <v>108</v>
      </c>
      <c r="V1325" t="str">
        <f t="shared" si="146"/>
        <v>5104LT</v>
      </c>
    </row>
    <row r="1326" spans="1:22">
      <c r="A1326" t="s">
        <v>5197</v>
      </c>
      <c r="B1326" t="s">
        <v>5242</v>
      </c>
      <c r="H1326" t="s">
        <v>5411</v>
      </c>
      <c r="I1326" t="s">
        <v>5412</v>
      </c>
      <c r="J1326" t="s">
        <v>5413</v>
      </c>
      <c r="K1326" t="s">
        <v>5412</v>
      </c>
      <c r="L1326" t="s">
        <v>378</v>
      </c>
      <c r="M1326" s="1" t="str">
        <f t="shared" si="141"/>
        <v>08D4</v>
      </c>
      <c r="N1326" s="1" t="str">
        <f t="shared" si="142"/>
        <v>C/O</v>
      </c>
      <c r="O1326" s="1" t="str">
        <f t="shared" si="143"/>
        <v>Blade Tilt Cylinder RH</v>
      </c>
      <c r="P1326" s="1" t="str">
        <f t="shared" si="144"/>
        <v>GEB0</v>
      </c>
      <c r="Q1326" s="2" t="str">
        <f t="shared" si="145"/>
        <v>GEB0Blade Tilt Cylinder RH</v>
      </c>
      <c r="R1326" s="2" t="str">
        <f>New_Xref[[#This Row],[Serial Prefix]]&amp;IF(New_Xref[[#This Row],[Func Loc]]&lt;&gt;"",New_Xref[[#This Row],[Func Loc]],"NO MATCH")</f>
        <v>GEB0MYHD .CYLI.BLTR</v>
      </c>
      <c r="S1326" s="3" t="str">
        <f t="shared" si="140"/>
        <v>GEB0Blade Tilt Cylinder RH</v>
      </c>
      <c r="T1326" s="3" t="s">
        <v>638</v>
      </c>
      <c r="U1326" s="3" t="s">
        <v>115</v>
      </c>
      <c r="V1326" t="str">
        <f t="shared" si="146"/>
        <v>5104RI</v>
      </c>
    </row>
    <row r="1327" spans="1:22">
      <c r="A1327" t="s">
        <v>5197</v>
      </c>
      <c r="B1327" t="s">
        <v>5225</v>
      </c>
      <c r="H1327" t="s">
        <v>5414</v>
      </c>
      <c r="I1327" t="s">
        <v>5415</v>
      </c>
      <c r="J1327" t="s">
        <v>5416</v>
      </c>
      <c r="K1327" t="s">
        <v>5417</v>
      </c>
      <c r="L1327" t="s">
        <v>375</v>
      </c>
      <c r="M1327" s="1" t="str">
        <f t="shared" si="141"/>
        <v>08R231</v>
      </c>
      <c r="N1327" s="1" t="str">
        <f t="shared" si="142"/>
        <v>C/O</v>
      </c>
      <c r="O1327" s="1" t="str">
        <f t="shared" si="143"/>
        <v>Blade Tilt Cylinder LH</v>
      </c>
      <c r="P1327" s="1" t="str">
        <f t="shared" si="144"/>
        <v>JEL0</v>
      </c>
      <c r="Q1327" s="2" t="str">
        <f t="shared" si="145"/>
        <v>JEL0Blade Tilt Cylinder LH</v>
      </c>
      <c r="R1327" s="2" t="str">
        <f>New_Xref[[#This Row],[Serial Prefix]]&amp;IF(New_Xref[[#This Row],[Func Loc]]&lt;&gt;"",New_Xref[[#This Row],[Func Loc]],"NO MATCH")</f>
        <v>JEL0MYHD .CYLI.BLTL</v>
      </c>
      <c r="S1327" s="3" t="str">
        <f t="shared" si="140"/>
        <v>JEL0Blade Tilt Cylinder LH</v>
      </c>
      <c r="T1327" t="s">
        <v>638</v>
      </c>
      <c r="U1327" t="s">
        <v>108</v>
      </c>
      <c r="V1327" t="str">
        <f t="shared" si="146"/>
        <v>5104LT</v>
      </c>
    </row>
    <row r="1328" spans="1:22">
      <c r="A1328" t="s">
        <v>5197</v>
      </c>
      <c r="B1328" t="s">
        <v>5225</v>
      </c>
      <c r="H1328" t="s">
        <v>5418</v>
      </c>
      <c r="I1328" t="s">
        <v>5419</v>
      </c>
      <c r="J1328" t="s">
        <v>5420</v>
      </c>
      <c r="K1328" t="s">
        <v>5421</v>
      </c>
      <c r="L1328" t="s">
        <v>378</v>
      </c>
      <c r="M1328" s="1" t="str">
        <f t="shared" si="141"/>
        <v>08R231</v>
      </c>
      <c r="N1328" s="1" t="str">
        <f t="shared" si="142"/>
        <v>C/O</v>
      </c>
      <c r="O1328" s="1" t="str">
        <f t="shared" si="143"/>
        <v>Blade Tilt Cylinder RH</v>
      </c>
      <c r="P1328" s="1" t="str">
        <f t="shared" si="144"/>
        <v>JEL0</v>
      </c>
      <c r="Q1328" s="2" t="str">
        <f t="shared" si="145"/>
        <v>JEL0Blade Tilt Cylinder RH</v>
      </c>
      <c r="R1328" s="2" t="str">
        <f>New_Xref[[#This Row],[Serial Prefix]]&amp;IF(New_Xref[[#This Row],[Func Loc]]&lt;&gt;"",New_Xref[[#This Row],[Func Loc]],"NO MATCH")</f>
        <v>JEL0MYHD .CYLI.BLTR</v>
      </c>
      <c r="S1328" s="3" t="str">
        <f t="shared" si="140"/>
        <v>JEL0Blade Tilt Cylinder RH</v>
      </c>
      <c r="T1328" t="s">
        <v>638</v>
      </c>
      <c r="U1328" t="s">
        <v>115</v>
      </c>
      <c r="V1328" t="str">
        <f t="shared" si="146"/>
        <v>5104RI</v>
      </c>
    </row>
    <row r="1329" spans="1:22">
      <c r="A1329" t="s">
        <v>5197</v>
      </c>
      <c r="B1329" t="s">
        <v>5422</v>
      </c>
      <c r="C1329" t="s">
        <v>5423</v>
      </c>
      <c r="D1329" t="s">
        <v>5424</v>
      </c>
      <c r="E1329" t="s">
        <v>5425</v>
      </c>
      <c r="F1329" t="s">
        <v>27</v>
      </c>
      <c r="G1329">
        <v>1</v>
      </c>
      <c r="H1329" t="s">
        <v>5426</v>
      </c>
      <c r="I1329" t="s">
        <v>5427</v>
      </c>
      <c r="J1329" t="s">
        <v>5428</v>
      </c>
      <c r="K1329" t="s">
        <v>5427</v>
      </c>
      <c r="L1329" t="s">
        <v>129</v>
      </c>
      <c r="M1329" s="1" t="str">
        <f t="shared" si="141"/>
        <v>08R161</v>
      </c>
      <c r="N1329" s="1" t="str">
        <f t="shared" si="142"/>
        <v>C/O</v>
      </c>
      <c r="O1329" s="1" t="str">
        <f t="shared" si="143"/>
        <v>Blade Lift Cylinder LH</v>
      </c>
      <c r="P1329" s="1" t="str">
        <f t="shared" si="144"/>
        <v>AMA0</v>
      </c>
      <c r="Q1329" s="2" t="str">
        <f t="shared" si="145"/>
        <v>AMA0Blade Lift Cylinder LH</v>
      </c>
      <c r="R1329" s="2" t="str">
        <f>New_Xref[[#This Row],[Serial Prefix]]&amp;IF(New_Xref[[#This Row],[Func Loc]]&lt;&gt;"",New_Xref[[#This Row],[Func Loc]],"NO MATCH")</f>
        <v>AMA0MYHD .CYLI.BLLL</v>
      </c>
      <c r="S1329" s="3" t="str">
        <f t="shared" si="140"/>
        <v>AMA02618004XBlade Lift Cylinder LH</v>
      </c>
      <c r="T1329" s="3" t="s">
        <v>4783</v>
      </c>
      <c r="U1329" s="3" t="s">
        <v>108</v>
      </c>
      <c r="V1329" t="str">
        <f t="shared" si="146"/>
        <v>5113LT</v>
      </c>
    </row>
    <row r="1330" spans="1:22">
      <c r="A1330" t="s">
        <v>5197</v>
      </c>
      <c r="B1330" t="s">
        <v>5422</v>
      </c>
      <c r="C1330" t="s">
        <v>5423</v>
      </c>
      <c r="D1330" t="s">
        <v>5424</v>
      </c>
      <c r="E1330" t="s">
        <v>5425</v>
      </c>
      <c r="F1330" t="s">
        <v>27</v>
      </c>
      <c r="G1330">
        <v>1</v>
      </c>
      <c r="H1330" t="s">
        <v>5426</v>
      </c>
      <c r="I1330" t="s">
        <v>5429</v>
      </c>
      <c r="J1330" t="s">
        <v>5430</v>
      </c>
      <c r="K1330" t="s">
        <v>5429</v>
      </c>
      <c r="L1330" t="s">
        <v>133</v>
      </c>
      <c r="M1330" s="1" t="str">
        <f t="shared" si="141"/>
        <v>08R161</v>
      </c>
      <c r="N1330" s="1" t="str">
        <f t="shared" si="142"/>
        <v>C/O</v>
      </c>
      <c r="O1330" s="1" t="str">
        <f t="shared" si="143"/>
        <v>Blade Lift Cylinder RH</v>
      </c>
      <c r="P1330" s="1" t="str">
        <f t="shared" si="144"/>
        <v>AMA0</v>
      </c>
      <c r="Q1330" s="2" t="str">
        <f t="shared" si="145"/>
        <v>AMA0Blade Lift Cylinder RH</v>
      </c>
      <c r="R1330" s="2" t="str">
        <f>New_Xref[[#This Row],[Serial Prefix]]&amp;IF(New_Xref[[#This Row],[Func Loc]]&lt;&gt;"",New_Xref[[#This Row],[Func Loc]],"NO MATCH")</f>
        <v>AMA0MYHD .CYLI.BLLR</v>
      </c>
      <c r="S1330" s="3" t="str">
        <f t="shared" si="140"/>
        <v>AMA02618004XBlade Lift Cylinder RH</v>
      </c>
      <c r="T1330" s="3" t="s">
        <v>4783</v>
      </c>
      <c r="U1330" s="3" t="s">
        <v>115</v>
      </c>
      <c r="V1330" t="str">
        <f t="shared" si="146"/>
        <v>5113RI</v>
      </c>
    </row>
    <row r="1331" spans="1:22">
      <c r="A1331" t="s">
        <v>5197</v>
      </c>
      <c r="B1331" t="s">
        <v>5218</v>
      </c>
      <c r="H1331" t="s">
        <v>5431</v>
      </c>
      <c r="I1331" t="s">
        <v>5432</v>
      </c>
      <c r="J1331" t="s">
        <v>5433</v>
      </c>
      <c r="K1331" t="s">
        <v>5432</v>
      </c>
      <c r="L1331" t="s">
        <v>129</v>
      </c>
      <c r="M1331" s="1" t="str">
        <f t="shared" si="141"/>
        <v>08H115</v>
      </c>
      <c r="N1331" s="1" t="str">
        <f t="shared" si="142"/>
        <v>C/O</v>
      </c>
      <c r="O1331" s="1" t="str">
        <f t="shared" si="143"/>
        <v>Blade Lift Cylinder LH</v>
      </c>
      <c r="P1331" s="1" t="str">
        <f t="shared" si="144"/>
        <v>GEB0</v>
      </c>
      <c r="Q1331" s="2" t="str">
        <f t="shared" si="145"/>
        <v>GEB0Blade Lift Cylinder LH</v>
      </c>
      <c r="R1331" s="2" t="str">
        <f>New_Xref[[#This Row],[Serial Prefix]]&amp;IF(New_Xref[[#This Row],[Func Loc]]&lt;&gt;"",New_Xref[[#This Row],[Func Loc]],"NO MATCH")</f>
        <v>GEB0MYHD .CYLI.BLLL</v>
      </c>
      <c r="S1331" s="3" t="str">
        <f t="shared" si="140"/>
        <v>GEB0Blade Lift Cylinder LH</v>
      </c>
      <c r="T1331" s="3" t="s">
        <v>4783</v>
      </c>
      <c r="U1331" s="3" t="s">
        <v>108</v>
      </c>
      <c r="V1331" t="str">
        <f t="shared" si="146"/>
        <v>5113LT</v>
      </c>
    </row>
    <row r="1332" spans="1:22">
      <c r="A1332" t="s">
        <v>5197</v>
      </c>
      <c r="B1332" t="s">
        <v>5218</v>
      </c>
      <c r="H1332" t="s">
        <v>5434</v>
      </c>
      <c r="I1332" t="s">
        <v>5435</v>
      </c>
      <c r="J1332" t="s">
        <v>5436</v>
      </c>
      <c r="K1332" t="s">
        <v>5435</v>
      </c>
      <c r="L1332" t="s">
        <v>133</v>
      </c>
      <c r="M1332" s="1" t="str">
        <f t="shared" si="141"/>
        <v>08H115</v>
      </c>
      <c r="N1332" s="1" t="str">
        <f t="shared" si="142"/>
        <v>C/O</v>
      </c>
      <c r="O1332" s="1" t="str">
        <f t="shared" si="143"/>
        <v>Blade Lift Cylinder RH</v>
      </c>
      <c r="P1332" s="1" t="str">
        <f t="shared" si="144"/>
        <v>GEB0</v>
      </c>
      <c r="Q1332" s="2" t="str">
        <f t="shared" si="145"/>
        <v>GEB0Blade Lift Cylinder RH</v>
      </c>
      <c r="R1332" s="2" t="str">
        <f>New_Xref[[#This Row],[Serial Prefix]]&amp;IF(New_Xref[[#This Row],[Func Loc]]&lt;&gt;"",New_Xref[[#This Row],[Func Loc]],"NO MATCH")</f>
        <v>GEB0MYHD .CYLI.BLLR</v>
      </c>
      <c r="S1332" s="3" t="str">
        <f t="shared" si="140"/>
        <v>GEB0Blade Lift Cylinder RH</v>
      </c>
      <c r="T1332" s="3" t="s">
        <v>4783</v>
      </c>
      <c r="U1332" s="3" t="s">
        <v>115</v>
      </c>
      <c r="V1332" t="str">
        <f t="shared" si="146"/>
        <v>5113RI</v>
      </c>
    </row>
    <row r="1333" spans="1:22">
      <c r="A1333" t="s">
        <v>5197</v>
      </c>
      <c r="B1333" t="s">
        <v>5230</v>
      </c>
      <c r="H1333" t="s">
        <v>5437</v>
      </c>
      <c r="I1333" t="s">
        <v>5438</v>
      </c>
      <c r="J1333" t="s">
        <v>5439</v>
      </c>
      <c r="K1333" t="s">
        <v>5438</v>
      </c>
      <c r="L1333" t="s">
        <v>2092</v>
      </c>
      <c r="M1333" s="1" t="str">
        <f t="shared" si="141"/>
        <v>08D06</v>
      </c>
      <c r="N1333" s="1" t="str">
        <f t="shared" si="142"/>
        <v>C/O</v>
      </c>
      <c r="O1333" s="1" t="str">
        <f t="shared" si="143"/>
        <v>Ripper Lift Cylinder LH</v>
      </c>
      <c r="P1333" s="1" t="str">
        <f t="shared" si="144"/>
        <v>AMA0</v>
      </c>
      <c r="Q1333" s="2" t="str">
        <f t="shared" si="145"/>
        <v>AMA0Ripper Lift Cylinder LH</v>
      </c>
      <c r="R1333" s="2" t="str">
        <f>New_Xref[[#This Row],[Serial Prefix]]&amp;IF(New_Xref[[#This Row],[Func Loc]]&lt;&gt;"",New_Xref[[#This Row],[Func Loc]],"NO MATCH")</f>
        <v>AMA0MYHD .CYLI.RILL</v>
      </c>
      <c r="S1333" s="3" t="str">
        <f t="shared" si="140"/>
        <v>AMA0Ripper Lift Cylinder LH</v>
      </c>
      <c r="T1333" s="3" t="s">
        <v>246</v>
      </c>
      <c r="U1333" s="3" t="s">
        <v>108</v>
      </c>
      <c r="V1333" t="str">
        <f t="shared" si="146"/>
        <v>5352LT</v>
      </c>
    </row>
    <row r="1334" spans="1:22">
      <c r="A1334" t="s">
        <v>5197</v>
      </c>
      <c r="B1334" t="s">
        <v>5440</v>
      </c>
      <c r="H1334" t="s">
        <v>5441</v>
      </c>
      <c r="I1334" t="s">
        <v>5442</v>
      </c>
      <c r="J1334" t="s">
        <v>5443</v>
      </c>
      <c r="K1334" t="s">
        <v>5442</v>
      </c>
      <c r="L1334" t="s">
        <v>1923</v>
      </c>
      <c r="M1334" s="1" t="str">
        <f t="shared" si="141"/>
        <v>08D08</v>
      </c>
      <c r="N1334" s="1" t="str">
        <f t="shared" si="142"/>
        <v>C/O</v>
      </c>
      <c r="O1334" s="1" t="str">
        <f t="shared" si="143"/>
        <v>Ripper Lift Cylinder RH</v>
      </c>
      <c r="P1334" s="1" t="str">
        <f t="shared" si="144"/>
        <v>AMA0</v>
      </c>
      <c r="Q1334" s="2" t="str">
        <f t="shared" si="145"/>
        <v>AMA0Ripper Lift Cylinder RH</v>
      </c>
      <c r="R1334" s="2" t="str">
        <f>New_Xref[[#This Row],[Serial Prefix]]&amp;IF(New_Xref[[#This Row],[Func Loc]]&lt;&gt;"",New_Xref[[#This Row],[Func Loc]],"NO MATCH")</f>
        <v>AMA0MYHD .CYLI.RILR</v>
      </c>
      <c r="S1334" s="3" t="str">
        <f t="shared" si="140"/>
        <v>AMA0Ripper Lift Cylinder RH</v>
      </c>
      <c r="T1334" s="3" t="s">
        <v>246</v>
      </c>
      <c r="U1334" s="3" t="s">
        <v>115</v>
      </c>
      <c r="V1334" t="str">
        <f t="shared" si="146"/>
        <v>5352RI</v>
      </c>
    </row>
    <row r="1335" spans="1:22">
      <c r="A1335" t="s">
        <v>5197</v>
      </c>
      <c r="B1335" t="s">
        <v>5218</v>
      </c>
      <c r="H1335" t="s">
        <v>5444</v>
      </c>
      <c r="I1335" t="s">
        <v>5445</v>
      </c>
      <c r="J1335" t="s">
        <v>5446</v>
      </c>
      <c r="K1335" t="s">
        <v>5445</v>
      </c>
      <c r="L1335" t="s">
        <v>2092</v>
      </c>
      <c r="M1335" s="1" t="str">
        <f t="shared" si="141"/>
        <v>08H115</v>
      </c>
      <c r="N1335" s="1" t="str">
        <f t="shared" si="142"/>
        <v>C/O</v>
      </c>
      <c r="O1335" s="1" t="str">
        <f t="shared" si="143"/>
        <v>Ripper Lift Cylinder LH</v>
      </c>
      <c r="P1335" s="1" t="str">
        <f t="shared" si="144"/>
        <v>GEB0</v>
      </c>
      <c r="Q1335" s="2" t="str">
        <f t="shared" si="145"/>
        <v>GEB0Ripper Lift Cylinder LH</v>
      </c>
      <c r="R1335" s="2" t="str">
        <f>New_Xref[[#This Row],[Serial Prefix]]&amp;IF(New_Xref[[#This Row],[Func Loc]]&lt;&gt;"",New_Xref[[#This Row],[Func Loc]],"NO MATCH")</f>
        <v>GEB0MYHD .CYLI.RILL</v>
      </c>
      <c r="S1335" s="3" t="str">
        <f t="shared" si="140"/>
        <v>GEB0Ripper Lift Cylinder LH</v>
      </c>
      <c r="T1335" s="3" t="s">
        <v>246</v>
      </c>
      <c r="U1335" s="3" t="s">
        <v>108</v>
      </c>
      <c r="V1335" t="str">
        <f t="shared" si="146"/>
        <v>5352LT</v>
      </c>
    </row>
    <row r="1336" spans="1:22">
      <c r="A1336" t="s">
        <v>5197</v>
      </c>
      <c r="B1336" t="s">
        <v>5447</v>
      </c>
      <c r="H1336" t="s">
        <v>5448</v>
      </c>
      <c r="I1336" t="s">
        <v>5449</v>
      </c>
      <c r="J1336" t="s">
        <v>5450</v>
      </c>
      <c r="K1336" t="s">
        <v>5449</v>
      </c>
      <c r="L1336" t="s">
        <v>1923</v>
      </c>
      <c r="M1336" s="1" t="str">
        <f t="shared" si="141"/>
        <v>08H114</v>
      </c>
      <c r="N1336" s="1" t="str">
        <f t="shared" si="142"/>
        <v>C/O</v>
      </c>
      <c r="O1336" s="1" t="str">
        <f t="shared" si="143"/>
        <v>Ripper Lift Cylinder RH</v>
      </c>
      <c r="P1336" s="1" t="str">
        <f t="shared" si="144"/>
        <v>GEB0</v>
      </c>
      <c r="Q1336" s="2" t="str">
        <f t="shared" si="145"/>
        <v>GEB0Ripper Lift Cylinder RH</v>
      </c>
      <c r="R1336" s="2" t="str">
        <f>New_Xref[[#This Row],[Serial Prefix]]&amp;IF(New_Xref[[#This Row],[Func Loc]]&lt;&gt;"",New_Xref[[#This Row],[Func Loc]],"NO MATCH")</f>
        <v>GEB0MYHD .CYLI.RILR</v>
      </c>
      <c r="S1336" s="3" t="str">
        <f t="shared" si="140"/>
        <v>GEB0Ripper Lift Cylinder RH</v>
      </c>
      <c r="T1336" s="3" t="s">
        <v>246</v>
      </c>
      <c r="U1336" s="3" t="s">
        <v>115</v>
      </c>
      <c r="V1336" t="str">
        <f t="shared" si="146"/>
        <v>5352RI</v>
      </c>
    </row>
    <row r="1337" spans="1:22">
      <c r="A1337" t="s">
        <v>5197</v>
      </c>
      <c r="B1337" t="s">
        <v>5230</v>
      </c>
      <c r="H1337" t="s">
        <v>5451</v>
      </c>
      <c r="I1337" t="s">
        <v>5452</v>
      </c>
      <c r="J1337" t="s">
        <v>5453</v>
      </c>
      <c r="K1337" t="s">
        <v>5452</v>
      </c>
      <c r="L1337" t="s">
        <v>4684</v>
      </c>
      <c r="M1337" s="1" t="str">
        <f t="shared" si="141"/>
        <v>08D06</v>
      </c>
      <c r="N1337" s="1" t="str">
        <f t="shared" si="142"/>
        <v>C/O</v>
      </c>
      <c r="O1337" s="1" t="str">
        <f t="shared" si="143"/>
        <v>Ripper Tilt Cylinder LH</v>
      </c>
      <c r="P1337" s="1" t="str">
        <f t="shared" si="144"/>
        <v>AMA0</v>
      </c>
      <c r="Q1337" s="2" t="str">
        <f t="shared" si="145"/>
        <v>AMA0Ripper Tilt Cylinder LH</v>
      </c>
      <c r="R1337" s="2" t="str">
        <f>New_Xref[[#This Row],[Serial Prefix]]&amp;IF(New_Xref[[#This Row],[Func Loc]]&lt;&gt;"",New_Xref[[#This Row],[Func Loc]],"NO MATCH")</f>
        <v>AMA0MYHD .CYLI.RITL</v>
      </c>
      <c r="S1337" s="3" t="str">
        <f t="shared" si="140"/>
        <v>AMA0Ripper Tilt Cylinder LH</v>
      </c>
      <c r="T1337" s="3" t="s">
        <v>4685</v>
      </c>
      <c r="U1337" s="3" t="s">
        <v>108</v>
      </c>
      <c r="V1337" t="str">
        <f t="shared" si="146"/>
        <v>5356LT</v>
      </c>
    </row>
    <row r="1338" spans="1:22">
      <c r="A1338" t="s">
        <v>5197</v>
      </c>
      <c r="B1338" t="s">
        <v>5454</v>
      </c>
      <c r="H1338" t="s">
        <v>5455</v>
      </c>
      <c r="I1338" t="s">
        <v>5456</v>
      </c>
      <c r="J1338" t="s">
        <v>5457</v>
      </c>
      <c r="K1338" t="s">
        <v>5456</v>
      </c>
      <c r="L1338" t="s">
        <v>4688</v>
      </c>
      <c r="M1338" s="1" t="str">
        <f t="shared" si="141"/>
        <v>08D07</v>
      </c>
      <c r="N1338" s="1" t="str">
        <f t="shared" si="142"/>
        <v>C/O</v>
      </c>
      <c r="O1338" s="1" t="str">
        <f t="shared" si="143"/>
        <v>Ripper Tilt Cylinder RH</v>
      </c>
      <c r="P1338" s="1" t="str">
        <f t="shared" si="144"/>
        <v>AMA0</v>
      </c>
      <c r="Q1338" s="2" t="str">
        <f t="shared" si="145"/>
        <v>AMA0Ripper Tilt Cylinder RH</v>
      </c>
      <c r="R1338" s="2" t="str">
        <f>New_Xref[[#This Row],[Serial Prefix]]&amp;IF(New_Xref[[#This Row],[Func Loc]]&lt;&gt;"",New_Xref[[#This Row],[Func Loc]],"NO MATCH")</f>
        <v>AMA0MYHD .CYLI.RITR</v>
      </c>
      <c r="S1338" s="3" t="str">
        <f t="shared" si="140"/>
        <v>AMA0Ripper Tilt Cylinder RH</v>
      </c>
      <c r="T1338" s="3" t="s">
        <v>4685</v>
      </c>
      <c r="U1338" s="3" t="s">
        <v>115</v>
      </c>
      <c r="V1338" t="str">
        <f t="shared" si="146"/>
        <v>5356RI</v>
      </c>
    </row>
    <row r="1339" spans="1:22">
      <c r="A1339" t="s">
        <v>5197</v>
      </c>
      <c r="B1339" t="s">
        <v>5458</v>
      </c>
      <c r="H1339" t="s">
        <v>5459</v>
      </c>
      <c r="I1339" t="s">
        <v>5460</v>
      </c>
      <c r="J1339" t="s">
        <v>5461</v>
      </c>
      <c r="K1339" t="s">
        <v>5460</v>
      </c>
      <c r="L1339" t="s">
        <v>4684</v>
      </c>
      <c r="M1339" s="1" t="str">
        <f t="shared" si="141"/>
        <v>08R18</v>
      </c>
      <c r="N1339" s="1" t="str">
        <f t="shared" si="142"/>
        <v>C/O</v>
      </c>
      <c r="O1339" s="1" t="str">
        <f t="shared" si="143"/>
        <v>Ripper Tilt Cylinder LH</v>
      </c>
      <c r="P1339" s="1" t="str">
        <f t="shared" si="144"/>
        <v>GEB0</v>
      </c>
      <c r="Q1339" s="2" t="str">
        <f t="shared" si="145"/>
        <v>GEB0Ripper Tilt Cylinder LH</v>
      </c>
      <c r="R1339" s="2" t="str">
        <f>New_Xref[[#This Row],[Serial Prefix]]&amp;IF(New_Xref[[#This Row],[Func Loc]]&lt;&gt;"",New_Xref[[#This Row],[Func Loc]],"NO MATCH")</f>
        <v>GEB0MYHD .CYLI.RITL</v>
      </c>
      <c r="S1339" s="3" t="str">
        <f t="shared" si="140"/>
        <v>GEB0Ripper Tilt Cylinder LH</v>
      </c>
      <c r="T1339" s="3" t="s">
        <v>4685</v>
      </c>
      <c r="U1339" s="3" t="s">
        <v>108</v>
      </c>
      <c r="V1339" t="str">
        <f t="shared" si="146"/>
        <v>5356LT</v>
      </c>
    </row>
    <row r="1340" spans="1:22">
      <c r="A1340" t="s">
        <v>5197</v>
      </c>
      <c r="B1340" t="s">
        <v>5458</v>
      </c>
      <c r="H1340" t="s">
        <v>5462</v>
      </c>
      <c r="I1340" t="s">
        <v>5463</v>
      </c>
      <c r="J1340" t="s">
        <v>5464</v>
      </c>
      <c r="K1340" t="s">
        <v>5463</v>
      </c>
      <c r="L1340" t="s">
        <v>4688</v>
      </c>
      <c r="M1340" s="1" t="str">
        <f t="shared" si="141"/>
        <v>08R18</v>
      </c>
      <c r="N1340" s="1" t="str">
        <f t="shared" si="142"/>
        <v>C/O</v>
      </c>
      <c r="O1340" s="1" t="str">
        <f t="shared" si="143"/>
        <v>Ripper Tilt Cylinder RH</v>
      </c>
      <c r="P1340" s="1" t="str">
        <f t="shared" si="144"/>
        <v>GEB0</v>
      </c>
      <c r="Q1340" s="2" t="str">
        <f t="shared" si="145"/>
        <v>GEB0Ripper Tilt Cylinder RH</v>
      </c>
      <c r="R1340" s="2" t="str">
        <f>New_Xref[[#This Row],[Serial Prefix]]&amp;IF(New_Xref[[#This Row],[Func Loc]]&lt;&gt;"",New_Xref[[#This Row],[Func Loc]],"NO MATCH")</f>
        <v>GEB0MYHD .CYLI.RITR</v>
      </c>
      <c r="S1340" s="3" t="str">
        <f t="shared" si="140"/>
        <v>GEB0Ripper Tilt Cylinder RH</v>
      </c>
      <c r="T1340" s="3" t="s">
        <v>4685</v>
      </c>
      <c r="U1340" s="3" t="s">
        <v>115</v>
      </c>
      <c r="V1340" t="str">
        <f t="shared" si="146"/>
        <v>5356RI</v>
      </c>
    </row>
    <row r="1341" spans="1:22">
      <c r="A1341" t="s">
        <v>5465</v>
      </c>
      <c r="B1341" t="s">
        <v>5466</v>
      </c>
      <c r="H1341" t="s">
        <v>5467</v>
      </c>
      <c r="I1341" t="s">
        <v>5468</v>
      </c>
      <c r="J1341" t="s">
        <v>5469</v>
      </c>
      <c r="K1341" t="s">
        <v>5470</v>
      </c>
      <c r="L1341" t="s">
        <v>32</v>
      </c>
      <c r="M1341" s="1" t="str">
        <f t="shared" si="141"/>
        <v>21B311</v>
      </c>
      <c r="N1341" s="1" t="str">
        <f t="shared" si="142"/>
        <v>C/O</v>
      </c>
      <c r="O1341" s="1" t="str">
        <f t="shared" si="143"/>
        <v>Engine</v>
      </c>
      <c r="P1341" s="1" t="str">
        <f t="shared" si="144"/>
        <v>DN70</v>
      </c>
      <c r="Q1341" s="2" t="str">
        <f t="shared" si="145"/>
        <v>DN70Engine</v>
      </c>
      <c r="R1341" s="2" t="str">
        <f>New_Xref[[#This Row],[Serial Prefix]]&amp;IF(New_Xref[[#This Row],[Func Loc]]&lt;&gt;"",New_Xref[[#This Row],[Func Loc]],"NO MATCH")</f>
        <v>DN70ENGD</v>
      </c>
      <c r="S1341" s="3" t="str">
        <f t="shared" si="140"/>
        <v>DN70Engine</v>
      </c>
      <c r="T1341" s="3" t="s">
        <v>33</v>
      </c>
      <c r="U1341" s="3" t="s">
        <v>34</v>
      </c>
      <c r="V1341" t="str">
        <f t="shared" si="146"/>
        <v>100000</v>
      </c>
    </row>
    <row r="1342" spans="1:22">
      <c r="A1342" t="s">
        <v>5465</v>
      </c>
      <c r="B1342" t="s">
        <v>5466</v>
      </c>
      <c r="H1342" t="s">
        <v>5471</v>
      </c>
      <c r="I1342" t="s">
        <v>5472</v>
      </c>
      <c r="J1342" t="s">
        <v>5473</v>
      </c>
      <c r="K1342" t="s">
        <v>5472</v>
      </c>
      <c r="L1342" t="s">
        <v>67</v>
      </c>
      <c r="M1342" s="1" t="str">
        <f t="shared" si="141"/>
        <v>21B311</v>
      </c>
      <c r="N1342" s="1" t="str">
        <f t="shared" si="142"/>
        <v>C/O</v>
      </c>
      <c r="O1342" s="1" t="str">
        <f t="shared" si="143"/>
        <v>Engine Radiator</v>
      </c>
      <c r="P1342" s="1" t="str">
        <f t="shared" si="144"/>
        <v>DN70</v>
      </c>
      <c r="Q1342" s="2" t="str">
        <f t="shared" si="145"/>
        <v>DN70Engine Radiator</v>
      </c>
      <c r="R1342" s="2" t="str">
        <f>New_Xref[[#This Row],[Serial Prefix]]&amp;IF(New_Xref[[#This Row],[Func Loc]]&lt;&gt;"",New_Xref[[#This Row],[Func Loc]],"NO MATCH")</f>
        <v>DN70ENGD .ENCS.RADI</v>
      </c>
      <c r="S1342" s="3" t="str">
        <f t="shared" si="140"/>
        <v>DN70Engine Radiator</v>
      </c>
      <c r="T1342" s="3" t="s">
        <v>68</v>
      </c>
      <c r="U1342" s="3" t="s">
        <v>89</v>
      </c>
      <c r="V1342" t="str">
        <f t="shared" si="146"/>
        <v>1353LF</v>
      </c>
    </row>
    <row r="1343" spans="1:22">
      <c r="A1343" t="s">
        <v>5465</v>
      </c>
      <c r="B1343" t="s">
        <v>5466</v>
      </c>
      <c r="H1343" t="s">
        <v>5474</v>
      </c>
      <c r="I1343" t="s">
        <v>5475</v>
      </c>
      <c r="J1343" t="s">
        <v>5476</v>
      </c>
      <c r="K1343" t="s">
        <v>5475</v>
      </c>
      <c r="L1343" t="s">
        <v>5477</v>
      </c>
      <c r="M1343" s="1" t="str">
        <f t="shared" si="141"/>
        <v>21B311</v>
      </c>
      <c r="N1343" s="1" t="str">
        <f t="shared" si="142"/>
        <v>C/O</v>
      </c>
      <c r="O1343" s="1" t="str">
        <f t="shared" si="143"/>
        <v>Hydraulic Oil Cooler</v>
      </c>
      <c r="P1343" s="1" t="str">
        <f t="shared" si="144"/>
        <v>DN70</v>
      </c>
      <c r="Q1343" s="2" t="str">
        <f t="shared" si="145"/>
        <v>DN70Hydraulic Oil Cooler</v>
      </c>
      <c r="R1343" s="2" t="str">
        <f>New_Xref[[#This Row],[Serial Prefix]]&amp;IF(New_Xref[[#This Row],[Func Loc]]&lt;&gt;"",New_Xref[[#This Row],[Func Loc]],"NO MATCH")</f>
        <v>DN70MYHD .OICO.OICO</v>
      </c>
      <c r="S1343" s="3" t="str">
        <f t="shared" si="140"/>
        <v>DN70Hydraulic Oil Cooler</v>
      </c>
      <c r="T1343" s="3" t="s">
        <v>845</v>
      </c>
      <c r="U1343" s="3" t="s">
        <v>89</v>
      </c>
      <c r="V1343" t="str">
        <f t="shared" si="146"/>
        <v>1374LF</v>
      </c>
    </row>
    <row r="1344" spans="1:22">
      <c r="A1344" t="s">
        <v>5465</v>
      </c>
      <c r="B1344" t="s">
        <v>5466</v>
      </c>
      <c r="C1344" t="s">
        <v>5478</v>
      </c>
      <c r="D1344" t="s">
        <v>5479</v>
      </c>
      <c r="E1344" t="s">
        <v>5480</v>
      </c>
      <c r="F1344" t="s">
        <v>27</v>
      </c>
      <c r="G1344">
        <v>1</v>
      </c>
      <c r="H1344" t="s">
        <v>5481</v>
      </c>
      <c r="I1344" t="s">
        <v>5482</v>
      </c>
      <c r="J1344" t="s">
        <v>5483</v>
      </c>
      <c r="K1344" t="s">
        <v>5482</v>
      </c>
      <c r="L1344" t="s">
        <v>5484</v>
      </c>
      <c r="M1344" s="1" t="str">
        <f t="shared" si="141"/>
        <v>21B311</v>
      </c>
      <c r="N1344" s="1" t="str">
        <f t="shared" si="142"/>
        <v>C/O</v>
      </c>
      <c r="O1344" s="1" t="str">
        <f t="shared" si="143"/>
        <v>Compressor Cooling Fan Motor</v>
      </c>
      <c r="P1344" s="1" t="str">
        <f t="shared" si="144"/>
        <v>DN70</v>
      </c>
      <c r="Q1344" s="2" t="str">
        <f t="shared" si="145"/>
        <v>DN70Compressor Cooling Fan Motor</v>
      </c>
      <c r="R1344" s="2" t="str">
        <f>New_Xref[[#This Row],[Serial Prefix]]&amp;IF(New_Xref[[#This Row],[Func Loc]]&lt;&gt;"",New_Xref[[#This Row],[Func Loc]],"NO MATCH")</f>
        <v>DN70MYHD .MOTO.CCFM</v>
      </c>
      <c r="S1344" s="3" t="str">
        <f t="shared" si="140"/>
        <v>DN7020R9617Compressor Cooling Fan Motor</v>
      </c>
      <c r="T1344" s="3" t="s">
        <v>188</v>
      </c>
      <c r="U1344" s="3" t="s">
        <v>115</v>
      </c>
      <c r="V1344" t="str">
        <f t="shared" si="146"/>
        <v>1386RI</v>
      </c>
    </row>
    <row r="1345" spans="1:22">
      <c r="A1345" t="s">
        <v>5465</v>
      </c>
      <c r="B1345" t="s">
        <v>5466</v>
      </c>
      <c r="C1345" t="s">
        <v>5478</v>
      </c>
      <c r="D1345" t="s">
        <v>5479</v>
      </c>
      <c r="E1345" t="s">
        <v>5480</v>
      </c>
      <c r="F1345" t="s">
        <v>27</v>
      </c>
      <c r="G1345">
        <v>1</v>
      </c>
      <c r="H1345" t="s">
        <v>5485</v>
      </c>
      <c r="I1345" t="s">
        <v>5486</v>
      </c>
      <c r="J1345" t="s">
        <v>5487</v>
      </c>
      <c r="K1345" t="s">
        <v>5486</v>
      </c>
      <c r="L1345" t="s">
        <v>187</v>
      </c>
      <c r="M1345" s="1" t="str">
        <f t="shared" si="141"/>
        <v>21B311</v>
      </c>
      <c r="N1345" s="1" t="str">
        <f t="shared" si="142"/>
        <v>C/O</v>
      </c>
      <c r="O1345" s="1" t="str">
        <f t="shared" si="143"/>
        <v>Engine Cooling Fan Motor</v>
      </c>
      <c r="P1345" s="1" t="str">
        <f t="shared" si="144"/>
        <v>DN70</v>
      </c>
      <c r="Q1345" s="2" t="str">
        <f t="shared" si="145"/>
        <v>DN70Engine Cooling Fan Motor</v>
      </c>
      <c r="R1345" s="2" t="str">
        <f>New_Xref[[#This Row],[Serial Prefix]]&amp;IF(New_Xref[[#This Row],[Func Loc]]&lt;&gt;"",New_Xref[[#This Row],[Func Loc]],"NO MATCH")</f>
        <v>DN70MYHD .MOTO.ECFM</v>
      </c>
      <c r="S1345" s="3" t="str">
        <f t="shared" si="140"/>
        <v>DN7020R9617Engine Cooling Fan Motor</v>
      </c>
      <c r="T1345" s="3" t="s">
        <v>188</v>
      </c>
      <c r="U1345" s="3" t="s">
        <v>108</v>
      </c>
      <c r="V1345" t="str">
        <f t="shared" si="146"/>
        <v>1386LT</v>
      </c>
    </row>
    <row r="1346" spans="1:22">
      <c r="A1346" t="s">
        <v>5465</v>
      </c>
      <c r="B1346" t="s">
        <v>5466</v>
      </c>
      <c r="C1346" t="s">
        <v>5488</v>
      </c>
      <c r="D1346" t="s">
        <v>5489</v>
      </c>
      <c r="E1346" t="s">
        <v>5490</v>
      </c>
      <c r="F1346" t="s">
        <v>27</v>
      </c>
      <c r="G1346">
        <v>1</v>
      </c>
      <c r="H1346" t="s">
        <v>5491</v>
      </c>
      <c r="I1346" t="s">
        <v>5492</v>
      </c>
      <c r="J1346" t="s">
        <v>5493</v>
      </c>
      <c r="K1346" t="s">
        <v>5492</v>
      </c>
      <c r="L1346" t="s">
        <v>5494</v>
      </c>
      <c r="M1346" s="1" t="str">
        <f t="shared" si="141"/>
        <v>21B311</v>
      </c>
      <c r="N1346" s="1" t="str">
        <f t="shared" si="142"/>
        <v>C/O</v>
      </c>
      <c r="O1346" s="1" t="str">
        <f t="shared" si="143"/>
        <v>Compressor Cooling Fan Pump</v>
      </c>
      <c r="P1346" s="1" t="str">
        <f t="shared" si="144"/>
        <v>DN70</v>
      </c>
      <c r="Q1346" s="2" t="str">
        <f t="shared" si="145"/>
        <v>DN70Compressor Cooling Fan Pump</v>
      </c>
      <c r="R1346" s="2" t="str">
        <f>New_Xref[[#This Row],[Serial Prefix]]&amp;IF(New_Xref[[#This Row],[Func Loc]]&lt;&gt;"",New_Xref[[#This Row],[Func Loc]],"NO MATCH")</f>
        <v>DN70MYHD .PUMP.HP05</v>
      </c>
      <c r="S1346" s="3" t="str">
        <f t="shared" si="140"/>
        <v>DN7020R9458Compressor Cooling Fan Pump</v>
      </c>
      <c r="T1346" s="3" t="s">
        <v>869</v>
      </c>
      <c r="U1346" s="3" t="s">
        <v>115</v>
      </c>
      <c r="V1346" t="str">
        <f t="shared" si="146"/>
        <v>1387RI</v>
      </c>
    </row>
    <row r="1347" spans="1:22">
      <c r="A1347" t="s">
        <v>5465</v>
      </c>
      <c r="B1347" t="s">
        <v>5466</v>
      </c>
      <c r="C1347" t="s">
        <v>5495</v>
      </c>
      <c r="D1347" t="s">
        <v>5496</v>
      </c>
      <c r="E1347" t="s">
        <v>5497</v>
      </c>
      <c r="F1347" t="s">
        <v>27</v>
      </c>
      <c r="G1347">
        <v>1</v>
      </c>
      <c r="H1347" t="s">
        <v>5491</v>
      </c>
      <c r="I1347" t="s">
        <v>5492</v>
      </c>
      <c r="J1347" t="s">
        <v>5493</v>
      </c>
      <c r="K1347" t="s">
        <v>5492</v>
      </c>
      <c r="L1347" t="s">
        <v>5494</v>
      </c>
      <c r="M1347" s="1" t="str">
        <f t="shared" si="141"/>
        <v>21B311</v>
      </c>
      <c r="N1347" s="1" t="str">
        <f t="shared" si="142"/>
        <v>C/O</v>
      </c>
      <c r="O1347" s="1" t="str">
        <f t="shared" si="143"/>
        <v>Compressor Cooling Fan Pump</v>
      </c>
      <c r="P1347" s="1" t="str">
        <f t="shared" si="144"/>
        <v>DN70</v>
      </c>
      <c r="Q1347" s="2" t="str">
        <f t="shared" si="145"/>
        <v>DN70Compressor Cooling Fan Pump</v>
      </c>
      <c r="R1347" s="2" t="str">
        <f>New_Xref[[#This Row],[Serial Prefix]]&amp;IF(New_Xref[[#This Row],[Func Loc]]&lt;&gt;"",New_Xref[[#This Row],[Func Loc]],"NO MATCH")</f>
        <v>DN70MYHD .PUMP.HP05</v>
      </c>
      <c r="S1347" s="3" t="str">
        <f t="shared" ref="S1347:S1410" si="147">P1347&amp;D1347&amp;O1347</f>
        <v>DN705060354Compressor Cooling Fan Pump</v>
      </c>
      <c r="T1347" s="3" t="s">
        <v>869</v>
      </c>
      <c r="U1347" s="3" t="s">
        <v>115</v>
      </c>
      <c r="V1347" t="str">
        <f t="shared" si="146"/>
        <v>1387RI</v>
      </c>
    </row>
    <row r="1348" spans="1:22">
      <c r="A1348" t="s">
        <v>5465</v>
      </c>
      <c r="B1348" t="s">
        <v>5466</v>
      </c>
      <c r="C1348" t="s">
        <v>5488</v>
      </c>
      <c r="D1348" t="s">
        <v>5489</v>
      </c>
      <c r="E1348" t="s">
        <v>5490</v>
      </c>
      <c r="F1348" t="s">
        <v>27</v>
      </c>
      <c r="G1348">
        <v>1</v>
      </c>
      <c r="H1348" t="s">
        <v>5498</v>
      </c>
      <c r="I1348" t="s">
        <v>5499</v>
      </c>
      <c r="J1348" t="s">
        <v>5500</v>
      </c>
      <c r="K1348" t="s">
        <v>5499</v>
      </c>
      <c r="L1348" t="s">
        <v>4014</v>
      </c>
      <c r="M1348" s="1" t="str">
        <f t="shared" ref="M1348:M1411" si="148">LEFT(K1348,FIND(" ",K1348,1)-1)</f>
        <v>21B311</v>
      </c>
      <c r="N1348" s="1" t="str">
        <f t="shared" ref="N1348:N1411" si="149">MID(K1348,LEN(M1348)+2,FIND(" ",K1348,LEN(M1348)+2)-LEN(M1348)-2)</f>
        <v>C/O</v>
      </c>
      <c r="O1348" s="1" t="str">
        <f t="shared" ref="O1348:O1411" si="150">MID(K1348,FIND(N1348,K1348,1)+LEN(N1348)+1, 150)</f>
        <v>Engine Cooling Fan Pump</v>
      </c>
      <c r="P1348" s="1" t="str">
        <f t="shared" ref="P1348:P1411" si="151">LEFT(B1348,4)</f>
        <v>DN70</v>
      </c>
      <c r="Q1348" s="2" t="str">
        <f t="shared" ref="Q1348:Q1411" si="152">P1348&amp;O1348</f>
        <v>DN70Engine Cooling Fan Pump</v>
      </c>
      <c r="R1348" s="2" t="str">
        <f>New_Xref[[#This Row],[Serial Prefix]]&amp;IF(New_Xref[[#This Row],[Func Loc]]&lt;&gt;"",New_Xref[[#This Row],[Func Loc]],"NO MATCH")</f>
        <v>DN70MYHD .PUMP.HP04</v>
      </c>
      <c r="S1348" s="3" t="str">
        <f t="shared" si="147"/>
        <v>DN7020R9458Engine Cooling Fan Pump</v>
      </c>
      <c r="T1348" s="3" t="s">
        <v>869</v>
      </c>
      <c r="U1348" s="3" t="s">
        <v>108</v>
      </c>
      <c r="V1348" t="str">
        <f t="shared" ref="V1348:V1411" si="153">LEFT(T1348,FIND(" -",T1348,1)-1)&amp;LEFT(U1348,FIND(" -",U1348,1)-1)</f>
        <v>1387LT</v>
      </c>
    </row>
    <row r="1349" spans="1:22">
      <c r="A1349" t="s">
        <v>5465</v>
      </c>
      <c r="B1349" t="s">
        <v>5466</v>
      </c>
      <c r="C1349" t="s">
        <v>1215</v>
      </c>
      <c r="D1349" t="s">
        <v>1216</v>
      </c>
      <c r="E1349" t="s">
        <v>1217</v>
      </c>
      <c r="F1349" t="s">
        <v>27</v>
      </c>
      <c r="G1349">
        <v>1</v>
      </c>
      <c r="H1349" t="s">
        <v>5501</v>
      </c>
      <c r="I1349" t="s">
        <v>5502</v>
      </c>
      <c r="J1349" t="s">
        <v>5503</v>
      </c>
      <c r="K1349" t="s">
        <v>5504</v>
      </c>
      <c r="L1349" t="s">
        <v>83</v>
      </c>
      <c r="M1349" s="1" t="str">
        <f t="shared" si="148"/>
        <v>21B311</v>
      </c>
      <c r="N1349" s="1" t="str">
        <f t="shared" si="149"/>
        <v>Ovhl</v>
      </c>
      <c r="O1349" s="1" t="str">
        <f t="shared" si="150"/>
        <v>Air Con</v>
      </c>
      <c r="P1349" s="1" t="str">
        <f t="shared" si="151"/>
        <v>DN70</v>
      </c>
      <c r="Q1349" s="2" t="str">
        <f t="shared" si="152"/>
        <v>DN70Air Con</v>
      </c>
      <c r="R1349" s="2" t="str">
        <f>New_Xref[[#This Row],[Serial Prefix]]&amp;IF(New_Xref[[#This Row],[Func Loc]]&lt;&gt;"",New_Xref[[#This Row],[Func Loc]],"NO MATCH")</f>
        <v>DN70NO MATCH</v>
      </c>
      <c r="S1349" s="3" t="str">
        <f t="shared" si="147"/>
        <v>DN704190777Air Con</v>
      </c>
      <c r="T1349" s="3" t="s">
        <v>1222</v>
      </c>
      <c r="U1349" s="3" t="s">
        <v>34</v>
      </c>
      <c r="V1349" t="str">
        <f t="shared" si="153"/>
        <v>180200</v>
      </c>
    </row>
    <row r="1350" spans="1:22">
      <c r="A1350" t="s">
        <v>5465</v>
      </c>
      <c r="B1350" t="s">
        <v>5466</v>
      </c>
      <c r="C1350" t="s">
        <v>5505</v>
      </c>
      <c r="D1350" t="s">
        <v>5506</v>
      </c>
      <c r="E1350" t="s">
        <v>5507</v>
      </c>
      <c r="F1350" t="s">
        <v>27</v>
      </c>
      <c r="G1350">
        <v>1</v>
      </c>
      <c r="H1350" t="s">
        <v>5508</v>
      </c>
      <c r="I1350" t="s">
        <v>5509</v>
      </c>
      <c r="J1350" t="s">
        <v>5510</v>
      </c>
      <c r="K1350" t="s">
        <v>5509</v>
      </c>
      <c r="L1350" t="s">
        <v>2170</v>
      </c>
      <c r="M1350" s="1" t="str">
        <f t="shared" si="148"/>
        <v>21B311</v>
      </c>
      <c r="N1350" s="1" t="str">
        <f t="shared" si="149"/>
        <v>C/O</v>
      </c>
      <c r="O1350" s="1" t="str">
        <f t="shared" si="150"/>
        <v>Main Pump Drive Transmission</v>
      </c>
      <c r="P1350" s="1" t="str">
        <f t="shared" si="151"/>
        <v>DN70</v>
      </c>
      <c r="Q1350" s="2" t="str">
        <f t="shared" si="152"/>
        <v>DN70Main Pump Drive Transmission</v>
      </c>
      <c r="R1350" s="2" t="str">
        <f>New_Xref[[#This Row],[Serial Prefix]]&amp;IF(New_Xref[[#This Row],[Func Loc]]&lt;&gt;"",New_Xref[[#This Row],[Func Loc]],"NO MATCH")</f>
        <v>DN70TRAN .MPDT</v>
      </c>
      <c r="S1350" s="3" t="str">
        <f t="shared" si="147"/>
        <v>DN704507146XMain Pump Drive Transmission</v>
      </c>
      <c r="T1350" s="3" t="s">
        <v>1234</v>
      </c>
      <c r="U1350" s="3" t="s">
        <v>34</v>
      </c>
      <c r="V1350" t="str">
        <f t="shared" si="153"/>
        <v>310800</v>
      </c>
    </row>
    <row r="1351" spans="1:22">
      <c r="A1351" t="s">
        <v>5465</v>
      </c>
      <c r="B1351" t="s">
        <v>5466</v>
      </c>
      <c r="C1351" t="s">
        <v>5511</v>
      </c>
      <c r="D1351" t="s">
        <v>5512</v>
      </c>
      <c r="E1351" t="s">
        <v>5513</v>
      </c>
      <c r="F1351" t="s">
        <v>27</v>
      </c>
      <c r="G1351">
        <v>1</v>
      </c>
      <c r="H1351" t="s">
        <v>5514</v>
      </c>
      <c r="I1351" t="s">
        <v>5515</v>
      </c>
      <c r="J1351" t="s">
        <v>5516</v>
      </c>
      <c r="K1351" t="s">
        <v>5515</v>
      </c>
      <c r="L1351" t="s">
        <v>2482</v>
      </c>
      <c r="M1351" s="1" t="str">
        <f t="shared" si="148"/>
        <v>21B311</v>
      </c>
      <c r="N1351" s="1" t="str">
        <f t="shared" si="149"/>
        <v>C/O</v>
      </c>
      <c r="O1351" s="1" t="str">
        <f t="shared" si="150"/>
        <v>Charge Pump</v>
      </c>
      <c r="P1351" s="1" t="str">
        <f t="shared" si="151"/>
        <v>DN70</v>
      </c>
      <c r="Q1351" s="2" t="str">
        <f t="shared" si="152"/>
        <v>DN70Charge Pump</v>
      </c>
      <c r="R1351" s="2" t="str">
        <f>New_Xref[[#This Row],[Serial Prefix]]&amp;IF(New_Xref[[#This Row],[Func Loc]]&lt;&gt;"",New_Xref[[#This Row],[Func Loc]],"NO MATCH")</f>
        <v>DN70MYHD .PUMP.HP03</v>
      </c>
      <c r="S1351" s="3" t="str">
        <f t="shared" si="147"/>
        <v>DN705946741Charge Pump</v>
      </c>
      <c r="T1351" s="3" t="s">
        <v>896</v>
      </c>
      <c r="U1351" s="3" t="s">
        <v>34</v>
      </c>
      <c r="V1351" t="str">
        <f t="shared" si="153"/>
        <v>320400</v>
      </c>
    </row>
    <row r="1352" spans="1:22">
      <c r="A1352" t="s">
        <v>5465</v>
      </c>
      <c r="B1352" t="s">
        <v>5517</v>
      </c>
      <c r="H1352" t="s">
        <v>5518</v>
      </c>
      <c r="I1352" t="s">
        <v>5519</v>
      </c>
      <c r="J1352" t="s">
        <v>5520</v>
      </c>
      <c r="K1352" t="s">
        <v>5519</v>
      </c>
      <c r="L1352" t="s">
        <v>911</v>
      </c>
      <c r="M1352" s="1" t="str">
        <f t="shared" si="148"/>
        <v>21B302</v>
      </c>
      <c r="N1352" s="1" t="str">
        <f t="shared" si="149"/>
        <v>C/O</v>
      </c>
      <c r="O1352" s="1" t="str">
        <f t="shared" si="150"/>
        <v>Final Drive CS</v>
      </c>
      <c r="P1352" s="1" t="str">
        <f t="shared" si="151"/>
        <v>DN70</v>
      </c>
      <c r="Q1352" s="2" t="str">
        <f t="shared" si="152"/>
        <v>DN70Final Drive CS</v>
      </c>
      <c r="R1352" s="2" t="str">
        <f>New_Xref[[#This Row],[Serial Prefix]]&amp;IF(New_Xref[[#This Row],[Func Loc]]&lt;&gt;"",New_Xref[[#This Row],[Func Loc]],"NO MATCH")</f>
        <v>DN70FDRV .FIDR.FDRH</v>
      </c>
      <c r="S1352" s="3" t="str">
        <f t="shared" si="147"/>
        <v>DN70Final Drive CS</v>
      </c>
      <c r="T1352" s="3" t="s">
        <v>908</v>
      </c>
      <c r="U1352" s="3" t="s">
        <v>115</v>
      </c>
      <c r="V1352" t="str">
        <f t="shared" si="153"/>
        <v>4050RI</v>
      </c>
    </row>
    <row r="1353" spans="1:22">
      <c r="A1353" t="s">
        <v>5465</v>
      </c>
      <c r="B1353" t="s">
        <v>5517</v>
      </c>
      <c r="H1353" t="s">
        <v>5521</v>
      </c>
      <c r="I1353" t="s">
        <v>5522</v>
      </c>
      <c r="J1353" t="s">
        <v>5523</v>
      </c>
      <c r="K1353" t="s">
        <v>5522</v>
      </c>
      <c r="L1353" t="s">
        <v>907</v>
      </c>
      <c r="M1353" s="1" t="str">
        <f t="shared" si="148"/>
        <v>21B302</v>
      </c>
      <c r="N1353" s="1" t="str">
        <f t="shared" si="149"/>
        <v>C/O</v>
      </c>
      <c r="O1353" s="1" t="str">
        <f t="shared" si="150"/>
        <v>Final Drive NCS</v>
      </c>
      <c r="P1353" s="1" t="str">
        <f t="shared" si="151"/>
        <v>DN70</v>
      </c>
      <c r="Q1353" s="2" t="str">
        <f t="shared" si="152"/>
        <v>DN70Final Drive NCS</v>
      </c>
      <c r="R1353" s="2" t="str">
        <f>New_Xref[[#This Row],[Serial Prefix]]&amp;IF(New_Xref[[#This Row],[Func Loc]]&lt;&gt;"",New_Xref[[#This Row],[Func Loc]],"NO MATCH")</f>
        <v>DN70FDRV .FIDR.FDLH</v>
      </c>
      <c r="S1353" s="3" t="str">
        <f t="shared" si="147"/>
        <v>DN70Final Drive NCS</v>
      </c>
      <c r="T1353" s="3" t="s">
        <v>908</v>
      </c>
      <c r="U1353" s="3" t="s">
        <v>108</v>
      </c>
      <c r="V1353" t="str">
        <f t="shared" si="153"/>
        <v>4050LT</v>
      </c>
    </row>
    <row r="1354" spans="1:22">
      <c r="A1354" t="s">
        <v>5465</v>
      </c>
      <c r="B1354" t="s">
        <v>5517</v>
      </c>
      <c r="H1354" t="s">
        <v>5524</v>
      </c>
      <c r="I1354" t="s">
        <v>5525</v>
      </c>
      <c r="J1354" t="s">
        <v>5526</v>
      </c>
      <c r="K1354" t="s">
        <v>5525</v>
      </c>
      <c r="L1354" t="s">
        <v>5527</v>
      </c>
      <c r="M1354" s="1" t="str">
        <f t="shared" si="148"/>
        <v>21B302</v>
      </c>
      <c r="N1354" s="1" t="str">
        <f t="shared" si="149"/>
        <v>C/O</v>
      </c>
      <c r="O1354" s="1" t="str">
        <f t="shared" si="150"/>
        <v>Travel Motor CS</v>
      </c>
      <c r="P1354" s="1" t="str">
        <f t="shared" si="151"/>
        <v>DN70</v>
      </c>
      <c r="Q1354" s="2" t="str">
        <f t="shared" si="152"/>
        <v>DN70Travel Motor CS</v>
      </c>
      <c r="R1354" s="2" t="str">
        <f>New_Xref[[#This Row],[Serial Prefix]]&amp;IF(New_Xref[[#This Row],[Func Loc]]&lt;&gt;"",New_Xref[[#This Row],[Func Loc]],"NO MATCH")</f>
        <v>DN70MYHD .MOTO.TRMC</v>
      </c>
      <c r="S1354" s="3" t="str">
        <f t="shared" si="147"/>
        <v>DN70Travel Motor CS</v>
      </c>
      <c r="T1354" s="3" t="s">
        <v>964</v>
      </c>
      <c r="U1354" s="3" t="s">
        <v>115</v>
      </c>
      <c r="V1354" t="str">
        <f t="shared" si="153"/>
        <v>4351RI</v>
      </c>
    </row>
    <row r="1355" spans="1:22">
      <c r="A1355" t="s">
        <v>5465</v>
      </c>
      <c r="B1355" t="s">
        <v>5517</v>
      </c>
      <c r="H1355" t="s">
        <v>5524</v>
      </c>
      <c r="I1355" t="s">
        <v>5528</v>
      </c>
      <c r="J1355" t="s">
        <v>5529</v>
      </c>
      <c r="K1355" t="s">
        <v>5528</v>
      </c>
      <c r="L1355" t="s">
        <v>5530</v>
      </c>
      <c r="M1355" s="1" t="str">
        <f t="shared" si="148"/>
        <v>21B302</v>
      </c>
      <c r="N1355" s="1" t="str">
        <f t="shared" si="149"/>
        <v>C/O</v>
      </c>
      <c r="O1355" s="1" t="str">
        <f t="shared" si="150"/>
        <v>Travel Motor NCS</v>
      </c>
      <c r="P1355" s="1" t="str">
        <f t="shared" si="151"/>
        <v>DN70</v>
      </c>
      <c r="Q1355" s="2" t="str">
        <f t="shared" si="152"/>
        <v>DN70Travel Motor NCS</v>
      </c>
      <c r="R1355" s="2" t="str">
        <f>New_Xref[[#This Row],[Serial Prefix]]&amp;IF(New_Xref[[#This Row],[Func Loc]]&lt;&gt;"",New_Xref[[#This Row],[Func Loc]],"NO MATCH")</f>
        <v>DN70MYHD .MOTO.TRMN</v>
      </c>
      <c r="S1355" s="3" t="str">
        <f t="shared" si="147"/>
        <v>DN70Travel Motor NCS</v>
      </c>
      <c r="T1355" s="3" t="s">
        <v>964</v>
      </c>
      <c r="U1355" s="3" t="s">
        <v>108</v>
      </c>
      <c r="V1355" t="str">
        <f t="shared" si="153"/>
        <v>4351LT</v>
      </c>
    </row>
    <row r="1356" spans="1:22">
      <c r="A1356" t="s">
        <v>5465</v>
      </c>
      <c r="B1356" t="s">
        <v>5466</v>
      </c>
      <c r="C1356" t="s">
        <v>5531</v>
      </c>
      <c r="D1356" t="s">
        <v>5532</v>
      </c>
      <c r="E1356" t="s">
        <v>5533</v>
      </c>
      <c r="F1356" t="s">
        <v>27</v>
      </c>
      <c r="G1356">
        <v>1</v>
      </c>
      <c r="H1356" t="s">
        <v>5534</v>
      </c>
      <c r="I1356" t="s">
        <v>5535</v>
      </c>
      <c r="J1356" t="s">
        <v>5536</v>
      </c>
      <c r="K1356" t="s">
        <v>5535</v>
      </c>
      <c r="L1356" t="s">
        <v>5537</v>
      </c>
      <c r="M1356" s="1" t="str">
        <f t="shared" si="148"/>
        <v>21B311</v>
      </c>
      <c r="N1356" s="1" t="str">
        <f t="shared" si="149"/>
        <v>C/O</v>
      </c>
      <c r="O1356" s="1" t="str">
        <f t="shared" si="150"/>
        <v>Auxiliary Hydraulic Pump</v>
      </c>
      <c r="P1356" s="1" t="str">
        <f t="shared" si="151"/>
        <v>DN70</v>
      </c>
      <c r="Q1356" s="2" t="str">
        <f t="shared" si="152"/>
        <v>DN70Auxiliary Hydraulic Pump</v>
      </c>
      <c r="R1356" s="2" t="str">
        <f>New_Xref[[#This Row],[Serial Prefix]]&amp;IF(New_Xref[[#This Row],[Func Loc]]&lt;&gt;"",New_Xref[[#This Row],[Func Loc]],"NO MATCH")</f>
        <v>DN70MYHD .PUMP.AUCP</v>
      </c>
      <c r="S1356" s="3" t="str">
        <f t="shared" si="147"/>
        <v>DN7020R9457Auxiliary Hydraulic Pump</v>
      </c>
      <c r="T1356" s="3" t="s">
        <v>220</v>
      </c>
      <c r="U1356" s="3" t="s">
        <v>34</v>
      </c>
      <c r="V1356" t="str">
        <f t="shared" si="153"/>
        <v>507000</v>
      </c>
    </row>
    <row r="1357" spans="1:22">
      <c r="A1357" t="s">
        <v>5465</v>
      </c>
      <c r="B1357" t="s">
        <v>5538</v>
      </c>
      <c r="H1357" t="s">
        <v>5539</v>
      </c>
      <c r="I1357" t="s">
        <v>5540</v>
      </c>
      <c r="J1357" t="s">
        <v>5541</v>
      </c>
      <c r="K1357" t="s">
        <v>5540</v>
      </c>
      <c r="L1357" t="s">
        <v>4521</v>
      </c>
      <c r="M1357" s="1" t="str">
        <f t="shared" si="148"/>
        <v>21R439</v>
      </c>
      <c r="N1357" s="1" t="str">
        <f t="shared" si="149"/>
        <v>C/O</v>
      </c>
      <c r="O1357" s="1" t="str">
        <f t="shared" si="150"/>
        <v>Rotation Motor</v>
      </c>
      <c r="P1357" s="1" t="str">
        <f t="shared" si="151"/>
        <v>DN70</v>
      </c>
      <c r="Q1357" s="2" t="str">
        <f t="shared" si="152"/>
        <v>DN70Rotation Motor</v>
      </c>
      <c r="R1357" s="2" t="str">
        <f>New_Xref[[#This Row],[Serial Prefix]]&amp;IF(New_Xref[[#This Row],[Func Loc]]&lt;&gt;"",New_Xref[[#This Row],[Func Loc]],"NO MATCH")</f>
        <v>DN70MYHD .MOTO.HM01</v>
      </c>
      <c r="S1357" s="3" t="str">
        <f t="shared" si="147"/>
        <v>DN70Rotation Motor</v>
      </c>
      <c r="T1357" s="3" t="s">
        <v>5542</v>
      </c>
      <c r="U1357" s="3" t="s">
        <v>34</v>
      </c>
      <c r="V1357" t="str">
        <f t="shared" si="153"/>
        <v>549400</v>
      </c>
    </row>
    <row r="1358" spans="1:22">
      <c r="A1358" t="s">
        <v>5465</v>
      </c>
      <c r="B1358" t="s">
        <v>5517</v>
      </c>
      <c r="H1358" t="s">
        <v>5543</v>
      </c>
      <c r="I1358" t="s">
        <v>5544</v>
      </c>
      <c r="J1358" t="s">
        <v>5545</v>
      </c>
      <c r="K1358" t="s">
        <v>5544</v>
      </c>
      <c r="L1358" t="s">
        <v>5546</v>
      </c>
      <c r="M1358" s="1" t="str">
        <f t="shared" si="148"/>
        <v>21B302</v>
      </c>
      <c r="N1358" s="1" t="str">
        <f t="shared" si="149"/>
        <v>C/O</v>
      </c>
      <c r="O1358" s="1" t="str">
        <f t="shared" si="150"/>
        <v>Air Compressor</v>
      </c>
      <c r="P1358" s="1" t="str">
        <f t="shared" si="151"/>
        <v>DN70</v>
      </c>
      <c r="Q1358" s="2" t="str">
        <f t="shared" si="152"/>
        <v>DN70Air Compressor</v>
      </c>
      <c r="R1358" s="2" t="str">
        <f>New_Xref[[#This Row],[Serial Prefix]]&amp;IF(New_Xref[[#This Row],[Func Loc]]&lt;&gt;"",New_Xref[[#This Row],[Func Loc]],"NO MATCH")</f>
        <v>DN70AIRS .AICO.AICO</v>
      </c>
      <c r="S1358" s="3" t="str">
        <f t="shared" si="147"/>
        <v>DN70Air Compressor</v>
      </c>
      <c r="T1358" s="3" t="s">
        <v>5547</v>
      </c>
      <c r="U1358" s="3" t="s">
        <v>34</v>
      </c>
      <c r="V1358" t="str">
        <f t="shared" si="153"/>
        <v>79N100</v>
      </c>
    </row>
    <row r="1359" spans="1:22">
      <c r="A1359" t="s">
        <v>5465</v>
      </c>
      <c r="B1359" t="s">
        <v>5466</v>
      </c>
      <c r="C1359" t="s">
        <v>5548</v>
      </c>
      <c r="D1359" t="s">
        <v>5549</v>
      </c>
      <c r="E1359" t="s">
        <v>5550</v>
      </c>
      <c r="F1359" t="s">
        <v>27</v>
      </c>
      <c r="G1359">
        <v>1</v>
      </c>
      <c r="H1359" t="s">
        <v>5551</v>
      </c>
      <c r="I1359" t="s">
        <v>5552</v>
      </c>
      <c r="J1359" t="s">
        <v>5553</v>
      </c>
      <c r="K1359" t="s">
        <v>5552</v>
      </c>
      <c r="L1359" t="s">
        <v>83</v>
      </c>
      <c r="M1359" s="1" t="str">
        <f t="shared" si="148"/>
        <v>21B311</v>
      </c>
      <c r="N1359" s="1" t="str">
        <f t="shared" si="149"/>
        <v>C/O</v>
      </c>
      <c r="O1359" s="1" t="str">
        <f t="shared" si="150"/>
        <v>Jack Cyl CS DE</v>
      </c>
      <c r="P1359" s="1" t="str">
        <f t="shared" si="151"/>
        <v>DN70</v>
      </c>
      <c r="Q1359" s="2" t="str">
        <f t="shared" si="152"/>
        <v>DN70Jack Cyl CS DE</v>
      </c>
      <c r="R1359" s="2" t="str">
        <f>New_Xref[[#This Row],[Serial Prefix]]&amp;IF(New_Xref[[#This Row],[Func Loc]]&lt;&gt;"",New_Xref[[#This Row],[Func Loc]],"NO MATCH")</f>
        <v>DN70NO MATCH</v>
      </c>
      <c r="S1359" s="3" t="str">
        <f t="shared" si="147"/>
        <v>DN7011R1466Jack Cyl CS DE</v>
      </c>
      <c r="T1359" s="3" t="s">
        <v>5554</v>
      </c>
      <c r="U1359" s="3" t="s">
        <v>99</v>
      </c>
      <c r="V1359" t="str">
        <f t="shared" si="153"/>
        <v>79NMRR</v>
      </c>
    </row>
    <row r="1360" spans="1:22">
      <c r="A1360" t="s">
        <v>5465</v>
      </c>
      <c r="B1360" t="s">
        <v>5466</v>
      </c>
      <c r="C1360" t="s">
        <v>5548</v>
      </c>
      <c r="D1360" t="s">
        <v>5549</v>
      </c>
      <c r="E1360" t="s">
        <v>5550</v>
      </c>
      <c r="F1360" t="s">
        <v>27</v>
      </c>
      <c r="G1360">
        <v>1</v>
      </c>
      <c r="H1360" t="s">
        <v>5555</v>
      </c>
      <c r="I1360" t="s">
        <v>5556</v>
      </c>
      <c r="J1360" t="s">
        <v>5557</v>
      </c>
      <c r="K1360" t="s">
        <v>5556</v>
      </c>
      <c r="L1360" t="s">
        <v>83</v>
      </c>
      <c r="M1360" s="1" t="str">
        <f t="shared" si="148"/>
        <v>21B311</v>
      </c>
      <c r="N1360" s="1" t="str">
        <f t="shared" si="149"/>
        <v>C/O</v>
      </c>
      <c r="O1360" s="1" t="str">
        <f t="shared" si="150"/>
        <v>Jack Cyl CS NDE</v>
      </c>
      <c r="P1360" s="1" t="str">
        <f t="shared" si="151"/>
        <v>DN70</v>
      </c>
      <c r="Q1360" s="2" t="str">
        <f t="shared" si="152"/>
        <v>DN70Jack Cyl CS NDE</v>
      </c>
      <c r="R1360" s="2" t="str">
        <f>New_Xref[[#This Row],[Serial Prefix]]&amp;IF(New_Xref[[#This Row],[Func Loc]]&lt;&gt;"",New_Xref[[#This Row],[Func Loc]],"NO MATCH")</f>
        <v>DN70NO MATCH</v>
      </c>
      <c r="S1360" s="3" t="str">
        <f t="shared" si="147"/>
        <v>DN7011R1466Jack Cyl CS NDE</v>
      </c>
      <c r="T1360" s="3" t="s">
        <v>5554</v>
      </c>
      <c r="U1360" s="3" t="s">
        <v>92</v>
      </c>
      <c r="V1360" t="str">
        <f t="shared" si="153"/>
        <v>79NMRF</v>
      </c>
    </row>
    <row r="1361" spans="1:22">
      <c r="A1361" t="s">
        <v>5465</v>
      </c>
      <c r="B1361" t="s">
        <v>5466</v>
      </c>
      <c r="C1361" t="s">
        <v>5548</v>
      </c>
      <c r="D1361" t="s">
        <v>5549</v>
      </c>
      <c r="E1361" t="s">
        <v>5550</v>
      </c>
      <c r="F1361" t="s">
        <v>27</v>
      </c>
      <c r="G1361">
        <v>1</v>
      </c>
      <c r="H1361" t="s">
        <v>5551</v>
      </c>
      <c r="I1361" t="s">
        <v>5558</v>
      </c>
      <c r="J1361" t="s">
        <v>5559</v>
      </c>
      <c r="K1361" t="s">
        <v>5558</v>
      </c>
      <c r="L1361" t="s">
        <v>83</v>
      </c>
      <c r="M1361" s="1" t="str">
        <f t="shared" si="148"/>
        <v>21B311</v>
      </c>
      <c r="N1361" s="1" t="str">
        <f t="shared" si="149"/>
        <v>C/O</v>
      </c>
      <c r="O1361" s="1" t="str">
        <f t="shared" si="150"/>
        <v>Jack Cyl NCS DE</v>
      </c>
      <c r="P1361" s="1" t="str">
        <f t="shared" si="151"/>
        <v>DN70</v>
      </c>
      <c r="Q1361" s="2" t="str">
        <f t="shared" si="152"/>
        <v>DN70Jack Cyl NCS DE</v>
      </c>
      <c r="R1361" s="2" t="str">
        <f>New_Xref[[#This Row],[Serial Prefix]]&amp;IF(New_Xref[[#This Row],[Func Loc]]&lt;&gt;"",New_Xref[[#This Row],[Func Loc]],"NO MATCH")</f>
        <v>DN70NO MATCH</v>
      </c>
      <c r="S1361" s="3" t="str">
        <f t="shared" si="147"/>
        <v>DN7011R1466Jack Cyl NCS DE</v>
      </c>
      <c r="T1361" s="3" t="s">
        <v>5554</v>
      </c>
      <c r="U1361" s="3" t="s">
        <v>96</v>
      </c>
      <c r="V1361" t="str">
        <f t="shared" si="153"/>
        <v>79NMLR</v>
      </c>
    </row>
    <row r="1362" spans="1:22">
      <c r="A1362" t="s">
        <v>5465</v>
      </c>
      <c r="B1362" t="s">
        <v>5466</v>
      </c>
      <c r="C1362" t="s">
        <v>5548</v>
      </c>
      <c r="D1362" t="s">
        <v>5549</v>
      </c>
      <c r="E1362" t="s">
        <v>5550</v>
      </c>
      <c r="F1362" t="s">
        <v>27</v>
      </c>
      <c r="G1362">
        <v>1</v>
      </c>
      <c r="H1362" t="s">
        <v>5555</v>
      </c>
      <c r="I1362" t="s">
        <v>5560</v>
      </c>
      <c r="J1362" t="s">
        <v>5561</v>
      </c>
      <c r="K1362" t="s">
        <v>5560</v>
      </c>
      <c r="L1362" t="s">
        <v>83</v>
      </c>
      <c r="M1362" s="1" t="str">
        <f t="shared" si="148"/>
        <v>21B311</v>
      </c>
      <c r="N1362" s="1" t="str">
        <f t="shared" si="149"/>
        <v>C/O</v>
      </c>
      <c r="O1362" s="1" t="str">
        <f t="shared" si="150"/>
        <v>Jack Cyl NCS NDE</v>
      </c>
      <c r="P1362" s="1" t="str">
        <f t="shared" si="151"/>
        <v>DN70</v>
      </c>
      <c r="Q1362" s="2" t="str">
        <f t="shared" si="152"/>
        <v>DN70Jack Cyl NCS NDE</v>
      </c>
      <c r="R1362" s="2" t="str">
        <f>New_Xref[[#This Row],[Serial Prefix]]&amp;IF(New_Xref[[#This Row],[Func Loc]]&lt;&gt;"",New_Xref[[#This Row],[Func Loc]],"NO MATCH")</f>
        <v>DN70NO MATCH</v>
      </c>
      <c r="S1362" s="3" t="str">
        <f t="shared" si="147"/>
        <v>DN7011R1466Jack Cyl NCS NDE</v>
      </c>
      <c r="T1362" s="3" t="s">
        <v>5554</v>
      </c>
      <c r="U1362" s="3" t="s">
        <v>89</v>
      </c>
      <c r="V1362" t="str">
        <f t="shared" si="153"/>
        <v>79NMLF</v>
      </c>
    </row>
    <row r="1363" spans="1:22">
      <c r="A1363" t="s">
        <v>5465</v>
      </c>
      <c r="B1363" t="s">
        <v>5538</v>
      </c>
      <c r="C1363" t="s">
        <v>5548</v>
      </c>
      <c r="D1363" t="s">
        <v>5549</v>
      </c>
      <c r="E1363" t="s">
        <v>5550</v>
      </c>
      <c r="F1363" t="s">
        <v>27</v>
      </c>
      <c r="G1363">
        <v>1</v>
      </c>
      <c r="H1363" t="s">
        <v>5551</v>
      </c>
      <c r="I1363" t="s">
        <v>5562</v>
      </c>
      <c r="J1363" t="s">
        <v>5563</v>
      </c>
      <c r="K1363" t="s">
        <v>5564</v>
      </c>
      <c r="L1363" t="s">
        <v>83</v>
      </c>
      <c r="M1363" s="1" t="str">
        <f t="shared" si="148"/>
        <v>21R439</v>
      </c>
      <c r="N1363" s="1" t="str">
        <f t="shared" si="149"/>
        <v>C/O</v>
      </c>
      <c r="O1363" s="1" t="str">
        <f t="shared" si="150"/>
        <v>Jack Leg Cylinder DE CS</v>
      </c>
      <c r="P1363" s="1" t="str">
        <f t="shared" si="151"/>
        <v>DN70</v>
      </c>
      <c r="Q1363" s="2" t="str">
        <f t="shared" si="152"/>
        <v>DN70Jack Leg Cylinder DE CS</v>
      </c>
      <c r="R1363" s="2" t="str">
        <f>New_Xref[[#This Row],[Serial Prefix]]&amp;IF(New_Xref[[#This Row],[Func Loc]]&lt;&gt;"",New_Xref[[#This Row],[Func Loc]],"NO MATCH")</f>
        <v>DN70NO MATCH</v>
      </c>
      <c r="S1363" s="3" t="str">
        <f t="shared" si="147"/>
        <v>DN7011R1466Jack Leg Cylinder DE CS</v>
      </c>
      <c r="T1363" s="3" t="s">
        <v>5554</v>
      </c>
      <c r="U1363" s="3" t="s">
        <v>99</v>
      </c>
      <c r="V1363" t="str">
        <f t="shared" si="153"/>
        <v>79NMRR</v>
      </c>
    </row>
    <row r="1364" spans="1:22">
      <c r="A1364" t="s">
        <v>5465</v>
      </c>
      <c r="B1364" t="s">
        <v>5466</v>
      </c>
      <c r="C1364" t="s">
        <v>5565</v>
      </c>
      <c r="D1364" t="s">
        <v>5566</v>
      </c>
      <c r="E1364" t="s">
        <v>5567</v>
      </c>
      <c r="F1364" t="s">
        <v>27</v>
      </c>
      <c r="G1364">
        <v>1</v>
      </c>
      <c r="H1364" t="s">
        <v>5568</v>
      </c>
      <c r="I1364" t="s">
        <v>5569</v>
      </c>
      <c r="J1364" t="s">
        <v>5570</v>
      </c>
      <c r="K1364" t="s">
        <v>5569</v>
      </c>
      <c r="L1364" t="s">
        <v>5571</v>
      </c>
      <c r="M1364" s="1" t="str">
        <f t="shared" si="148"/>
        <v>21B311</v>
      </c>
      <c r="N1364" s="1" t="str">
        <f t="shared" si="149"/>
        <v>C/O</v>
      </c>
      <c r="O1364" s="1" t="str">
        <f t="shared" si="150"/>
        <v>Dust Curtain Cylinder Inner</v>
      </c>
      <c r="P1364" s="1" t="str">
        <f t="shared" si="151"/>
        <v>DN70</v>
      </c>
      <c r="Q1364" s="2" t="str">
        <f t="shared" si="152"/>
        <v>DN70Dust Curtain Cylinder Inner</v>
      </c>
      <c r="R1364" s="2" t="str">
        <f>New_Xref[[#This Row],[Serial Prefix]]&amp;IF(New_Xref[[#This Row],[Func Loc]]&lt;&gt;"",New_Xref[[#This Row],[Func Loc]],"NO MATCH")</f>
        <v>DN70MYHD .CYLI.DUCI</v>
      </c>
      <c r="S1364" s="3" t="str">
        <f t="shared" si="147"/>
        <v>DN705156795Dust Curtain Cylinder Inner</v>
      </c>
      <c r="T1364" s="3" t="s">
        <v>5572</v>
      </c>
      <c r="U1364" s="3" t="s">
        <v>34</v>
      </c>
      <c r="V1364" t="str">
        <f t="shared" si="153"/>
        <v>79NT00</v>
      </c>
    </row>
    <row r="1365" spans="1:22">
      <c r="A1365" t="s">
        <v>5465</v>
      </c>
      <c r="B1365" t="s">
        <v>5466</v>
      </c>
      <c r="C1365" t="s">
        <v>5565</v>
      </c>
      <c r="D1365" t="s">
        <v>5566</v>
      </c>
      <c r="E1365" t="s">
        <v>5567</v>
      </c>
      <c r="F1365" t="s">
        <v>27</v>
      </c>
      <c r="G1365">
        <v>1</v>
      </c>
      <c r="H1365" t="s">
        <v>5568</v>
      </c>
      <c r="I1365" t="s">
        <v>5573</v>
      </c>
      <c r="J1365" t="s">
        <v>5574</v>
      </c>
      <c r="K1365" t="s">
        <v>5573</v>
      </c>
      <c r="L1365" t="s">
        <v>5575</v>
      </c>
      <c r="M1365" s="1" t="str">
        <f t="shared" si="148"/>
        <v>21B311</v>
      </c>
      <c r="N1365" s="1" t="str">
        <f t="shared" si="149"/>
        <v>C/O</v>
      </c>
      <c r="O1365" s="1" t="str">
        <f t="shared" si="150"/>
        <v>Dust Curtain Cylinder Outer</v>
      </c>
      <c r="P1365" s="1" t="str">
        <f t="shared" si="151"/>
        <v>DN70</v>
      </c>
      <c r="Q1365" s="2" t="str">
        <f t="shared" si="152"/>
        <v>DN70Dust Curtain Cylinder Outer</v>
      </c>
      <c r="R1365" s="2" t="str">
        <f>New_Xref[[#This Row],[Serial Prefix]]&amp;IF(New_Xref[[#This Row],[Func Loc]]&lt;&gt;"",New_Xref[[#This Row],[Func Loc]],"NO MATCH")</f>
        <v>DN70MYHD .CYLI.DCUO</v>
      </c>
      <c r="S1365" s="3" t="str">
        <f t="shared" si="147"/>
        <v>DN705156795Dust Curtain Cylinder Outer</v>
      </c>
      <c r="T1365" s="3" t="s">
        <v>5572</v>
      </c>
      <c r="U1365" s="3" t="s">
        <v>34</v>
      </c>
      <c r="V1365" t="str">
        <f t="shared" si="153"/>
        <v>79NT00</v>
      </c>
    </row>
    <row r="1366" spans="1:22">
      <c r="A1366" t="s">
        <v>5465</v>
      </c>
      <c r="B1366" t="s">
        <v>5466</v>
      </c>
      <c r="C1366" t="s">
        <v>5565</v>
      </c>
      <c r="D1366" t="s">
        <v>5566</v>
      </c>
      <c r="E1366" t="s">
        <v>5567</v>
      </c>
      <c r="F1366" t="s">
        <v>27</v>
      </c>
      <c r="G1366">
        <v>1</v>
      </c>
      <c r="H1366" t="s">
        <v>5576</v>
      </c>
      <c r="I1366" t="s">
        <v>5577</v>
      </c>
      <c r="J1366" t="s">
        <v>5578</v>
      </c>
      <c r="K1366" t="s">
        <v>5577</v>
      </c>
      <c r="L1366" t="s">
        <v>5579</v>
      </c>
      <c r="M1366" s="1" t="str">
        <f t="shared" si="148"/>
        <v>21B311</v>
      </c>
      <c r="N1366" s="1" t="str">
        <f t="shared" si="149"/>
        <v>C/O</v>
      </c>
      <c r="O1366" s="1" t="str">
        <f t="shared" si="150"/>
        <v>Mast Lock Cylinder CS</v>
      </c>
      <c r="P1366" s="1" t="str">
        <f t="shared" si="151"/>
        <v>DN70</v>
      </c>
      <c r="Q1366" s="2" t="str">
        <f t="shared" si="152"/>
        <v>DN70Mast Lock Cylinder CS</v>
      </c>
      <c r="R1366" s="2" t="str">
        <f>New_Xref[[#This Row],[Serial Prefix]]&amp;IF(New_Xref[[#This Row],[Func Loc]]&lt;&gt;"",New_Xref[[#This Row],[Func Loc]],"NO MATCH")</f>
        <v>DN70MYHD .CYLI.MALC</v>
      </c>
      <c r="S1366" s="3" t="str">
        <f t="shared" si="147"/>
        <v>DN705156795Mast Lock Cylinder CS</v>
      </c>
      <c r="T1366" s="3" t="s">
        <v>5572</v>
      </c>
      <c r="U1366" s="3" t="s">
        <v>34</v>
      </c>
      <c r="V1366" t="str">
        <f t="shared" si="153"/>
        <v>79NT00</v>
      </c>
    </row>
    <row r="1367" spans="1:22">
      <c r="A1367" t="s">
        <v>5465</v>
      </c>
      <c r="B1367" t="s">
        <v>5466</v>
      </c>
      <c r="C1367" t="s">
        <v>5565</v>
      </c>
      <c r="D1367" t="s">
        <v>5566</v>
      </c>
      <c r="E1367" t="s">
        <v>5567</v>
      </c>
      <c r="F1367" t="s">
        <v>27</v>
      </c>
      <c r="G1367">
        <v>1</v>
      </c>
      <c r="H1367" t="s">
        <v>5576</v>
      </c>
      <c r="I1367" t="s">
        <v>5580</v>
      </c>
      <c r="J1367" t="s">
        <v>5581</v>
      </c>
      <c r="K1367" t="s">
        <v>5580</v>
      </c>
      <c r="L1367" t="s">
        <v>5582</v>
      </c>
      <c r="M1367" s="1" t="str">
        <f t="shared" si="148"/>
        <v>21B311</v>
      </c>
      <c r="N1367" s="1" t="str">
        <f t="shared" si="149"/>
        <v>C/O</v>
      </c>
      <c r="O1367" s="1" t="str">
        <f t="shared" si="150"/>
        <v>Mast Lock Cylinder NCS</v>
      </c>
      <c r="P1367" s="1" t="str">
        <f t="shared" si="151"/>
        <v>DN70</v>
      </c>
      <c r="Q1367" s="2" t="str">
        <f t="shared" si="152"/>
        <v>DN70Mast Lock Cylinder NCS</v>
      </c>
      <c r="R1367" s="2" t="str">
        <f>New_Xref[[#This Row],[Serial Prefix]]&amp;IF(New_Xref[[#This Row],[Func Loc]]&lt;&gt;"",New_Xref[[#This Row],[Func Loc]],"NO MATCH")</f>
        <v>DN70MYHD .CYLI.MALN</v>
      </c>
      <c r="S1367" s="3" t="str">
        <f t="shared" si="147"/>
        <v>DN705156795Mast Lock Cylinder NCS</v>
      </c>
      <c r="T1367" s="3" t="s">
        <v>5572</v>
      </c>
      <c r="U1367" s="3" t="s">
        <v>34</v>
      </c>
      <c r="V1367" t="str">
        <f t="shared" si="153"/>
        <v>79NT00</v>
      </c>
    </row>
    <row r="1368" spans="1:22">
      <c r="A1368" t="s">
        <v>5465</v>
      </c>
      <c r="B1368" t="s">
        <v>5583</v>
      </c>
      <c r="C1368" t="s">
        <v>5505</v>
      </c>
      <c r="D1368" t="s">
        <v>5506</v>
      </c>
      <c r="E1368" t="s">
        <v>5507</v>
      </c>
      <c r="F1368" t="s">
        <v>27</v>
      </c>
      <c r="G1368">
        <v>1</v>
      </c>
      <c r="H1368" t="s">
        <v>5508</v>
      </c>
      <c r="I1368" t="s">
        <v>5584</v>
      </c>
      <c r="J1368" t="s">
        <v>5585</v>
      </c>
      <c r="K1368" t="s">
        <v>5586</v>
      </c>
      <c r="L1368" t="s">
        <v>83</v>
      </c>
      <c r="M1368" s="1" t="str">
        <f t="shared" si="148"/>
        <v>21B378</v>
      </c>
      <c r="N1368" s="1" t="str">
        <f t="shared" si="149"/>
        <v>C/O</v>
      </c>
      <c r="O1368" s="1" t="str">
        <f t="shared" si="150"/>
        <v>Main P/Drive Transmission</v>
      </c>
      <c r="P1368" s="1" t="str">
        <f t="shared" si="151"/>
        <v>DN70</v>
      </c>
      <c r="Q1368" s="2" t="str">
        <f t="shared" si="152"/>
        <v>DN70Main P/Drive Transmission</v>
      </c>
      <c r="R1368" s="2" t="str">
        <f>New_Xref[[#This Row],[Serial Prefix]]&amp;IF(New_Xref[[#This Row],[Func Loc]]&lt;&gt;"",New_Xref[[#This Row],[Func Loc]],"NO MATCH")</f>
        <v>DN70NO MATCH</v>
      </c>
      <c r="S1368" s="3" t="str">
        <f t="shared" si="147"/>
        <v>DN704507146XMain P/Drive Transmission</v>
      </c>
      <c r="T1368" s="3" t="s">
        <v>5587</v>
      </c>
      <c r="U1368" s="3" t="s">
        <v>34</v>
      </c>
      <c r="V1368" t="str">
        <f t="shared" si="153"/>
        <v>79NU00</v>
      </c>
    </row>
    <row r="1369" spans="1:22">
      <c r="A1369" t="s">
        <v>5465</v>
      </c>
      <c r="B1369" t="s">
        <v>5466</v>
      </c>
      <c r="C1369" t="s">
        <v>5588</v>
      </c>
      <c r="D1369" t="s">
        <v>5589</v>
      </c>
      <c r="E1369" t="s">
        <v>5590</v>
      </c>
      <c r="F1369" t="s">
        <v>27</v>
      </c>
      <c r="G1369">
        <v>1</v>
      </c>
      <c r="H1369" t="s">
        <v>5591</v>
      </c>
      <c r="I1369" t="s">
        <v>5592</v>
      </c>
      <c r="J1369" t="s">
        <v>5593</v>
      </c>
      <c r="K1369" t="s">
        <v>5592</v>
      </c>
      <c r="L1369" t="s">
        <v>5594</v>
      </c>
      <c r="M1369" s="1" t="str">
        <f t="shared" si="148"/>
        <v>21B311</v>
      </c>
      <c r="N1369" s="1" t="str">
        <f t="shared" si="149"/>
        <v>C/O</v>
      </c>
      <c r="O1369" s="1" t="str">
        <f t="shared" si="150"/>
        <v>Mast Raise Cylinder CS</v>
      </c>
      <c r="P1369" s="1" t="str">
        <f t="shared" si="151"/>
        <v>DN70</v>
      </c>
      <c r="Q1369" s="2" t="str">
        <f t="shared" si="152"/>
        <v>DN70Mast Raise Cylinder CS</v>
      </c>
      <c r="R1369" s="2" t="str">
        <f>New_Xref[[#This Row],[Serial Prefix]]&amp;IF(New_Xref[[#This Row],[Func Loc]]&lt;&gt;"",New_Xref[[#This Row],[Func Loc]],"NO MATCH")</f>
        <v>DN70MYHD .CYLI.MARC</v>
      </c>
      <c r="S1369" s="3" t="str">
        <f t="shared" si="147"/>
        <v>DN705187837Mast Raise Cylinder CS</v>
      </c>
      <c r="T1369" s="3" t="s">
        <v>5587</v>
      </c>
      <c r="U1369" s="3" t="s">
        <v>5595</v>
      </c>
      <c r="V1369" t="str">
        <f t="shared" si="153"/>
        <v>79NURII</v>
      </c>
    </row>
    <row r="1370" spans="1:22">
      <c r="A1370" t="s">
        <v>5465</v>
      </c>
      <c r="B1370" t="s">
        <v>5466</v>
      </c>
      <c r="C1370" t="s">
        <v>5588</v>
      </c>
      <c r="D1370" t="s">
        <v>5589</v>
      </c>
      <c r="E1370" t="s">
        <v>5590</v>
      </c>
      <c r="F1370" t="s">
        <v>27</v>
      </c>
      <c r="G1370">
        <v>1</v>
      </c>
      <c r="H1370" t="s">
        <v>5591</v>
      </c>
      <c r="I1370" t="s">
        <v>5596</v>
      </c>
      <c r="J1370" t="s">
        <v>5597</v>
      </c>
      <c r="K1370" t="s">
        <v>5596</v>
      </c>
      <c r="L1370" t="s">
        <v>5598</v>
      </c>
      <c r="M1370" s="1" t="str">
        <f t="shared" si="148"/>
        <v>21B311</v>
      </c>
      <c r="N1370" s="1" t="str">
        <f t="shared" si="149"/>
        <v>C/O</v>
      </c>
      <c r="O1370" s="1" t="str">
        <f t="shared" si="150"/>
        <v>Mast Raise Cylinder NCS</v>
      </c>
      <c r="P1370" s="1" t="str">
        <f t="shared" si="151"/>
        <v>DN70</v>
      </c>
      <c r="Q1370" s="2" t="str">
        <f t="shared" si="152"/>
        <v>DN70Mast Raise Cylinder NCS</v>
      </c>
      <c r="R1370" s="2" t="str">
        <f>New_Xref[[#This Row],[Serial Prefix]]&amp;IF(New_Xref[[#This Row],[Func Loc]]&lt;&gt;"",New_Xref[[#This Row],[Func Loc]],"NO MATCH")</f>
        <v>DN70MYHD .CYLI.MARN</v>
      </c>
      <c r="S1370" s="3" t="str">
        <f t="shared" si="147"/>
        <v>DN705187837Mast Raise Cylinder NCS</v>
      </c>
      <c r="T1370" s="3" t="s">
        <v>5587</v>
      </c>
      <c r="U1370" s="3" t="s">
        <v>108</v>
      </c>
      <c r="V1370" t="str">
        <f t="shared" si="153"/>
        <v>79NULT</v>
      </c>
    </row>
    <row r="1371" spans="1:22">
      <c r="A1371" t="s">
        <v>5465</v>
      </c>
      <c r="B1371" t="s">
        <v>5538</v>
      </c>
      <c r="C1371" t="s">
        <v>5599</v>
      </c>
      <c r="D1371" t="s">
        <v>5600</v>
      </c>
      <c r="E1371" t="s">
        <v>5601</v>
      </c>
      <c r="F1371" t="s">
        <v>27</v>
      </c>
      <c r="G1371">
        <v>1</v>
      </c>
      <c r="H1371" t="s">
        <v>5602</v>
      </c>
      <c r="I1371" t="s">
        <v>5603</v>
      </c>
      <c r="J1371" t="s">
        <v>5604</v>
      </c>
      <c r="K1371" t="s">
        <v>5603</v>
      </c>
      <c r="L1371" t="s">
        <v>5605</v>
      </c>
      <c r="M1371" s="1" t="str">
        <f t="shared" si="148"/>
        <v>21R439</v>
      </c>
      <c r="N1371" s="1" t="str">
        <f t="shared" si="149"/>
        <v>C/O</v>
      </c>
      <c r="O1371" s="1" t="str">
        <f t="shared" si="150"/>
        <v>Hoist/Pulldown Cylinder</v>
      </c>
      <c r="P1371" s="1" t="str">
        <f t="shared" si="151"/>
        <v>DN70</v>
      </c>
      <c r="Q1371" s="2" t="str">
        <f t="shared" si="152"/>
        <v>DN70Hoist/Pulldown Cylinder</v>
      </c>
      <c r="R1371" s="2" t="str">
        <f>New_Xref[[#This Row],[Serial Prefix]]&amp;IF(New_Xref[[#This Row],[Func Loc]]&lt;&gt;"",New_Xref[[#This Row],[Func Loc]],"NO MATCH")</f>
        <v>DN70MYHD .CYLI.HOPU</v>
      </c>
      <c r="S1371" s="3" t="str">
        <f t="shared" si="147"/>
        <v>DN706069297XHoist/Pulldown Cylinder</v>
      </c>
      <c r="T1371" s="3" t="s">
        <v>5606</v>
      </c>
      <c r="U1371" s="3" t="s">
        <v>34</v>
      </c>
      <c r="V1371" t="str">
        <f t="shared" si="153"/>
        <v>79NZ00</v>
      </c>
    </row>
    <row r="1372" spans="1:22">
      <c r="A1372" t="s">
        <v>5465</v>
      </c>
      <c r="B1372" t="s">
        <v>5583</v>
      </c>
      <c r="C1372" t="s">
        <v>5607</v>
      </c>
      <c r="D1372" t="s">
        <v>5608</v>
      </c>
      <c r="E1372" t="s">
        <v>5609</v>
      </c>
      <c r="F1372" t="s">
        <v>125</v>
      </c>
      <c r="G1372">
        <v>1</v>
      </c>
      <c r="H1372" t="s">
        <v>5610</v>
      </c>
      <c r="I1372" t="s">
        <v>5611</v>
      </c>
      <c r="J1372" t="s">
        <v>5612</v>
      </c>
      <c r="K1372" t="s">
        <v>5613</v>
      </c>
      <c r="L1372" t="s">
        <v>5614</v>
      </c>
      <c r="M1372" s="1" t="str">
        <f t="shared" si="148"/>
        <v>21B378</v>
      </c>
      <c r="N1372" s="1" t="str">
        <f t="shared" si="149"/>
        <v>C/O</v>
      </c>
      <c r="O1372" s="1" t="str">
        <f t="shared" si="150"/>
        <v>Rotary Head Gear Box</v>
      </c>
      <c r="P1372" s="1" t="str">
        <f t="shared" si="151"/>
        <v>DN70</v>
      </c>
      <c r="Q1372" s="2" t="str">
        <f t="shared" si="152"/>
        <v>DN70Rotary Head Gear Box</v>
      </c>
      <c r="R1372" s="2" t="str">
        <f>New_Xref[[#This Row],[Serial Prefix]]&amp;IF(New_Xref[[#This Row],[Func Loc]]&lt;&gt;"",New_Xref[[#This Row],[Func Loc]],"NO MATCH")</f>
        <v>DN70TRAN .RHGB</v>
      </c>
      <c r="S1372" s="3" t="str">
        <f t="shared" si="147"/>
        <v>DN705275343XRotary Head Gear Box</v>
      </c>
      <c r="T1372" s="3" t="s">
        <v>5615</v>
      </c>
      <c r="U1372" s="3" t="s">
        <v>34</v>
      </c>
      <c r="V1372" t="str">
        <f t="shared" si="153"/>
        <v>79P300</v>
      </c>
    </row>
    <row r="1373" spans="1:22">
      <c r="A1373" t="s">
        <v>5465</v>
      </c>
      <c r="B1373" t="s">
        <v>5466</v>
      </c>
      <c r="C1373" t="s">
        <v>5607</v>
      </c>
      <c r="D1373" t="s">
        <v>5608</v>
      </c>
      <c r="E1373" t="s">
        <v>5609</v>
      </c>
      <c r="F1373" t="s">
        <v>125</v>
      </c>
      <c r="G1373">
        <v>1</v>
      </c>
      <c r="H1373" t="s">
        <v>5610</v>
      </c>
      <c r="I1373" t="s">
        <v>5616</v>
      </c>
      <c r="J1373" t="s">
        <v>5617</v>
      </c>
      <c r="K1373" t="s">
        <v>5616</v>
      </c>
      <c r="L1373" t="s">
        <v>83</v>
      </c>
      <c r="M1373" s="1" t="str">
        <f t="shared" si="148"/>
        <v>21B311</v>
      </c>
      <c r="N1373" s="1" t="str">
        <f t="shared" si="149"/>
        <v>C/O</v>
      </c>
      <c r="O1373" s="1" t="str">
        <f t="shared" si="150"/>
        <v>Rotary Head Gearbox</v>
      </c>
      <c r="P1373" s="1" t="str">
        <f t="shared" si="151"/>
        <v>DN70</v>
      </c>
      <c r="Q1373" s="2" t="str">
        <f t="shared" si="152"/>
        <v>DN70Rotary Head Gearbox</v>
      </c>
      <c r="R1373" s="2" t="str">
        <f>New_Xref[[#This Row],[Serial Prefix]]&amp;IF(New_Xref[[#This Row],[Func Loc]]&lt;&gt;"",New_Xref[[#This Row],[Func Loc]],"NO MATCH")</f>
        <v>DN70NO MATCH</v>
      </c>
      <c r="S1373" s="3" t="str">
        <f t="shared" si="147"/>
        <v>DN705275343XRotary Head Gearbox</v>
      </c>
      <c r="T1373" s="3" t="s">
        <v>5615</v>
      </c>
      <c r="U1373" s="3" t="s">
        <v>34</v>
      </c>
      <c r="V1373" t="str">
        <f t="shared" si="153"/>
        <v>79P300</v>
      </c>
    </row>
    <row r="1374" spans="1:22">
      <c r="A1374" t="s">
        <v>5465</v>
      </c>
      <c r="B1374" t="s">
        <v>5466</v>
      </c>
      <c r="H1374" t="s">
        <v>5618</v>
      </c>
      <c r="I1374" t="s">
        <v>5619</v>
      </c>
      <c r="J1374" t="s">
        <v>5620</v>
      </c>
      <c r="K1374" t="s">
        <v>5619</v>
      </c>
      <c r="L1374" t="s">
        <v>83</v>
      </c>
      <c r="M1374" s="1" t="str">
        <f t="shared" si="148"/>
        <v>21B311</v>
      </c>
      <c r="N1374" s="1" t="str">
        <f t="shared" si="149"/>
        <v>C/O</v>
      </c>
      <c r="O1374" s="1" t="str">
        <f t="shared" si="150"/>
        <v>Hoist Cables</v>
      </c>
      <c r="P1374" s="1" t="str">
        <f t="shared" si="151"/>
        <v>DN70</v>
      </c>
      <c r="Q1374" s="2" t="str">
        <f t="shared" si="152"/>
        <v>DN70Hoist Cables</v>
      </c>
      <c r="R1374" s="2" t="str">
        <f>New_Xref[[#This Row],[Serial Prefix]]&amp;IF(New_Xref[[#This Row],[Func Loc]]&lt;&gt;"",New_Xref[[#This Row],[Func Loc]],"NO MATCH")</f>
        <v>DN70NO MATCH</v>
      </c>
      <c r="S1374" s="3" t="str">
        <f t="shared" si="147"/>
        <v>DN70Hoist Cables</v>
      </c>
      <c r="T1374" s="3" t="s">
        <v>5621</v>
      </c>
      <c r="U1374" s="3" t="s">
        <v>108</v>
      </c>
      <c r="V1374" t="str">
        <f t="shared" si="153"/>
        <v>89ACLT</v>
      </c>
    </row>
    <row r="1375" spans="1:22">
      <c r="A1375" t="s">
        <v>5465</v>
      </c>
      <c r="B1375" t="s">
        <v>5466</v>
      </c>
      <c r="H1375" t="s">
        <v>5622</v>
      </c>
      <c r="I1375" t="s">
        <v>5623</v>
      </c>
      <c r="J1375" t="s">
        <v>5624</v>
      </c>
      <c r="K1375" t="s">
        <v>5623</v>
      </c>
      <c r="L1375" t="s">
        <v>83</v>
      </c>
      <c r="M1375" s="1" t="str">
        <f t="shared" si="148"/>
        <v>21B311</v>
      </c>
      <c r="N1375" s="1" t="str">
        <f t="shared" si="149"/>
        <v>C/O</v>
      </c>
      <c r="O1375" s="1" t="str">
        <f t="shared" si="150"/>
        <v>Pulldown Cables</v>
      </c>
      <c r="P1375" s="1" t="str">
        <f t="shared" si="151"/>
        <v>DN70</v>
      </c>
      <c r="Q1375" s="2" t="str">
        <f t="shared" si="152"/>
        <v>DN70Pulldown Cables</v>
      </c>
      <c r="R1375" s="2" t="str">
        <f>New_Xref[[#This Row],[Serial Prefix]]&amp;IF(New_Xref[[#This Row],[Func Loc]]&lt;&gt;"",New_Xref[[#This Row],[Func Loc]],"NO MATCH")</f>
        <v>DN70NO MATCH</v>
      </c>
      <c r="S1375" s="3" t="str">
        <f t="shared" si="147"/>
        <v>DN70Pulldown Cables</v>
      </c>
      <c r="T1375" s="3" t="s">
        <v>5625</v>
      </c>
      <c r="U1375" s="3" t="s">
        <v>108</v>
      </c>
      <c r="V1375" t="str">
        <f t="shared" si="153"/>
        <v>89AFLT</v>
      </c>
    </row>
    <row r="1376" spans="1:22">
      <c r="A1376" t="s">
        <v>5465</v>
      </c>
      <c r="B1376" t="s">
        <v>5626</v>
      </c>
      <c r="H1376" t="s">
        <v>5627</v>
      </c>
      <c r="I1376" t="s">
        <v>5628</v>
      </c>
      <c r="J1376" t="s">
        <v>5629</v>
      </c>
      <c r="K1376" t="s">
        <v>5630</v>
      </c>
      <c r="L1376" t="s">
        <v>5631</v>
      </c>
      <c r="M1376" s="1" t="str">
        <f t="shared" si="148"/>
        <v>21R440</v>
      </c>
      <c r="N1376" s="1" t="str">
        <f t="shared" si="149"/>
        <v>C/O</v>
      </c>
      <c r="O1376" s="1" t="str">
        <f t="shared" si="150"/>
        <v>Mast Pulldown Cables</v>
      </c>
      <c r="P1376" s="1" t="str">
        <f t="shared" si="151"/>
        <v>DN70</v>
      </c>
      <c r="Q1376" s="2" t="str">
        <f t="shared" si="152"/>
        <v>DN70Mast Pulldown Cables</v>
      </c>
      <c r="R1376" s="2" t="str">
        <f>New_Xref[[#This Row],[Serial Prefix]]&amp;IF(New_Xref[[#This Row],[Func Loc]]&lt;&gt;"",New_Xref[[#This Row],[Func Loc]],"NO MATCH")</f>
        <v>DN70MAST .CABL.CAB2</v>
      </c>
      <c r="S1376" s="3" t="str">
        <f t="shared" si="147"/>
        <v>DN70Mast Pulldown Cables</v>
      </c>
      <c r="T1376" t="s">
        <v>5625</v>
      </c>
      <c r="U1376" t="s">
        <v>108</v>
      </c>
      <c r="V1376" t="str">
        <f t="shared" si="153"/>
        <v>89AFLT</v>
      </c>
    </row>
    <row r="1377" spans="1:22">
      <c r="A1377" t="s">
        <v>5465</v>
      </c>
      <c r="B1377" t="s">
        <v>5626</v>
      </c>
      <c r="H1377" t="s">
        <v>5632</v>
      </c>
      <c r="I1377" t="s">
        <v>5633</v>
      </c>
      <c r="J1377" t="s">
        <v>5634</v>
      </c>
      <c r="K1377" t="s">
        <v>5635</v>
      </c>
      <c r="L1377" t="s">
        <v>5636</v>
      </c>
      <c r="M1377" s="1" t="str">
        <f t="shared" si="148"/>
        <v>21R440</v>
      </c>
      <c r="N1377" s="1" t="str">
        <f t="shared" si="149"/>
        <v>C/O</v>
      </c>
      <c r="O1377" s="1" t="str">
        <f t="shared" si="150"/>
        <v>Mast Hoist Cables</v>
      </c>
      <c r="P1377" s="1" t="str">
        <f t="shared" si="151"/>
        <v>DN70</v>
      </c>
      <c r="Q1377" s="2" t="str">
        <f t="shared" si="152"/>
        <v>DN70Mast Hoist Cables</v>
      </c>
      <c r="R1377" s="2" t="str">
        <f>New_Xref[[#This Row],[Serial Prefix]]&amp;IF(New_Xref[[#This Row],[Func Loc]]&lt;&gt;"",New_Xref[[#This Row],[Func Loc]],"NO MATCH")</f>
        <v>DN70MAST .CABL.CAB1</v>
      </c>
      <c r="S1377" s="3" t="str">
        <f t="shared" si="147"/>
        <v>DN70Mast Hoist Cables</v>
      </c>
      <c r="T1377" t="s">
        <v>5637</v>
      </c>
      <c r="U1377" t="s">
        <v>108</v>
      </c>
      <c r="V1377" t="str">
        <f t="shared" si="153"/>
        <v>89AGLT</v>
      </c>
    </row>
    <row r="1378" spans="1:22">
      <c r="A1378" t="s">
        <v>5465</v>
      </c>
      <c r="B1378" t="s">
        <v>5538</v>
      </c>
      <c r="C1378" t="s">
        <v>5638</v>
      </c>
      <c r="D1378" t="s">
        <v>5639</v>
      </c>
      <c r="E1378" t="s">
        <v>5567</v>
      </c>
      <c r="F1378" t="s">
        <v>27</v>
      </c>
      <c r="G1378">
        <v>1</v>
      </c>
      <c r="H1378" t="s">
        <v>5640</v>
      </c>
      <c r="I1378" t="s">
        <v>5641</v>
      </c>
      <c r="J1378" t="s">
        <v>5642</v>
      </c>
      <c r="K1378" t="s">
        <v>5641</v>
      </c>
      <c r="L1378" t="s">
        <v>83</v>
      </c>
      <c r="M1378" s="1" t="str">
        <f t="shared" si="148"/>
        <v>21R439</v>
      </c>
      <c r="N1378" s="1" t="str">
        <f t="shared" si="149"/>
        <v>C/O</v>
      </c>
      <c r="O1378" s="1" t="str">
        <f t="shared" si="150"/>
        <v>Cable Tension Cyl Lower CS</v>
      </c>
      <c r="P1378" s="1" t="str">
        <f t="shared" si="151"/>
        <v>DN70</v>
      </c>
      <c r="Q1378" s="2" t="str">
        <f t="shared" si="152"/>
        <v>DN70Cable Tension Cyl Lower CS</v>
      </c>
      <c r="R1378" s="2" t="str">
        <f>New_Xref[[#This Row],[Serial Prefix]]&amp;IF(New_Xref[[#This Row],[Func Loc]]&lt;&gt;"",New_Xref[[#This Row],[Func Loc]],"NO MATCH")</f>
        <v>DN70NO MATCH</v>
      </c>
      <c r="S1378" s="3" t="str">
        <f t="shared" si="147"/>
        <v>DN705249002Cable Tension Cyl Lower CS</v>
      </c>
      <c r="T1378" s="3" t="s">
        <v>5643</v>
      </c>
      <c r="U1378" s="2" t="s">
        <v>5644</v>
      </c>
      <c r="V1378" t="str">
        <f t="shared" si="153"/>
        <v>89BZRLH</v>
      </c>
    </row>
    <row r="1379" spans="1:22">
      <c r="A1379" t="s">
        <v>5465</v>
      </c>
      <c r="B1379" t="s">
        <v>5538</v>
      </c>
      <c r="C1379" t="s">
        <v>5638</v>
      </c>
      <c r="D1379" t="s">
        <v>5639</v>
      </c>
      <c r="E1379" t="s">
        <v>5567</v>
      </c>
      <c r="F1379" t="s">
        <v>27</v>
      </c>
      <c r="G1379">
        <v>1</v>
      </c>
      <c r="H1379" t="s">
        <v>5640</v>
      </c>
      <c r="I1379" t="s">
        <v>5645</v>
      </c>
      <c r="J1379" t="s">
        <v>5646</v>
      </c>
      <c r="K1379" t="s">
        <v>5645</v>
      </c>
      <c r="L1379" t="s">
        <v>83</v>
      </c>
      <c r="M1379" s="1" t="str">
        <f t="shared" si="148"/>
        <v>21R439</v>
      </c>
      <c r="N1379" s="1" t="str">
        <f t="shared" si="149"/>
        <v>C/O</v>
      </c>
      <c r="O1379" s="1" t="str">
        <f t="shared" si="150"/>
        <v>Cable Tension Cyl Lower NCS</v>
      </c>
      <c r="P1379" s="1" t="str">
        <f t="shared" si="151"/>
        <v>DN70</v>
      </c>
      <c r="Q1379" s="2" t="str">
        <f t="shared" si="152"/>
        <v>DN70Cable Tension Cyl Lower NCS</v>
      </c>
      <c r="R1379" s="2" t="str">
        <f>New_Xref[[#This Row],[Serial Prefix]]&amp;IF(New_Xref[[#This Row],[Func Loc]]&lt;&gt;"",New_Xref[[#This Row],[Func Loc]],"NO MATCH")</f>
        <v>DN70NO MATCH</v>
      </c>
      <c r="S1379" s="3" t="str">
        <f t="shared" si="147"/>
        <v>DN705249002Cable Tension Cyl Lower NCS</v>
      </c>
      <c r="T1379" s="3" t="s">
        <v>5643</v>
      </c>
      <c r="U1379" s="2" t="s">
        <v>5647</v>
      </c>
      <c r="V1379" t="str">
        <f t="shared" si="153"/>
        <v>89BZLLH</v>
      </c>
    </row>
    <row r="1380" spans="1:22">
      <c r="A1380" t="s">
        <v>5465</v>
      </c>
      <c r="B1380" t="s">
        <v>5538</v>
      </c>
      <c r="C1380" t="s">
        <v>5638</v>
      </c>
      <c r="D1380" t="s">
        <v>5639</v>
      </c>
      <c r="E1380" t="s">
        <v>5567</v>
      </c>
      <c r="F1380" t="s">
        <v>27</v>
      </c>
      <c r="G1380">
        <v>1</v>
      </c>
      <c r="H1380" t="s">
        <v>5640</v>
      </c>
      <c r="I1380" t="s">
        <v>5648</v>
      </c>
      <c r="J1380" t="s">
        <v>5649</v>
      </c>
      <c r="K1380" t="s">
        <v>5648</v>
      </c>
      <c r="L1380" t="s">
        <v>83</v>
      </c>
      <c r="M1380" s="1" t="str">
        <f t="shared" si="148"/>
        <v>21R439</v>
      </c>
      <c r="N1380" s="1" t="str">
        <f t="shared" si="149"/>
        <v>C/O</v>
      </c>
      <c r="O1380" s="1" t="str">
        <f t="shared" si="150"/>
        <v>Cable Tension Cyl Upper CS</v>
      </c>
      <c r="P1380" s="1" t="str">
        <f t="shared" si="151"/>
        <v>DN70</v>
      </c>
      <c r="Q1380" s="2" t="str">
        <f t="shared" si="152"/>
        <v>DN70Cable Tension Cyl Upper CS</v>
      </c>
      <c r="R1380" s="2" t="str">
        <f>New_Xref[[#This Row],[Serial Prefix]]&amp;IF(New_Xref[[#This Row],[Func Loc]]&lt;&gt;"",New_Xref[[#This Row],[Func Loc]],"NO MATCH")</f>
        <v>DN70NO MATCH</v>
      </c>
      <c r="S1380" s="3" t="str">
        <f t="shared" si="147"/>
        <v>DN705249002Cable Tension Cyl Upper CS</v>
      </c>
      <c r="T1380" s="3" t="s">
        <v>5643</v>
      </c>
      <c r="U1380" s="2" t="s">
        <v>5650</v>
      </c>
      <c r="V1380" t="str">
        <f t="shared" si="153"/>
        <v>89BZRUZ</v>
      </c>
    </row>
    <row r="1381" spans="1:22">
      <c r="A1381" t="s">
        <v>5465</v>
      </c>
      <c r="B1381" t="s">
        <v>5538</v>
      </c>
      <c r="C1381" t="s">
        <v>5638</v>
      </c>
      <c r="D1381" t="s">
        <v>5639</v>
      </c>
      <c r="E1381" t="s">
        <v>5567</v>
      </c>
      <c r="F1381" t="s">
        <v>27</v>
      </c>
      <c r="G1381">
        <v>1</v>
      </c>
      <c r="H1381" t="s">
        <v>5640</v>
      </c>
      <c r="I1381" t="s">
        <v>5651</v>
      </c>
      <c r="J1381" t="s">
        <v>5652</v>
      </c>
      <c r="K1381" t="s">
        <v>5651</v>
      </c>
      <c r="L1381" t="s">
        <v>83</v>
      </c>
      <c r="M1381" s="1" t="str">
        <f t="shared" si="148"/>
        <v>21R439</v>
      </c>
      <c r="N1381" s="1" t="str">
        <f t="shared" si="149"/>
        <v>C/O</v>
      </c>
      <c r="O1381" s="1" t="str">
        <f t="shared" si="150"/>
        <v>Cable Tension Cyl Upper NCS</v>
      </c>
      <c r="P1381" s="1" t="str">
        <f t="shared" si="151"/>
        <v>DN70</v>
      </c>
      <c r="Q1381" s="2" t="str">
        <f t="shared" si="152"/>
        <v>DN70Cable Tension Cyl Upper NCS</v>
      </c>
      <c r="R1381" s="2" t="str">
        <f>New_Xref[[#This Row],[Serial Prefix]]&amp;IF(New_Xref[[#This Row],[Func Loc]]&lt;&gt;"",New_Xref[[#This Row],[Func Loc]],"NO MATCH")</f>
        <v>DN70NO MATCH</v>
      </c>
      <c r="S1381" s="3" t="str">
        <f t="shared" si="147"/>
        <v>DN705249002Cable Tension Cyl Upper NCS</v>
      </c>
      <c r="T1381" s="3" t="s">
        <v>5643</v>
      </c>
      <c r="U1381" s="2" t="s">
        <v>5653</v>
      </c>
      <c r="V1381" t="str">
        <f t="shared" si="153"/>
        <v>89BZLUZ</v>
      </c>
    </row>
    <row r="1382" spans="1:22">
      <c r="A1382" t="s">
        <v>5654</v>
      </c>
      <c r="B1382" t="s">
        <v>5655</v>
      </c>
      <c r="C1382" t="s">
        <v>5656</v>
      </c>
      <c r="D1382" t="s">
        <v>5657</v>
      </c>
      <c r="E1382" t="s">
        <v>5658</v>
      </c>
      <c r="F1382" t="s">
        <v>27</v>
      </c>
      <c r="G1382">
        <v>1</v>
      </c>
      <c r="H1382" t="s">
        <v>5659</v>
      </c>
      <c r="I1382" t="s">
        <v>5660</v>
      </c>
      <c r="J1382" t="s">
        <v>5661</v>
      </c>
      <c r="K1382" t="s">
        <v>5662</v>
      </c>
      <c r="L1382" t="s">
        <v>32</v>
      </c>
      <c r="M1382" s="1" t="str">
        <f t="shared" si="148"/>
        <v>21B290</v>
      </c>
      <c r="N1382" s="1" t="str">
        <f t="shared" si="149"/>
        <v>C/O</v>
      </c>
      <c r="O1382" s="1" t="str">
        <f t="shared" si="150"/>
        <v>Engine</v>
      </c>
      <c r="P1382" s="1" t="str">
        <f t="shared" si="151"/>
        <v>DLK0</v>
      </c>
      <c r="Q1382" s="2" t="str">
        <f t="shared" si="152"/>
        <v>DLK0Engine</v>
      </c>
      <c r="R1382" s="2" t="str">
        <f>New_Xref[[#This Row],[Serial Prefix]]&amp;IF(New_Xref[[#This Row],[Func Loc]]&lt;&gt;"",New_Xref[[#This Row],[Func Loc]],"NO MATCH")</f>
        <v>DLK0ENGD</v>
      </c>
      <c r="S1382" s="3" t="str">
        <f t="shared" si="147"/>
        <v>DLK05875935XEngine</v>
      </c>
      <c r="T1382" s="3" t="s">
        <v>33</v>
      </c>
      <c r="U1382" s="3" t="s">
        <v>34</v>
      </c>
      <c r="V1382" t="str">
        <f t="shared" si="153"/>
        <v>100000</v>
      </c>
    </row>
    <row r="1383" spans="1:22">
      <c r="A1383" t="s">
        <v>5654</v>
      </c>
      <c r="B1383" t="s">
        <v>5655</v>
      </c>
      <c r="C1383" t="s">
        <v>5663</v>
      </c>
      <c r="D1383" t="s">
        <v>5664</v>
      </c>
      <c r="E1383" t="s">
        <v>263</v>
      </c>
      <c r="F1383" t="s">
        <v>27</v>
      </c>
      <c r="G1383">
        <v>1</v>
      </c>
      <c r="H1383" t="s">
        <v>5665</v>
      </c>
      <c r="I1383" t="s">
        <v>5660</v>
      </c>
      <c r="J1383" t="s">
        <v>5666</v>
      </c>
      <c r="K1383" t="s">
        <v>5667</v>
      </c>
      <c r="L1383" t="s">
        <v>83</v>
      </c>
      <c r="M1383" s="1" t="str">
        <f t="shared" si="148"/>
        <v>21B290</v>
      </c>
      <c r="N1383" s="1" t="str">
        <f t="shared" si="149"/>
        <v>C/O</v>
      </c>
      <c r="O1383" s="1" t="str">
        <f t="shared" si="150"/>
        <v>Turbocharger CS</v>
      </c>
      <c r="P1383" s="1" t="str">
        <f t="shared" si="151"/>
        <v>DLK0</v>
      </c>
      <c r="Q1383" s="2" t="str">
        <f t="shared" si="152"/>
        <v>DLK0Turbocharger CS</v>
      </c>
      <c r="R1383" s="2" t="str">
        <f>New_Xref[[#This Row],[Serial Prefix]]&amp;IF(New_Xref[[#This Row],[Func Loc]]&lt;&gt;"",New_Xref[[#This Row],[Func Loc]],"NO MATCH")</f>
        <v>DLK0NO MATCH</v>
      </c>
      <c r="S1383" s="3" t="str">
        <f t="shared" si="147"/>
        <v>DLK020R3688Turbocharger CS</v>
      </c>
      <c r="T1383" s="3" t="s">
        <v>47</v>
      </c>
      <c r="U1383" s="3" t="s">
        <v>115</v>
      </c>
      <c r="V1383" t="str">
        <f t="shared" si="153"/>
        <v>1052RI</v>
      </c>
    </row>
    <row r="1384" spans="1:22">
      <c r="A1384" t="s">
        <v>5654</v>
      </c>
      <c r="B1384" t="s">
        <v>5655</v>
      </c>
      <c r="C1384" t="s">
        <v>5668</v>
      </c>
      <c r="D1384" t="s">
        <v>5669</v>
      </c>
      <c r="E1384" t="s">
        <v>263</v>
      </c>
      <c r="F1384" t="s">
        <v>27</v>
      </c>
      <c r="G1384">
        <v>1</v>
      </c>
      <c r="H1384" t="s">
        <v>5670</v>
      </c>
      <c r="I1384" t="s">
        <v>5660</v>
      </c>
      <c r="J1384" t="s">
        <v>5671</v>
      </c>
      <c r="K1384" t="s">
        <v>5672</v>
      </c>
      <c r="L1384" t="s">
        <v>83</v>
      </c>
      <c r="M1384" s="1" t="str">
        <f t="shared" si="148"/>
        <v>21B290</v>
      </c>
      <c r="N1384" s="1" t="str">
        <f t="shared" si="149"/>
        <v>C/O</v>
      </c>
      <c r="O1384" s="1" t="str">
        <f t="shared" si="150"/>
        <v>Turbocharger NCS</v>
      </c>
      <c r="P1384" s="1" t="str">
        <f t="shared" si="151"/>
        <v>DLK0</v>
      </c>
      <c r="Q1384" s="2" t="str">
        <f t="shared" si="152"/>
        <v>DLK0Turbocharger NCS</v>
      </c>
      <c r="R1384" s="2" t="str">
        <f>New_Xref[[#This Row],[Serial Prefix]]&amp;IF(New_Xref[[#This Row],[Func Loc]]&lt;&gt;"",New_Xref[[#This Row],[Func Loc]],"NO MATCH")</f>
        <v>DLK0NO MATCH</v>
      </c>
      <c r="S1384" s="3" t="str">
        <f t="shared" si="147"/>
        <v>DLK020R3695Turbocharger NCS</v>
      </c>
      <c r="T1384" s="3" t="s">
        <v>47</v>
      </c>
      <c r="U1384" s="3" t="s">
        <v>108</v>
      </c>
      <c r="V1384" t="str">
        <f t="shared" si="153"/>
        <v>1052LT</v>
      </c>
    </row>
    <row r="1385" spans="1:22">
      <c r="A1385" t="s">
        <v>5654</v>
      </c>
      <c r="B1385" t="s">
        <v>5673</v>
      </c>
      <c r="C1385" t="s">
        <v>5668</v>
      </c>
      <c r="D1385" t="s">
        <v>5669</v>
      </c>
      <c r="E1385" t="s">
        <v>263</v>
      </c>
      <c r="F1385" t="s">
        <v>27</v>
      </c>
      <c r="G1385">
        <v>1</v>
      </c>
      <c r="H1385" t="s">
        <v>5670</v>
      </c>
      <c r="I1385" t="s">
        <v>5674</v>
      </c>
      <c r="J1385" t="s">
        <v>5675</v>
      </c>
      <c r="K1385" t="s">
        <v>5676</v>
      </c>
      <c r="L1385" t="s">
        <v>719</v>
      </c>
      <c r="M1385" s="1" t="str">
        <f t="shared" si="148"/>
        <v>21R371</v>
      </c>
      <c r="N1385" s="1" t="str">
        <f t="shared" si="149"/>
        <v>C/O</v>
      </c>
      <c r="O1385" s="1" t="str">
        <f t="shared" si="150"/>
        <v>Engine Turbocharger NCS</v>
      </c>
      <c r="P1385" s="1" t="str">
        <f t="shared" si="151"/>
        <v>DLK0</v>
      </c>
      <c r="Q1385" s="2" t="str">
        <f t="shared" si="152"/>
        <v>DLK0Engine Turbocharger NCS</v>
      </c>
      <c r="R1385" s="2" t="str">
        <f>New_Xref[[#This Row],[Serial Prefix]]&amp;IF(New_Xref[[#This Row],[Func Loc]]&lt;&gt;"",New_Xref[[#This Row],[Func Loc]],"NO MATCH")</f>
        <v>DLK0ENGD .TURB.TC01</v>
      </c>
      <c r="S1385" s="3" t="str">
        <f t="shared" si="147"/>
        <v>DLK020R3695Engine Turbocharger NCS</v>
      </c>
      <c r="T1385" s="3" t="s">
        <v>47</v>
      </c>
      <c r="U1385" s="3" t="s">
        <v>108</v>
      </c>
      <c r="V1385" t="str">
        <f t="shared" si="153"/>
        <v>1052LT</v>
      </c>
    </row>
    <row r="1386" spans="1:22">
      <c r="A1386" t="s">
        <v>5654</v>
      </c>
      <c r="B1386" t="s">
        <v>5673</v>
      </c>
      <c r="C1386" t="s">
        <v>5663</v>
      </c>
      <c r="D1386" t="s">
        <v>5664</v>
      </c>
      <c r="E1386" t="s">
        <v>263</v>
      </c>
      <c r="F1386" t="s">
        <v>27</v>
      </c>
      <c r="G1386">
        <v>1</v>
      </c>
      <c r="H1386" t="s">
        <v>5665</v>
      </c>
      <c r="I1386" t="s">
        <v>5674</v>
      </c>
      <c r="J1386" t="s">
        <v>5677</v>
      </c>
      <c r="K1386" t="s">
        <v>5678</v>
      </c>
      <c r="L1386" t="s">
        <v>722</v>
      </c>
      <c r="M1386" s="1" t="str">
        <f t="shared" si="148"/>
        <v>21R371</v>
      </c>
      <c r="N1386" s="1" t="str">
        <f t="shared" si="149"/>
        <v>C/O</v>
      </c>
      <c r="O1386" s="1" t="str">
        <f t="shared" si="150"/>
        <v>Engine Turbocharger CS</v>
      </c>
      <c r="P1386" s="1" t="str">
        <f t="shared" si="151"/>
        <v>DLK0</v>
      </c>
      <c r="Q1386" s="2" t="str">
        <f t="shared" si="152"/>
        <v>DLK0Engine Turbocharger CS</v>
      </c>
      <c r="R1386" s="2" t="str">
        <f>New_Xref[[#This Row],[Serial Prefix]]&amp;IF(New_Xref[[#This Row],[Func Loc]]&lt;&gt;"",New_Xref[[#This Row],[Func Loc]],"NO MATCH")</f>
        <v>DLK0ENGD .TURB.TC02</v>
      </c>
      <c r="S1386" s="3" t="str">
        <f t="shared" si="147"/>
        <v>DLK020R3688Engine Turbocharger CS</v>
      </c>
      <c r="T1386" s="3" t="s">
        <v>47</v>
      </c>
      <c r="U1386" s="3" t="s">
        <v>115</v>
      </c>
      <c r="V1386" t="str">
        <f t="shared" si="153"/>
        <v>1052RI</v>
      </c>
    </row>
    <row r="1387" spans="1:22">
      <c r="A1387" t="s">
        <v>5654</v>
      </c>
      <c r="B1387" t="s">
        <v>5655</v>
      </c>
      <c r="C1387" t="s">
        <v>431</v>
      </c>
      <c r="D1387" t="s">
        <v>432</v>
      </c>
      <c r="E1387" t="s">
        <v>276</v>
      </c>
      <c r="F1387" t="s">
        <v>27</v>
      </c>
      <c r="G1387">
        <v>12</v>
      </c>
      <c r="H1387" t="s">
        <v>5679</v>
      </c>
      <c r="I1387" t="s">
        <v>5660</v>
      </c>
      <c r="J1387" t="s">
        <v>5680</v>
      </c>
      <c r="K1387" t="s">
        <v>5681</v>
      </c>
      <c r="L1387" t="s">
        <v>83</v>
      </c>
      <c r="M1387" s="1" t="str">
        <f t="shared" si="148"/>
        <v>21B290</v>
      </c>
      <c r="N1387" s="1" t="str">
        <f t="shared" si="149"/>
        <v>C/O</v>
      </c>
      <c r="O1387" s="1" t="str">
        <f t="shared" si="150"/>
        <v>Fuel Injectors</v>
      </c>
      <c r="P1387" s="1" t="str">
        <f t="shared" si="151"/>
        <v>DLK0</v>
      </c>
      <c r="Q1387" s="2" t="str">
        <f t="shared" si="152"/>
        <v>DLK0Fuel Injectors</v>
      </c>
      <c r="R1387" s="2" t="str">
        <f>New_Xref[[#This Row],[Serial Prefix]]&amp;IF(New_Xref[[#This Row],[Func Loc]]&lt;&gt;"",New_Xref[[#This Row],[Func Loc]],"NO MATCH")</f>
        <v>DLK0NO MATCH</v>
      </c>
      <c r="S1387" s="3" t="str">
        <f t="shared" si="147"/>
        <v>DLK06470750Fuel Injectors</v>
      </c>
      <c r="T1387" s="3" t="s">
        <v>63</v>
      </c>
      <c r="U1387" s="3" t="s">
        <v>34</v>
      </c>
      <c r="V1387" t="str">
        <f t="shared" si="153"/>
        <v>125100</v>
      </c>
    </row>
    <row r="1388" spans="1:22">
      <c r="A1388" t="s">
        <v>5654</v>
      </c>
      <c r="B1388" t="s">
        <v>5673</v>
      </c>
      <c r="H1388" t="s">
        <v>5679</v>
      </c>
      <c r="I1388" t="s">
        <v>5674</v>
      </c>
      <c r="J1388" t="s">
        <v>5682</v>
      </c>
      <c r="K1388" t="s">
        <v>5683</v>
      </c>
      <c r="L1388" t="s">
        <v>62</v>
      </c>
      <c r="M1388" s="1" t="str">
        <f t="shared" si="148"/>
        <v>21R371</v>
      </c>
      <c r="N1388" s="1" t="str">
        <f t="shared" si="149"/>
        <v>C/O</v>
      </c>
      <c r="O1388" s="1" t="str">
        <f t="shared" si="150"/>
        <v>Engine Fuel Injectors</v>
      </c>
      <c r="P1388" s="1" t="str">
        <f t="shared" si="151"/>
        <v>DLK0</v>
      </c>
      <c r="Q1388" s="2" t="str">
        <f t="shared" si="152"/>
        <v>DLK0Engine Fuel Injectors</v>
      </c>
      <c r="R1388" s="2" t="str">
        <f>New_Xref[[#This Row],[Serial Prefix]]&amp;IF(New_Xref[[#This Row],[Func Loc]]&lt;&gt;"",New_Xref[[#This Row],[Func Loc]],"NO MATCH")</f>
        <v>DLK0ENGD .FUEL.INJE</v>
      </c>
      <c r="S1388" s="3" t="str">
        <f t="shared" si="147"/>
        <v>DLK0Engine Fuel Injectors</v>
      </c>
      <c r="T1388" s="3" t="s">
        <v>63</v>
      </c>
      <c r="U1388" s="3" t="s">
        <v>34</v>
      </c>
      <c r="V1388" t="str">
        <f t="shared" si="153"/>
        <v>125100</v>
      </c>
    </row>
    <row r="1389" spans="1:22">
      <c r="A1389" t="s">
        <v>5654</v>
      </c>
      <c r="B1389" t="s">
        <v>5684</v>
      </c>
      <c r="C1389" t="s">
        <v>5685</v>
      </c>
      <c r="D1389" t="s">
        <v>5686</v>
      </c>
      <c r="E1389" t="s">
        <v>5687</v>
      </c>
      <c r="F1389" t="s">
        <v>27</v>
      </c>
      <c r="G1389">
        <v>1</v>
      </c>
      <c r="H1389" t="s">
        <v>5688</v>
      </c>
      <c r="I1389" t="s">
        <v>5689</v>
      </c>
      <c r="J1389" t="s">
        <v>5690</v>
      </c>
      <c r="K1389" t="s">
        <v>5689</v>
      </c>
      <c r="L1389" t="s">
        <v>67</v>
      </c>
      <c r="M1389" s="1" t="str">
        <f t="shared" si="148"/>
        <v>21R300</v>
      </c>
      <c r="N1389" s="1" t="str">
        <f t="shared" si="149"/>
        <v>C/O</v>
      </c>
      <c r="O1389" s="1" t="str">
        <f t="shared" si="150"/>
        <v>Engine Radiator</v>
      </c>
      <c r="P1389" s="1" t="str">
        <f t="shared" si="151"/>
        <v>DLK0</v>
      </c>
      <c r="Q1389" s="2" t="str">
        <f t="shared" si="152"/>
        <v>DLK0Engine Radiator</v>
      </c>
      <c r="R1389" s="2" t="str">
        <f>New_Xref[[#This Row],[Serial Prefix]]&amp;IF(New_Xref[[#This Row],[Func Loc]]&lt;&gt;"",New_Xref[[#This Row],[Func Loc]],"NO MATCH")</f>
        <v>DLK0ENGD .ENCS.RADI</v>
      </c>
      <c r="S1389" s="3" t="str">
        <f t="shared" si="147"/>
        <v>DLK05270680FEngine Radiator</v>
      </c>
      <c r="T1389" s="3" t="s">
        <v>68</v>
      </c>
      <c r="U1389" s="3" t="s">
        <v>34</v>
      </c>
      <c r="V1389" t="str">
        <f t="shared" si="153"/>
        <v>135300</v>
      </c>
    </row>
    <row r="1390" spans="1:22">
      <c r="A1390" t="s">
        <v>5654</v>
      </c>
      <c r="B1390" t="s">
        <v>5655</v>
      </c>
      <c r="C1390" t="s">
        <v>830</v>
      </c>
      <c r="D1390" t="s">
        <v>831</v>
      </c>
      <c r="E1390" t="s">
        <v>832</v>
      </c>
      <c r="F1390" t="s">
        <v>27</v>
      </c>
      <c r="G1390">
        <v>1</v>
      </c>
      <c r="H1390" t="s">
        <v>5691</v>
      </c>
      <c r="I1390" t="s">
        <v>5660</v>
      </c>
      <c r="J1390" t="s">
        <v>5692</v>
      </c>
      <c r="K1390" t="s">
        <v>5693</v>
      </c>
      <c r="L1390" t="s">
        <v>83</v>
      </c>
      <c r="M1390" s="1" t="str">
        <f t="shared" si="148"/>
        <v>21B290</v>
      </c>
      <c r="N1390" s="1" t="str">
        <f t="shared" si="149"/>
        <v>C/O</v>
      </c>
      <c r="O1390" s="1" t="str">
        <f t="shared" si="150"/>
        <v>Water Pump Main</v>
      </c>
      <c r="P1390" s="1" t="str">
        <f t="shared" si="151"/>
        <v>DLK0</v>
      </c>
      <c r="Q1390" s="2" t="str">
        <f t="shared" si="152"/>
        <v>DLK0Water Pump Main</v>
      </c>
      <c r="R1390" s="2" t="str">
        <f>New_Xref[[#This Row],[Serial Prefix]]&amp;IF(New_Xref[[#This Row],[Func Loc]]&lt;&gt;"",New_Xref[[#This Row],[Func Loc]],"NO MATCH")</f>
        <v>DLK0NO MATCH</v>
      </c>
      <c r="S1390" s="3" t="str">
        <f t="shared" si="147"/>
        <v>DLK010R6400Water Pump Main</v>
      </c>
      <c r="T1390" s="3" t="s">
        <v>183</v>
      </c>
      <c r="U1390" s="3" t="s">
        <v>34</v>
      </c>
      <c r="V1390" t="str">
        <f t="shared" si="153"/>
        <v>136100</v>
      </c>
    </row>
    <row r="1391" spans="1:22">
      <c r="A1391" t="s">
        <v>5654</v>
      </c>
      <c r="B1391" t="s">
        <v>5673</v>
      </c>
      <c r="C1391" t="s">
        <v>830</v>
      </c>
      <c r="D1391" t="s">
        <v>831</v>
      </c>
      <c r="E1391" t="s">
        <v>832</v>
      </c>
      <c r="F1391" t="s">
        <v>27</v>
      </c>
      <c r="G1391">
        <v>1</v>
      </c>
      <c r="H1391" t="s">
        <v>5691</v>
      </c>
      <c r="I1391" t="s">
        <v>5674</v>
      </c>
      <c r="J1391" t="s">
        <v>5694</v>
      </c>
      <c r="K1391" t="s">
        <v>5695</v>
      </c>
      <c r="L1391" t="s">
        <v>739</v>
      </c>
      <c r="M1391" s="1" t="str">
        <f t="shared" si="148"/>
        <v>21R371</v>
      </c>
      <c r="N1391" s="1" t="str">
        <f t="shared" si="149"/>
        <v>C/O</v>
      </c>
      <c r="O1391" s="1" t="str">
        <f t="shared" si="150"/>
        <v>Engine Water Pump Main</v>
      </c>
      <c r="P1391" s="1" t="str">
        <f t="shared" si="151"/>
        <v>DLK0</v>
      </c>
      <c r="Q1391" s="2" t="str">
        <f t="shared" si="152"/>
        <v>DLK0Engine Water Pump Main</v>
      </c>
      <c r="R1391" s="2" t="str">
        <f>New_Xref[[#This Row],[Serial Prefix]]&amp;IF(New_Xref[[#This Row],[Func Loc]]&lt;&gt;"",New_Xref[[#This Row],[Func Loc]],"NO MATCH")</f>
        <v>DLK0ENGD .WAPU.WP01</v>
      </c>
      <c r="S1391" s="3" t="str">
        <f t="shared" si="147"/>
        <v>DLK010R6400Engine Water Pump Main</v>
      </c>
      <c r="T1391" s="3" t="s">
        <v>183</v>
      </c>
      <c r="U1391" s="3" t="s">
        <v>34</v>
      </c>
      <c r="V1391" t="str">
        <f t="shared" si="153"/>
        <v>136100</v>
      </c>
    </row>
    <row r="1392" spans="1:22">
      <c r="A1392" t="s">
        <v>5654</v>
      </c>
      <c r="B1392" t="s">
        <v>5684</v>
      </c>
      <c r="C1392" t="s">
        <v>5696</v>
      </c>
      <c r="D1392" t="s">
        <v>5697</v>
      </c>
      <c r="E1392" t="s">
        <v>5698</v>
      </c>
      <c r="F1392" t="s">
        <v>27</v>
      </c>
      <c r="G1392">
        <v>1</v>
      </c>
      <c r="H1392" t="s">
        <v>5699</v>
      </c>
      <c r="I1392" t="s">
        <v>5700</v>
      </c>
      <c r="J1392" t="s">
        <v>5701</v>
      </c>
      <c r="K1392" t="s">
        <v>5700</v>
      </c>
      <c r="L1392" t="s">
        <v>5477</v>
      </c>
      <c r="M1392" s="1" t="str">
        <f t="shared" si="148"/>
        <v>21R300</v>
      </c>
      <c r="N1392" s="1" t="str">
        <f t="shared" si="149"/>
        <v>C/O</v>
      </c>
      <c r="O1392" s="1" t="str">
        <f t="shared" si="150"/>
        <v>Hydraulic Oil Cooler</v>
      </c>
      <c r="P1392" s="1" t="str">
        <f t="shared" si="151"/>
        <v>DLK0</v>
      </c>
      <c r="Q1392" s="2" t="str">
        <f t="shared" si="152"/>
        <v>DLK0Hydraulic Oil Cooler</v>
      </c>
      <c r="R1392" s="2" t="str">
        <f>New_Xref[[#This Row],[Serial Prefix]]&amp;IF(New_Xref[[#This Row],[Func Loc]]&lt;&gt;"",New_Xref[[#This Row],[Func Loc]],"NO MATCH")</f>
        <v>DLK0MYHD .OICO.OICO</v>
      </c>
      <c r="S1392" s="3" t="str">
        <f t="shared" si="147"/>
        <v>DLK05271326FHydraulic Oil Cooler</v>
      </c>
      <c r="T1392" s="3" t="s">
        <v>845</v>
      </c>
      <c r="U1392" s="3" t="s">
        <v>34</v>
      </c>
      <c r="V1392" t="str">
        <f t="shared" si="153"/>
        <v>137400</v>
      </c>
    </row>
    <row r="1393" spans="1:22">
      <c r="A1393" t="s">
        <v>5654</v>
      </c>
      <c r="B1393" t="s">
        <v>5684</v>
      </c>
      <c r="C1393" t="s">
        <v>5702</v>
      </c>
      <c r="D1393" t="s">
        <v>5703</v>
      </c>
      <c r="E1393" t="s">
        <v>5704</v>
      </c>
      <c r="F1393" t="s">
        <v>27</v>
      </c>
      <c r="G1393">
        <v>1</v>
      </c>
      <c r="H1393" t="s">
        <v>5705</v>
      </c>
      <c r="I1393" t="s">
        <v>5706</v>
      </c>
      <c r="J1393" t="s">
        <v>5707</v>
      </c>
      <c r="K1393" t="s">
        <v>5706</v>
      </c>
      <c r="L1393" t="s">
        <v>5494</v>
      </c>
      <c r="M1393" s="1" t="str">
        <f t="shared" si="148"/>
        <v>21R300</v>
      </c>
      <c r="N1393" s="1" t="str">
        <f t="shared" si="149"/>
        <v>C/O</v>
      </c>
      <c r="O1393" s="1" t="str">
        <f t="shared" si="150"/>
        <v>Compressor Cooling Fan Pump</v>
      </c>
      <c r="P1393" s="1" t="str">
        <f t="shared" si="151"/>
        <v>DLK0</v>
      </c>
      <c r="Q1393" s="2" t="str">
        <f t="shared" si="152"/>
        <v>DLK0Compressor Cooling Fan Pump</v>
      </c>
      <c r="R1393" s="2" t="str">
        <f>New_Xref[[#This Row],[Serial Prefix]]&amp;IF(New_Xref[[#This Row],[Func Loc]]&lt;&gt;"",New_Xref[[#This Row],[Func Loc]],"NO MATCH")</f>
        <v>DLK0MYHD .PUMP.HP05</v>
      </c>
      <c r="S1393" s="3" t="str">
        <f t="shared" si="147"/>
        <v>DLK05263939Compressor Cooling Fan Pump</v>
      </c>
      <c r="T1393" s="3" t="s">
        <v>869</v>
      </c>
      <c r="U1393" s="3" t="s">
        <v>115</v>
      </c>
      <c r="V1393" t="str">
        <f t="shared" si="153"/>
        <v>1387RI</v>
      </c>
    </row>
    <row r="1394" spans="1:22">
      <c r="A1394" t="s">
        <v>5654</v>
      </c>
      <c r="B1394" t="s">
        <v>5684</v>
      </c>
      <c r="C1394" t="s">
        <v>5702</v>
      </c>
      <c r="D1394" t="s">
        <v>5703</v>
      </c>
      <c r="E1394" t="s">
        <v>5704</v>
      </c>
      <c r="F1394" t="s">
        <v>27</v>
      </c>
      <c r="G1394">
        <v>1</v>
      </c>
      <c r="H1394" t="s">
        <v>5708</v>
      </c>
      <c r="I1394" t="s">
        <v>5709</v>
      </c>
      <c r="J1394" t="s">
        <v>5710</v>
      </c>
      <c r="K1394" t="s">
        <v>5709</v>
      </c>
      <c r="L1394" t="s">
        <v>4014</v>
      </c>
      <c r="M1394" s="1" t="str">
        <f t="shared" si="148"/>
        <v>21R300</v>
      </c>
      <c r="N1394" s="1" t="str">
        <f t="shared" si="149"/>
        <v>C/O</v>
      </c>
      <c r="O1394" s="1" t="str">
        <f t="shared" si="150"/>
        <v>Engine Cooling Fan Pump</v>
      </c>
      <c r="P1394" s="1" t="str">
        <f t="shared" si="151"/>
        <v>DLK0</v>
      </c>
      <c r="Q1394" s="2" t="str">
        <f t="shared" si="152"/>
        <v>DLK0Engine Cooling Fan Pump</v>
      </c>
      <c r="R1394" s="2" t="str">
        <f>New_Xref[[#This Row],[Serial Prefix]]&amp;IF(New_Xref[[#This Row],[Func Loc]]&lt;&gt;"",New_Xref[[#This Row],[Func Loc]],"NO MATCH")</f>
        <v>DLK0MYHD .PUMP.HP04</v>
      </c>
      <c r="S1394" s="3" t="str">
        <f t="shared" si="147"/>
        <v>DLK05263939Engine Cooling Fan Pump</v>
      </c>
      <c r="T1394" s="3" t="s">
        <v>869</v>
      </c>
      <c r="U1394" s="3" t="s">
        <v>108</v>
      </c>
      <c r="V1394" t="str">
        <f t="shared" si="153"/>
        <v>1387LT</v>
      </c>
    </row>
    <row r="1395" spans="1:22">
      <c r="A1395" t="s">
        <v>5654</v>
      </c>
      <c r="B1395" t="s">
        <v>5655</v>
      </c>
      <c r="C1395" t="s">
        <v>875</v>
      </c>
      <c r="D1395" t="s">
        <v>876</v>
      </c>
      <c r="E1395" t="s">
        <v>877</v>
      </c>
      <c r="F1395" t="s">
        <v>27</v>
      </c>
      <c r="G1395">
        <v>1</v>
      </c>
      <c r="H1395" t="s">
        <v>5711</v>
      </c>
      <c r="I1395" t="s">
        <v>5660</v>
      </c>
      <c r="J1395" t="s">
        <v>5712</v>
      </c>
      <c r="K1395" t="s">
        <v>5713</v>
      </c>
      <c r="L1395" t="s">
        <v>5714</v>
      </c>
      <c r="M1395" s="1" t="str">
        <f t="shared" si="148"/>
        <v>21B290</v>
      </c>
      <c r="N1395" s="1" t="str">
        <f t="shared" si="149"/>
        <v>C/O</v>
      </c>
      <c r="O1395" s="1" t="str">
        <f t="shared" si="150"/>
        <v>Starter Motor CS</v>
      </c>
      <c r="P1395" s="1" t="str">
        <f t="shared" si="151"/>
        <v>DLK0</v>
      </c>
      <c r="Q1395" s="2" t="str">
        <f t="shared" si="152"/>
        <v>DLK0Starter Motor CS</v>
      </c>
      <c r="R1395" s="2" t="str">
        <f>New_Xref[[#This Row],[Serial Prefix]]&amp;IF(New_Xref[[#This Row],[Func Loc]]&lt;&gt;"",New_Xref[[#This Row],[Func Loc]],"NO MATCH")</f>
        <v>DLK0LVEL .STSY.SM02</v>
      </c>
      <c r="S1395" s="3" t="str">
        <f t="shared" si="147"/>
        <v>DLK020R1312Starter Motor CS</v>
      </c>
      <c r="T1395" s="3" t="s">
        <v>881</v>
      </c>
      <c r="U1395" s="3" t="s">
        <v>34</v>
      </c>
      <c r="V1395" t="str">
        <f t="shared" si="153"/>
        <v>145300</v>
      </c>
    </row>
    <row r="1396" spans="1:22">
      <c r="A1396" t="s">
        <v>5654</v>
      </c>
      <c r="B1396" t="s">
        <v>5655</v>
      </c>
      <c r="C1396" t="s">
        <v>875</v>
      </c>
      <c r="D1396" t="s">
        <v>876</v>
      </c>
      <c r="E1396" t="s">
        <v>877</v>
      </c>
      <c r="F1396" t="s">
        <v>27</v>
      </c>
      <c r="G1396">
        <v>1</v>
      </c>
      <c r="H1396" t="s">
        <v>5711</v>
      </c>
      <c r="I1396" t="s">
        <v>5660</v>
      </c>
      <c r="J1396" t="s">
        <v>5715</v>
      </c>
      <c r="K1396" t="s">
        <v>5716</v>
      </c>
      <c r="L1396" t="s">
        <v>5717</v>
      </c>
      <c r="M1396" s="1" t="str">
        <f t="shared" si="148"/>
        <v>21B290</v>
      </c>
      <c r="N1396" s="1" t="str">
        <f t="shared" si="149"/>
        <v>C/O</v>
      </c>
      <c r="O1396" s="1" t="str">
        <f t="shared" si="150"/>
        <v>Starter Motor NCS</v>
      </c>
      <c r="P1396" s="1" t="str">
        <f t="shared" si="151"/>
        <v>DLK0</v>
      </c>
      <c r="Q1396" s="2" t="str">
        <f t="shared" si="152"/>
        <v>DLK0Starter Motor NCS</v>
      </c>
      <c r="R1396" s="2" t="str">
        <f>New_Xref[[#This Row],[Serial Prefix]]&amp;IF(New_Xref[[#This Row],[Func Loc]]&lt;&gt;"",New_Xref[[#This Row],[Func Loc]],"NO MATCH")</f>
        <v>DLK0LVEL .STSY.SM01</v>
      </c>
      <c r="S1396" s="3" t="str">
        <f t="shared" si="147"/>
        <v>DLK020R1312Starter Motor NCS</v>
      </c>
      <c r="T1396" s="3" t="s">
        <v>881</v>
      </c>
      <c r="U1396" s="3" t="s">
        <v>34</v>
      </c>
      <c r="V1396" t="str">
        <f t="shared" si="153"/>
        <v>145300</v>
      </c>
    </row>
    <row r="1397" spans="1:22">
      <c r="A1397" t="s">
        <v>5654</v>
      </c>
      <c r="B1397" t="s">
        <v>5655</v>
      </c>
      <c r="C1397" t="s">
        <v>1215</v>
      </c>
      <c r="D1397" t="s">
        <v>1216</v>
      </c>
      <c r="E1397" t="s">
        <v>1217</v>
      </c>
      <c r="F1397" t="s">
        <v>27</v>
      </c>
      <c r="G1397">
        <v>1</v>
      </c>
      <c r="H1397" t="s">
        <v>5718</v>
      </c>
      <c r="I1397" t="s">
        <v>5719</v>
      </c>
      <c r="J1397" t="s">
        <v>5720</v>
      </c>
      <c r="K1397" t="s">
        <v>5721</v>
      </c>
      <c r="L1397" t="s">
        <v>83</v>
      </c>
      <c r="M1397" s="1" t="str">
        <f t="shared" si="148"/>
        <v>21B290</v>
      </c>
      <c r="N1397" s="1" t="str">
        <f t="shared" si="149"/>
        <v>Ovhl</v>
      </c>
      <c r="O1397" s="1" t="str">
        <f t="shared" si="150"/>
        <v>Air Con Major</v>
      </c>
      <c r="P1397" s="1" t="str">
        <f t="shared" si="151"/>
        <v>DLK0</v>
      </c>
      <c r="Q1397" s="2" t="str">
        <f t="shared" si="152"/>
        <v>DLK0Air Con Major</v>
      </c>
      <c r="R1397" s="2" t="str">
        <f>New_Xref[[#This Row],[Serial Prefix]]&amp;IF(New_Xref[[#This Row],[Func Loc]]&lt;&gt;"",New_Xref[[#This Row],[Func Loc]],"NO MATCH")</f>
        <v>DLK0NO MATCH</v>
      </c>
      <c r="S1397" s="3" t="str">
        <f t="shared" si="147"/>
        <v>DLK04190777Air Con Major</v>
      </c>
      <c r="T1397" s="3" t="s">
        <v>1222</v>
      </c>
      <c r="U1397" s="3" t="s">
        <v>34</v>
      </c>
      <c r="V1397" t="str">
        <f t="shared" si="153"/>
        <v>180200</v>
      </c>
    </row>
    <row r="1398" spans="1:22">
      <c r="A1398" t="s">
        <v>5654</v>
      </c>
      <c r="B1398" t="s">
        <v>5655</v>
      </c>
      <c r="C1398" t="s">
        <v>5722</v>
      </c>
      <c r="D1398" t="s">
        <v>5723</v>
      </c>
      <c r="E1398" t="s">
        <v>5724</v>
      </c>
      <c r="F1398" t="s">
        <v>27</v>
      </c>
      <c r="G1398">
        <v>1</v>
      </c>
      <c r="H1398" t="s">
        <v>5725</v>
      </c>
      <c r="I1398" t="s">
        <v>5726</v>
      </c>
      <c r="J1398" t="s">
        <v>5727</v>
      </c>
      <c r="K1398" t="s">
        <v>5726</v>
      </c>
      <c r="L1398" t="s">
        <v>2170</v>
      </c>
      <c r="M1398" s="1" t="str">
        <f t="shared" si="148"/>
        <v>21B290</v>
      </c>
      <c r="N1398" s="1" t="str">
        <f t="shared" si="149"/>
        <v>C/O</v>
      </c>
      <c r="O1398" s="1" t="str">
        <f t="shared" si="150"/>
        <v>Main Pump Drive Transmission</v>
      </c>
      <c r="P1398" s="1" t="str">
        <f t="shared" si="151"/>
        <v>DLK0</v>
      </c>
      <c r="Q1398" s="2" t="str">
        <f t="shared" si="152"/>
        <v>DLK0Main Pump Drive Transmission</v>
      </c>
      <c r="R1398" s="2" t="str">
        <f>New_Xref[[#This Row],[Serial Prefix]]&amp;IF(New_Xref[[#This Row],[Func Loc]]&lt;&gt;"",New_Xref[[#This Row],[Func Loc]],"NO MATCH")</f>
        <v>DLK0TRAN .MPDT</v>
      </c>
      <c r="S1398" s="3" t="str">
        <f t="shared" si="147"/>
        <v>DLK05037615XMain Pump Drive Transmission</v>
      </c>
      <c r="T1398" s="3" t="s">
        <v>1234</v>
      </c>
      <c r="U1398" s="3" t="s">
        <v>34</v>
      </c>
      <c r="V1398" t="str">
        <f t="shared" si="153"/>
        <v>310800</v>
      </c>
    </row>
    <row r="1399" spans="1:22">
      <c r="A1399" t="s">
        <v>5654</v>
      </c>
      <c r="B1399" t="s">
        <v>5684</v>
      </c>
      <c r="C1399" t="s">
        <v>5722</v>
      </c>
      <c r="D1399" t="s">
        <v>5723</v>
      </c>
      <c r="E1399" t="s">
        <v>5724</v>
      </c>
      <c r="F1399" t="s">
        <v>27</v>
      </c>
      <c r="G1399">
        <v>1</v>
      </c>
      <c r="H1399" t="s">
        <v>5725</v>
      </c>
      <c r="I1399" t="s">
        <v>5728</v>
      </c>
      <c r="J1399" t="s">
        <v>5729</v>
      </c>
      <c r="K1399" t="s">
        <v>5730</v>
      </c>
      <c r="L1399" t="s">
        <v>83</v>
      </c>
      <c r="M1399" s="1" t="str">
        <f t="shared" si="148"/>
        <v>21R300</v>
      </c>
      <c r="N1399" s="1" t="str">
        <f t="shared" si="149"/>
        <v>C/O</v>
      </c>
      <c r="O1399" s="1" t="str">
        <f t="shared" si="150"/>
        <v>Main P/Drive Transmission</v>
      </c>
      <c r="P1399" s="1" t="str">
        <f t="shared" si="151"/>
        <v>DLK0</v>
      </c>
      <c r="Q1399" s="2" t="str">
        <f t="shared" si="152"/>
        <v>DLK0Main P/Drive Transmission</v>
      </c>
      <c r="R1399" s="2" t="str">
        <f>New_Xref[[#This Row],[Serial Prefix]]&amp;IF(New_Xref[[#This Row],[Func Loc]]&lt;&gt;"",New_Xref[[#This Row],[Func Loc]],"NO MATCH")</f>
        <v>DLK0NO MATCH</v>
      </c>
      <c r="S1399" s="3" t="str">
        <f t="shared" si="147"/>
        <v>DLK05037615XMain P/Drive Transmission</v>
      </c>
      <c r="T1399" s="3" t="s">
        <v>1234</v>
      </c>
      <c r="U1399" s="3" t="s">
        <v>34</v>
      </c>
      <c r="V1399" t="str">
        <f t="shared" si="153"/>
        <v>310800</v>
      </c>
    </row>
    <row r="1400" spans="1:22">
      <c r="A1400" t="s">
        <v>5654</v>
      </c>
      <c r="B1400" t="s">
        <v>5655</v>
      </c>
      <c r="C1400" t="s">
        <v>5511</v>
      </c>
      <c r="D1400" t="s">
        <v>5512</v>
      </c>
      <c r="E1400" t="s">
        <v>5513</v>
      </c>
      <c r="F1400" t="s">
        <v>27</v>
      </c>
      <c r="G1400">
        <v>1</v>
      </c>
      <c r="H1400" t="s">
        <v>5731</v>
      </c>
      <c r="I1400" t="s">
        <v>5732</v>
      </c>
      <c r="J1400" t="s">
        <v>5733</v>
      </c>
      <c r="K1400" t="s">
        <v>5732</v>
      </c>
      <c r="L1400" t="s">
        <v>2482</v>
      </c>
      <c r="M1400" s="1" t="str">
        <f t="shared" si="148"/>
        <v>21B290</v>
      </c>
      <c r="N1400" s="1" t="str">
        <f t="shared" si="149"/>
        <v>C/O</v>
      </c>
      <c r="O1400" s="1" t="str">
        <f t="shared" si="150"/>
        <v>Charge Pump</v>
      </c>
      <c r="P1400" s="1" t="str">
        <f t="shared" si="151"/>
        <v>DLK0</v>
      </c>
      <c r="Q1400" s="2" t="str">
        <f t="shared" si="152"/>
        <v>DLK0Charge Pump</v>
      </c>
      <c r="R1400" s="2" t="str">
        <f>New_Xref[[#This Row],[Serial Prefix]]&amp;IF(New_Xref[[#This Row],[Func Loc]]&lt;&gt;"",New_Xref[[#This Row],[Func Loc]],"NO MATCH")</f>
        <v>DLK0MYHD .PUMP.HP03</v>
      </c>
      <c r="S1400" s="3" t="str">
        <f t="shared" si="147"/>
        <v>DLK05946741Charge Pump</v>
      </c>
      <c r="T1400" s="3" t="s">
        <v>896</v>
      </c>
      <c r="U1400" s="3" t="s">
        <v>34</v>
      </c>
      <c r="V1400" t="str">
        <f t="shared" si="153"/>
        <v>320400</v>
      </c>
    </row>
    <row r="1401" spans="1:22">
      <c r="A1401" t="s">
        <v>5654</v>
      </c>
      <c r="B1401" t="s">
        <v>5684</v>
      </c>
      <c r="C1401" t="s">
        <v>5734</v>
      </c>
      <c r="D1401" t="s">
        <v>5735</v>
      </c>
      <c r="E1401" t="s">
        <v>5736</v>
      </c>
      <c r="F1401" t="s">
        <v>27</v>
      </c>
      <c r="G1401">
        <v>1</v>
      </c>
      <c r="H1401" t="s">
        <v>5737</v>
      </c>
      <c r="I1401" t="s">
        <v>5738</v>
      </c>
      <c r="J1401" t="s">
        <v>5739</v>
      </c>
      <c r="K1401" t="s">
        <v>5738</v>
      </c>
      <c r="L1401" t="s">
        <v>911</v>
      </c>
      <c r="M1401" s="1" t="str">
        <f t="shared" si="148"/>
        <v>21R300</v>
      </c>
      <c r="N1401" s="1" t="str">
        <f t="shared" si="149"/>
        <v>C/O</v>
      </c>
      <c r="O1401" s="1" t="str">
        <f t="shared" si="150"/>
        <v>Final Drive CS</v>
      </c>
      <c r="P1401" s="1" t="str">
        <f t="shared" si="151"/>
        <v>DLK0</v>
      </c>
      <c r="Q1401" s="2" t="str">
        <f t="shared" si="152"/>
        <v>DLK0Final Drive CS</v>
      </c>
      <c r="R1401" s="2" t="str">
        <f>New_Xref[[#This Row],[Serial Prefix]]&amp;IF(New_Xref[[#This Row],[Func Loc]]&lt;&gt;"",New_Xref[[#This Row],[Func Loc]],"NO MATCH")</f>
        <v>DLK0FDRV .FIDR.FDRH</v>
      </c>
      <c r="S1401" s="3" t="str">
        <f t="shared" si="147"/>
        <v>DLK011R0059Final Drive CS</v>
      </c>
      <c r="T1401" s="3" t="s">
        <v>908</v>
      </c>
      <c r="U1401" s="3" t="s">
        <v>115</v>
      </c>
      <c r="V1401" t="str">
        <f t="shared" si="153"/>
        <v>4050RI</v>
      </c>
    </row>
    <row r="1402" spans="1:22">
      <c r="A1402" t="s">
        <v>5654</v>
      </c>
      <c r="B1402" t="s">
        <v>5684</v>
      </c>
      <c r="C1402" t="s">
        <v>5734</v>
      </c>
      <c r="D1402" t="s">
        <v>5735</v>
      </c>
      <c r="E1402" t="s">
        <v>5736</v>
      </c>
      <c r="F1402" t="s">
        <v>27</v>
      </c>
      <c r="G1402">
        <v>1</v>
      </c>
      <c r="H1402" t="s">
        <v>5740</v>
      </c>
      <c r="I1402" t="s">
        <v>5741</v>
      </c>
      <c r="J1402" t="s">
        <v>5742</v>
      </c>
      <c r="K1402" t="s">
        <v>5741</v>
      </c>
      <c r="L1402" t="s">
        <v>907</v>
      </c>
      <c r="M1402" s="1" t="str">
        <f t="shared" si="148"/>
        <v>21R300</v>
      </c>
      <c r="N1402" s="1" t="str">
        <f t="shared" si="149"/>
        <v>C/O</v>
      </c>
      <c r="O1402" s="1" t="str">
        <f t="shared" si="150"/>
        <v>Final Drive NCS</v>
      </c>
      <c r="P1402" s="1" t="str">
        <f t="shared" si="151"/>
        <v>DLK0</v>
      </c>
      <c r="Q1402" s="2" t="str">
        <f t="shared" si="152"/>
        <v>DLK0Final Drive NCS</v>
      </c>
      <c r="R1402" s="2" t="str">
        <f>New_Xref[[#This Row],[Serial Prefix]]&amp;IF(New_Xref[[#This Row],[Func Loc]]&lt;&gt;"",New_Xref[[#This Row],[Func Loc]],"NO MATCH")</f>
        <v>DLK0FDRV .FIDR.FDLH</v>
      </c>
      <c r="S1402" s="3" t="str">
        <f t="shared" si="147"/>
        <v>DLK011R0059Final Drive NCS</v>
      </c>
      <c r="T1402" s="3" t="s">
        <v>908</v>
      </c>
      <c r="U1402" s="3" t="s">
        <v>108</v>
      </c>
      <c r="V1402" t="str">
        <f t="shared" si="153"/>
        <v>4050LT</v>
      </c>
    </row>
    <row r="1403" spans="1:22">
      <c r="A1403" t="s">
        <v>5654</v>
      </c>
      <c r="B1403" t="s">
        <v>5655</v>
      </c>
      <c r="C1403" t="s">
        <v>5743</v>
      </c>
      <c r="D1403" t="s">
        <v>5744</v>
      </c>
      <c r="E1403" t="s">
        <v>5745</v>
      </c>
      <c r="F1403" t="s">
        <v>27</v>
      </c>
      <c r="G1403">
        <v>1</v>
      </c>
      <c r="H1403" t="s">
        <v>5746</v>
      </c>
      <c r="I1403" t="s">
        <v>5747</v>
      </c>
      <c r="J1403" t="s">
        <v>5748</v>
      </c>
      <c r="K1403" t="s">
        <v>5747</v>
      </c>
      <c r="L1403" t="s">
        <v>5749</v>
      </c>
      <c r="M1403" s="1" t="str">
        <f t="shared" si="148"/>
        <v>21B290</v>
      </c>
      <c r="N1403" s="1" t="str">
        <f t="shared" si="149"/>
        <v>C/O</v>
      </c>
      <c r="O1403" s="1" t="str">
        <f t="shared" si="150"/>
        <v>Idler CS</v>
      </c>
      <c r="P1403" s="1" t="str">
        <f t="shared" si="151"/>
        <v>DLK0</v>
      </c>
      <c r="Q1403" s="2" t="str">
        <f t="shared" si="152"/>
        <v>DLK0Idler CS</v>
      </c>
      <c r="R1403" s="2" t="str">
        <f>New_Xref[[#This Row],[Serial Prefix]]&amp;IF(New_Xref[[#This Row],[Func Loc]]&lt;&gt;"",New_Xref[[#This Row],[Func Loc]],"NO MATCH")</f>
        <v>DLK0STRU .TRFC.IDLE</v>
      </c>
      <c r="S1403" s="3" t="str">
        <f t="shared" si="147"/>
        <v>DLK05756593Idler CS</v>
      </c>
      <c r="T1403" s="3" t="s">
        <v>941</v>
      </c>
      <c r="U1403" s="3" t="s">
        <v>115</v>
      </c>
      <c r="V1403" t="str">
        <f t="shared" si="153"/>
        <v>4159RI</v>
      </c>
    </row>
    <row r="1404" spans="1:22">
      <c r="A1404" t="s">
        <v>5654</v>
      </c>
      <c r="B1404" t="s">
        <v>5655</v>
      </c>
      <c r="C1404" t="s">
        <v>5743</v>
      </c>
      <c r="D1404" t="s">
        <v>5744</v>
      </c>
      <c r="E1404" t="s">
        <v>5745</v>
      </c>
      <c r="F1404" t="s">
        <v>27</v>
      </c>
      <c r="G1404">
        <v>1</v>
      </c>
      <c r="H1404" t="s">
        <v>5746</v>
      </c>
      <c r="I1404" t="s">
        <v>5750</v>
      </c>
      <c r="J1404" t="s">
        <v>5751</v>
      </c>
      <c r="K1404" t="s">
        <v>5750</v>
      </c>
      <c r="L1404" t="s">
        <v>5752</v>
      </c>
      <c r="M1404" s="1" t="str">
        <f t="shared" si="148"/>
        <v>21B290</v>
      </c>
      <c r="N1404" s="1" t="str">
        <f t="shared" si="149"/>
        <v>C/O</v>
      </c>
      <c r="O1404" s="1" t="str">
        <f t="shared" si="150"/>
        <v>Idler NCS</v>
      </c>
      <c r="P1404" s="1" t="str">
        <f t="shared" si="151"/>
        <v>DLK0</v>
      </c>
      <c r="Q1404" s="2" t="str">
        <f t="shared" si="152"/>
        <v>DLK0Idler NCS</v>
      </c>
      <c r="R1404" s="2" t="str">
        <f>New_Xref[[#This Row],[Serial Prefix]]&amp;IF(New_Xref[[#This Row],[Func Loc]]&lt;&gt;"",New_Xref[[#This Row],[Func Loc]],"NO MATCH")</f>
        <v>DLK0STRU .TRFN.IDLE</v>
      </c>
      <c r="S1404" s="3" t="str">
        <f t="shared" si="147"/>
        <v>DLK05756593Idler NCS</v>
      </c>
      <c r="T1404" s="3" t="s">
        <v>941</v>
      </c>
      <c r="U1404" s="3" t="s">
        <v>108</v>
      </c>
      <c r="V1404" t="str">
        <f t="shared" si="153"/>
        <v>4159LT</v>
      </c>
    </row>
    <row r="1405" spans="1:22">
      <c r="A1405" t="s">
        <v>5654</v>
      </c>
      <c r="B1405" t="s">
        <v>5655</v>
      </c>
      <c r="C1405" t="s">
        <v>5753</v>
      </c>
      <c r="D1405" t="s">
        <v>5754</v>
      </c>
      <c r="E1405" t="s">
        <v>5755</v>
      </c>
      <c r="F1405" t="s">
        <v>27</v>
      </c>
      <c r="G1405">
        <v>13</v>
      </c>
      <c r="H1405" t="s">
        <v>5756</v>
      </c>
      <c r="I1405" t="s">
        <v>5757</v>
      </c>
      <c r="J1405" t="s">
        <v>5758</v>
      </c>
      <c r="K1405" t="s">
        <v>5757</v>
      </c>
      <c r="L1405" t="s">
        <v>5759</v>
      </c>
      <c r="M1405" s="1" t="str">
        <f t="shared" si="148"/>
        <v>21B290</v>
      </c>
      <c r="N1405" s="1" t="str">
        <f t="shared" si="149"/>
        <v>C/O</v>
      </c>
      <c r="O1405" s="1" t="str">
        <f t="shared" si="150"/>
        <v>Load Rollers CS</v>
      </c>
      <c r="P1405" s="1" t="str">
        <f t="shared" si="151"/>
        <v>DLK0</v>
      </c>
      <c r="Q1405" s="2" t="str">
        <f t="shared" si="152"/>
        <v>DLK0Load Rollers CS</v>
      </c>
      <c r="R1405" s="2" t="str">
        <f>New_Xref[[#This Row],[Serial Prefix]]&amp;IF(New_Xref[[#This Row],[Func Loc]]&lt;&gt;"",New_Xref[[#This Row],[Func Loc]],"NO MATCH")</f>
        <v>DLK0STRU .TRFC.LORO</v>
      </c>
      <c r="S1405" s="3" t="str">
        <f t="shared" si="147"/>
        <v>DLK05282933Load Rollers CS</v>
      </c>
      <c r="T1405" s="3" t="s">
        <v>952</v>
      </c>
      <c r="U1405" s="2" t="s">
        <v>5760</v>
      </c>
      <c r="V1405" t="str">
        <f t="shared" si="153"/>
        <v>4180ALL</v>
      </c>
    </row>
    <row r="1406" spans="1:22">
      <c r="A1406" t="s">
        <v>5654</v>
      </c>
      <c r="B1406" t="s">
        <v>5655</v>
      </c>
      <c r="C1406" t="s">
        <v>5753</v>
      </c>
      <c r="D1406" t="s">
        <v>5754</v>
      </c>
      <c r="E1406" t="s">
        <v>5755</v>
      </c>
      <c r="F1406" t="s">
        <v>27</v>
      </c>
      <c r="G1406">
        <v>13</v>
      </c>
      <c r="H1406" t="s">
        <v>5756</v>
      </c>
      <c r="I1406" t="s">
        <v>5761</v>
      </c>
      <c r="J1406" t="s">
        <v>5762</v>
      </c>
      <c r="K1406" t="s">
        <v>5761</v>
      </c>
      <c r="L1406" t="s">
        <v>5763</v>
      </c>
      <c r="M1406" s="1" t="str">
        <f t="shared" si="148"/>
        <v>21B290</v>
      </c>
      <c r="N1406" s="1" t="str">
        <f t="shared" si="149"/>
        <v>C/O</v>
      </c>
      <c r="O1406" s="1" t="str">
        <f t="shared" si="150"/>
        <v>Load Rollers NCS</v>
      </c>
      <c r="P1406" s="1" t="str">
        <f t="shared" si="151"/>
        <v>DLK0</v>
      </c>
      <c r="Q1406" s="2" t="str">
        <f t="shared" si="152"/>
        <v>DLK0Load Rollers NCS</v>
      </c>
      <c r="R1406" s="2" t="str">
        <f>New_Xref[[#This Row],[Serial Prefix]]&amp;IF(New_Xref[[#This Row],[Func Loc]]&lt;&gt;"",New_Xref[[#This Row],[Func Loc]],"NO MATCH")</f>
        <v>DLK0STRU .TRFN.LORO</v>
      </c>
      <c r="S1406" s="3" t="str">
        <f t="shared" si="147"/>
        <v>DLK05282933Load Rollers NCS</v>
      </c>
      <c r="T1406" s="3" t="s">
        <v>952</v>
      </c>
      <c r="U1406" s="2" t="s">
        <v>5760</v>
      </c>
      <c r="V1406" t="str">
        <f t="shared" si="153"/>
        <v>4180ALL</v>
      </c>
    </row>
    <row r="1407" spans="1:22">
      <c r="A1407" t="s">
        <v>5654</v>
      </c>
      <c r="B1407" t="s">
        <v>5764</v>
      </c>
      <c r="H1407" t="s">
        <v>5765</v>
      </c>
      <c r="I1407" t="s">
        <v>5766</v>
      </c>
      <c r="J1407" t="s">
        <v>5767</v>
      </c>
      <c r="K1407" t="s">
        <v>5766</v>
      </c>
      <c r="L1407" t="s">
        <v>5768</v>
      </c>
      <c r="M1407" s="1" t="str">
        <f t="shared" si="148"/>
        <v>21R398</v>
      </c>
      <c r="N1407" s="1" t="str">
        <f t="shared" si="149"/>
        <v>C/O</v>
      </c>
      <c r="O1407" s="1" t="str">
        <f t="shared" si="150"/>
        <v>Travel Motor CS</v>
      </c>
      <c r="P1407" s="1" t="str">
        <f t="shared" si="151"/>
        <v>DLK0</v>
      </c>
      <c r="Q1407" s="2" t="str">
        <f t="shared" si="152"/>
        <v>DLK0Travel Motor CS</v>
      </c>
      <c r="R1407" s="2" t="str">
        <f>New_Xref[[#This Row],[Serial Prefix]]&amp;IF(New_Xref[[#This Row],[Func Loc]]&lt;&gt;"",New_Xref[[#This Row],[Func Loc]],"NO MATCH")</f>
        <v>DLK0MYHD .MOTO.HM04</v>
      </c>
      <c r="S1407" s="3" t="str">
        <f t="shared" si="147"/>
        <v>DLK0Travel Motor CS</v>
      </c>
      <c r="T1407" s="3" t="s">
        <v>964</v>
      </c>
      <c r="U1407" s="3" t="s">
        <v>115</v>
      </c>
      <c r="V1407" t="str">
        <f t="shared" si="153"/>
        <v>4351RI</v>
      </c>
    </row>
    <row r="1408" spans="1:22">
      <c r="A1408" t="s">
        <v>5654</v>
      </c>
      <c r="B1408" t="s">
        <v>5764</v>
      </c>
      <c r="H1408" t="s">
        <v>5765</v>
      </c>
      <c r="I1408" t="s">
        <v>5769</v>
      </c>
      <c r="J1408" t="s">
        <v>5770</v>
      </c>
      <c r="K1408" t="s">
        <v>5769</v>
      </c>
      <c r="L1408" t="s">
        <v>5771</v>
      </c>
      <c r="M1408" s="1" t="str">
        <f t="shared" si="148"/>
        <v>21R398</v>
      </c>
      <c r="N1408" s="1" t="str">
        <f t="shared" si="149"/>
        <v>C/O</v>
      </c>
      <c r="O1408" s="1" t="str">
        <f t="shared" si="150"/>
        <v>Travel Motor NCS</v>
      </c>
      <c r="P1408" s="1" t="str">
        <f t="shared" si="151"/>
        <v>DLK0</v>
      </c>
      <c r="Q1408" s="2" t="str">
        <f t="shared" si="152"/>
        <v>DLK0Travel Motor NCS</v>
      </c>
      <c r="R1408" s="2" t="str">
        <f>New_Xref[[#This Row],[Serial Prefix]]&amp;IF(New_Xref[[#This Row],[Func Loc]]&lt;&gt;"",New_Xref[[#This Row],[Func Loc]],"NO MATCH")</f>
        <v>DLK0MYHD .MOTO.HM03</v>
      </c>
      <c r="S1408" s="3" t="str">
        <f t="shared" si="147"/>
        <v>DLK0Travel Motor NCS</v>
      </c>
      <c r="T1408" s="3" t="s">
        <v>964</v>
      </c>
      <c r="U1408" s="3" t="s">
        <v>108</v>
      </c>
      <c r="V1408" t="str">
        <f t="shared" si="153"/>
        <v>4351LT</v>
      </c>
    </row>
    <row r="1409" spans="1:22">
      <c r="A1409" t="s">
        <v>5654</v>
      </c>
      <c r="B1409" t="s">
        <v>5655</v>
      </c>
      <c r="C1409" t="s">
        <v>5531</v>
      </c>
      <c r="D1409" t="s">
        <v>5532</v>
      </c>
      <c r="E1409" t="s">
        <v>5533</v>
      </c>
      <c r="F1409" t="s">
        <v>27</v>
      </c>
      <c r="G1409">
        <v>1</v>
      </c>
      <c r="H1409" t="s">
        <v>5772</v>
      </c>
      <c r="I1409" t="s">
        <v>5773</v>
      </c>
      <c r="J1409" t="s">
        <v>5774</v>
      </c>
      <c r="K1409" t="s">
        <v>5773</v>
      </c>
      <c r="L1409" t="s">
        <v>5775</v>
      </c>
      <c r="M1409" s="1" t="str">
        <f t="shared" si="148"/>
        <v>21B290</v>
      </c>
      <c r="N1409" s="1" t="str">
        <f t="shared" si="149"/>
        <v>C/O</v>
      </c>
      <c r="O1409" s="1" t="str">
        <f t="shared" si="150"/>
        <v>Auxiliary Hydraulic Pump</v>
      </c>
      <c r="P1409" s="1" t="str">
        <f t="shared" si="151"/>
        <v>DLK0</v>
      </c>
      <c r="Q1409" s="2" t="str">
        <f t="shared" si="152"/>
        <v>DLK0Auxiliary Hydraulic Pump</v>
      </c>
      <c r="R1409" s="2" t="str">
        <f>New_Xref[[#This Row],[Serial Prefix]]&amp;IF(New_Xref[[#This Row],[Func Loc]]&lt;&gt;"",New_Xref[[#This Row],[Func Loc]],"NO MATCH")</f>
        <v>DLK0MYHD .PUMP.HP06</v>
      </c>
      <c r="S1409" s="3" t="str">
        <f t="shared" si="147"/>
        <v>DLK020R9457Auxiliary Hydraulic Pump</v>
      </c>
      <c r="T1409" s="3" t="s">
        <v>220</v>
      </c>
      <c r="U1409" s="3" t="s">
        <v>4144</v>
      </c>
      <c r="V1409" t="str">
        <f t="shared" si="153"/>
        <v>5070CE</v>
      </c>
    </row>
    <row r="1410" spans="1:22">
      <c r="A1410" t="s">
        <v>5654</v>
      </c>
      <c r="B1410" t="s">
        <v>5684</v>
      </c>
      <c r="H1410" t="s">
        <v>5776</v>
      </c>
      <c r="I1410" t="s">
        <v>5777</v>
      </c>
      <c r="J1410" t="s">
        <v>5778</v>
      </c>
      <c r="K1410" t="s">
        <v>5779</v>
      </c>
      <c r="L1410" t="s">
        <v>2453</v>
      </c>
      <c r="M1410" s="1" t="str">
        <f t="shared" si="148"/>
        <v>21R300</v>
      </c>
      <c r="N1410" s="1" t="str">
        <f t="shared" si="149"/>
        <v>C/O</v>
      </c>
      <c r="O1410" s="1" t="str">
        <f t="shared" si="150"/>
        <v>Main Hydraulic Pump NCS</v>
      </c>
      <c r="P1410" s="1" t="str">
        <f t="shared" si="151"/>
        <v>DLK0</v>
      </c>
      <c r="Q1410" s="2" t="str">
        <f t="shared" si="152"/>
        <v>DLK0Main Hydraulic Pump NCS</v>
      </c>
      <c r="R1410" s="2" t="str">
        <f>New_Xref[[#This Row],[Serial Prefix]]&amp;IF(New_Xref[[#This Row],[Func Loc]]&lt;&gt;"",New_Xref[[#This Row],[Func Loc]],"NO MATCH")</f>
        <v>DLK0MYHD .PUMP.HP01</v>
      </c>
      <c r="S1410" s="3" t="str">
        <f t="shared" si="147"/>
        <v>DLK0Main Hydraulic Pump NCS</v>
      </c>
      <c r="T1410" s="3" t="s">
        <v>220</v>
      </c>
      <c r="U1410" s="3" t="s">
        <v>108</v>
      </c>
      <c r="V1410" t="str">
        <f t="shared" si="153"/>
        <v>5070LT</v>
      </c>
    </row>
    <row r="1411" spans="1:22">
      <c r="A1411" t="s">
        <v>5654</v>
      </c>
      <c r="B1411" t="s">
        <v>5684</v>
      </c>
      <c r="H1411" t="s">
        <v>5780</v>
      </c>
      <c r="I1411" t="s">
        <v>5781</v>
      </c>
      <c r="J1411" t="s">
        <v>5782</v>
      </c>
      <c r="K1411" t="s">
        <v>5783</v>
      </c>
      <c r="L1411" t="s">
        <v>2478</v>
      </c>
      <c r="M1411" s="1" t="str">
        <f t="shared" si="148"/>
        <v>21R300</v>
      </c>
      <c r="N1411" s="1" t="str">
        <f t="shared" si="149"/>
        <v>C/O</v>
      </c>
      <c r="O1411" s="1" t="str">
        <f t="shared" si="150"/>
        <v>Main Hydraulic Pump CS</v>
      </c>
      <c r="P1411" s="1" t="str">
        <f t="shared" si="151"/>
        <v>DLK0</v>
      </c>
      <c r="Q1411" s="2" t="str">
        <f t="shared" si="152"/>
        <v>DLK0Main Hydraulic Pump CS</v>
      </c>
      <c r="R1411" s="2" t="str">
        <f>New_Xref[[#This Row],[Serial Prefix]]&amp;IF(New_Xref[[#This Row],[Func Loc]]&lt;&gt;"",New_Xref[[#This Row],[Func Loc]],"NO MATCH")</f>
        <v>DLK0MYHD .PUMP.HP02</v>
      </c>
      <c r="S1411" s="3" t="str">
        <f t="shared" ref="S1411:S1474" si="154">P1411&amp;D1411&amp;O1411</f>
        <v>DLK0Main Hydraulic Pump CS</v>
      </c>
      <c r="T1411" s="3" t="s">
        <v>220</v>
      </c>
      <c r="U1411" s="3" t="s">
        <v>115</v>
      </c>
      <c r="V1411" t="str">
        <f t="shared" si="153"/>
        <v>5070RI</v>
      </c>
    </row>
    <row r="1412" spans="1:22">
      <c r="A1412" t="s">
        <v>5654</v>
      </c>
      <c r="B1412" t="s">
        <v>5655</v>
      </c>
      <c r="C1412" t="s">
        <v>5784</v>
      </c>
      <c r="D1412" t="s">
        <v>5785</v>
      </c>
      <c r="E1412" t="s">
        <v>5786</v>
      </c>
      <c r="F1412" t="s">
        <v>27</v>
      </c>
      <c r="G1412">
        <v>1</v>
      </c>
      <c r="H1412" t="s">
        <v>5787</v>
      </c>
      <c r="I1412" t="s">
        <v>5788</v>
      </c>
      <c r="J1412" t="s">
        <v>5789</v>
      </c>
      <c r="K1412" t="s">
        <v>5788</v>
      </c>
      <c r="L1412" t="s">
        <v>83</v>
      </c>
      <c r="M1412" s="1" t="str">
        <f t="shared" ref="M1412:M1475" si="155">LEFT(K1412,FIND(" ",K1412,1)-1)</f>
        <v>21B290</v>
      </c>
      <c r="N1412" s="1" t="str">
        <f t="shared" ref="N1412:N1475" si="156">MID(K1412,LEN(M1412)+2,FIND(" ",K1412,LEN(M1412)+2)-LEN(M1412)-2)</f>
        <v>C/O</v>
      </c>
      <c r="O1412" s="1" t="str">
        <f t="shared" ref="O1412:O1475" si="157">MID(K1412,FIND(N1412,K1412,1)+LEN(N1412)+1, 150)</f>
        <v>Base Sheaves</v>
      </c>
      <c r="P1412" s="1" t="str">
        <f t="shared" ref="P1412:P1475" si="158">LEFT(B1412,4)</f>
        <v>DLK0</v>
      </c>
      <c r="Q1412" s="2" t="str">
        <f t="shared" ref="Q1412:Q1475" si="159">P1412&amp;O1412</f>
        <v>DLK0Base Sheaves</v>
      </c>
      <c r="R1412" s="2" t="str">
        <f>New_Xref[[#This Row],[Serial Prefix]]&amp;IF(New_Xref[[#This Row],[Func Loc]]&lt;&gt;"",New_Xref[[#This Row],[Func Loc]],"NO MATCH")</f>
        <v>DLK0NO MATCH</v>
      </c>
      <c r="S1412" s="3" t="str">
        <f t="shared" si="154"/>
        <v>DLK05795129Base Sheaves</v>
      </c>
      <c r="T1412" s="3" t="s">
        <v>5790</v>
      </c>
      <c r="U1412" s="3" t="s">
        <v>34</v>
      </c>
      <c r="V1412" t="str">
        <f t="shared" ref="V1412:V1474" si="160">LEFT(T1412,FIND(" -",T1412,1)-1)&amp;LEFT(U1412,FIND(" -",U1412,1)-1)</f>
        <v>516A00</v>
      </c>
    </row>
    <row r="1413" spans="1:22">
      <c r="A1413" t="s">
        <v>5654</v>
      </c>
      <c r="B1413" t="s">
        <v>5655</v>
      </c>
      <c r="C1413" t="s">
        <v>5791</v>
      </c>
      <c r="D1413" t="s">
        <v>5792</v>
      </c>
      <c r="E1413" t="s">
        <v>5793</v>
      </c>
      <c r="F1413" t="s">
        <v>27</v>
      </c>
      <c r="G1413">
        <v>4</v>
      </c>
      <c r="H1413" t="s">
        <v>5794</v>
      </c>
      <c r="I1413" t="s">
        <v>5795</v>
      </c>
      <c r="J1413" t="s">
        <v>5796</v>
      </c>
      <c r="K1413" t="s">
        <v>5795</v>
      </c>
      <c r="L1413" t="s">
        <v>83</v>
      </c>
      <c r="M1413" s="1" t="str">
        <f t="shared" si="155"/>
        <v>21B290</v>
      </c>
      <c r="N1413" s="1" t="str">
        <f t="shared" si="156"/>
        <v>C/O</v>
      </c>
      <c r="O1413" s="1" t="str">
        <f t="shared" si="157"/>
        <v>Travelling Sheaves</v>
      </c>
      <c r="P1413" s="1" t="str">
        <f t="shared" si="158"/>
        <v>DLK0</v>
      </c>
      <c r="Q1413" s="2" t="str">
        <f t="shared" si="159"/>
        <v>DLK0Travelling Sheaves</v>
      </c>
      <c r="R1413" s="2" t="str">
        <f>New_Xref[[#This Row],[Serial Prefix]]&amp;IF(New_Xref[[#This Row],[Func Loc]]&lt;&gt;"",New_Xref[[#This Row],[Func Loc]],"NO MATCH")</f>
        <v>DLK0NO MATCH</v>
      </c>
      <c r="S1413" s="3" t="str">
        <f t="shared" si="154"/>
        <v>DLK04506156Travelling Sheaves</v>
      </c>
      <c r="T1413" s="3" t="s">
        <v>5797</v>
      </c>
      <c r="U1413" s="3" t="s">
        <v>34</v>
      </c>
      <c r="V1413" t="str">
        <f t="shared" si="160"/>
        <v>516B00</v>
      </c>
    </row>
    <row r="1414" spans="1:22">
      <c r="A1414" t="s">
        <v>5654</v>
      </c>
      <c r="B1414" t="s">
        <v>5684</v>
      </c>
      <c r="C1414" t="s">
        <v>5791</v>
      </c>
      <c r="D1414" t="s">
        <v>5792</v>
      </c>
      <c r="E1414" t="s">
        <v>5793</v>
      </c>
      <c r="F1414" t="s">
        <v>27</v>
      </c>
      <c r="G1414">
        <v>4</v>
      </c>
      <c r="H1414" t="s">
        <v>5794</v>
      </c>
      <c r="I1414" t="s">
        <v>5798</v>
      </c>
      <c r="J1414" t="s">
        <v>5799</v>
      </c>
      <c r="K1414" t="s">
        <v>5800</v>
      </c>
      <c r="L1414" t="s">
        <v>5801</v>
      </c>
      <c r="M1414" s="1" t="str">
        <f t="shared" si="155"/>
        <v>21R300</v>
      </c>
      <c r="N1414" s="1" t="str">
        <f t="shared" si="156"/>
        <v>C/O</v>
      </c>
      <c r="O1414" s="1" t="str">
        <f t="shared" si="157"/>
        <v>Mast Travelling Sheaves</v>
      </c>
      <c r="P1414" s="1" t="str">
        <f t="shared" si="158"/>
        <v>DLK0</v>
      </c>
      <c r="Q1414" s="2" t="str">
        <f t="shared" si="159"/>
        <v>DLK0Mast Travelling Sheaves</v>
      </c>
      <c r="R1414" s="2" t="str">
        <f>New_Xref[[#This Row],[Serial Prefix]]&amp;IF(New_Xref[[#This Row],[Func Loc]]&lt;&gt;"",New_Xref[[#This Row],[Func Loc]],"NO MATCH")</f>
        <v>DLK0MAST .SHVE.SHV2</v>
      </c>
      <c r="S1414" s="3" t="str">
        <f t="shared" si="154"/>
        <v>DLK04506156Mast Travelling Sheaves</v>
      </c>
      <c r="T1414" s="3" t="s">
        <v>5797</v>
      </c>
      <c r="U1414" s="3" t="s">
        <v>34</v>
      </c>
      <c r="V1414" t="str">
        <f t="shared" si="160"/>
        <v>516B00</v>
      </c>
    </row>
    <row r="1415" spans="1:22">
      <c r="A1415" t="s">
        <v>5654</v>
      </c>
      <c r="B1415" t="s">
        <v>5655</v>
      </c>
      <c r="C1415" t="s">
        <v>5802</v>
      </c>
      <c r="D1415" t="s">
        <v>5803</v>
      </c>
      <c r="E1415" t="s">
        <v>5804</v>
      </c>
      <c r="F1415" t="s">
        <v>27</v>
      </c>
      <c r="G1415">
        <v>1</v>
      </c>
      <c r="H1415" t="s">
        <v>5805</v>
      </c>
      <c r="I1415" t="s">
        <v>5806</v>
      </c>
      <c r="J1415" t="s">
        <v>5807</v>
      </c>
      <c r="K1415" t="s">
        <v>5806</v>
      </c>
      <c r="L1415" t="s">
        <v>5808</v>
      </c>
      <c r="M1415" s="1" t="str">
        <f t="shared" si="155"/>
        <v>21B290</v>
      </c>
      <c r="N1415" s="1" t="str">
        <f t="shared" si="156"/>
        <v>C/O</v>
      </c>
      <c r="O1415" s="1" t="str">
        <f t="shared" si="157"/>
        <v>Rotation Motor CS</v>
      </c>
      <c r="P1415" s="1" t="str">
        <f t="shared" si="158"/>
        <v>DLK0</v>
      </c>
      <c r="Q1415" s="2" t="str">
        <f t="shared" si="159"/>
        <v>DLK0Rotation Motor CS</v>
      </c>
      <c r="R1415" s="2" t="str">
        <f>New_Xref[[#This Row],[Serial Prefix]]&amp;IF(New_Xref[[#This Row],[Func Loc]]&lt;&gt;"",New_Xref[[#This Row],[Func Loc]],"NO MATCH")</f>
        <v>DLK0MYHD .MOTO.ROTC</v>
      </c>
      <c r="S1415" s="3" t="str">
        <f t="shared" si="154"/>
        <v>DLK011R0142Rotation Motor CS</v>
      </c>
      <c r="T1415" s="3" t="s">
        <v>5542</v>
      </c>
      <c r="U1415" s="3" t="s">
        <v>115</v>
      </c>
      <c r="V1415" t="str">
        <f t="shared" si="160"/>
        <v>5494RI</v>
      </c>
    </row>
    <row r="1416" spans="1:22">
      <c r="A1416" t="s">
        <v>5654</v>
      </c>
      <c r="B1416" t="s">
        <v>5655</v>
      </c>
      <c r="C1416" t="s">
        <v>5809</v>
      </c>
      <c r="D1416" t="s">
        <v>5810</v>
      </c>
      <c r="E1416" t="s">
        <v>5811</v>
      </c>
      <c r="F1416" t="s">
        <v>27</v>
      </c>
      <c r="G1416">
        <v>1</v>
      </c>
      <c r="H1416" t="s">
        <v>5805</v>
      </c>
      <c r="I1416" t="s">
        <v>5812</v>
      </c>
      <c r="J1416" t="s">
        <v>5813</v>
      </c>
      <c r="K1416" t="s">
        <v>5812</v>
      </c>
      <c r="L1416" t="s">
        <v>5814</v>
      </c>
      <c r="M1416" s="1" t="str">
        <f t="shared" si="155"/>
        <v>21B290</v>
      </c>
      <c r="N1416" s="1" t="str">
        <f t="shared" si="156"/>
        <v>C/O</v>
      </c>
      <c r="O1416" s="1" t="str">
        <f t="shared" si="157"/>
        <v>Rotation Motor NCS</v>
      </c>
      <c r="P1416" s="1" t="str">
        <f t="shared" si="158"/>
        <v>DLK0</v>
      </c>
      <c r="Q1416" s="2" t="str">
        <f t="shared" si="159"/>
        <v>DLK0Rotation Motor NCS</v>
      </c>
      <c r="R1416" s="2" t="str">
        <f>New_Xref[[#This Row],[Serial Prefix]]&amp;IF(New_Xref[[#This Row],[Func Loc]]&lt;&gt;"",New_Xref[[#This Row],[Func Loc]],"NO MATCH")</f>
        <v>DLK0MYHD .MOTO.ROTN</v>
      </c>
      <c r="S1416" s="3" t="str">
        <f t="shared" si="154"/>
        <v>DLK011R0141Rotation Motor NCS</v>
      </c>
      <c r="T1416" s="3" t="s">
        <v>5542</v>
      </c>
      <c r="U1416" s="3" t="s">
        <v>108</v>
      </c>
      <c r="V1416" t="str">
        <f t="shared" si="160"/>
        <v>5494LT</v>
      </c>
    </row>
    <row r="1417" spans="1:22">
      <c r="A1417" t="s">
        <v>5654</v>
      </c>
      <c r="B1417" t="s">
        <v>5655</v>
      </c>
      <c r="C1417" t="s">
        <v>5815</v>
      </c>
      <c r="D1417" t="s">
        <v>5816</v>
      </c>
      <c r="E1417" t="s">
        <v>5817</v>
      </c>
      <c r="F1417" t="s">
        <v>27</v>
      </c>
      <c r="G1417">
        <v>1</v>
      </c>
      <c r="H1417" t="s">
        <v>5818</v>
      </c>
      <c r="I1417" t="s">
        <v>5819</v>
      </c>
      <c r="J1417" t="s">
        <v>5820</v>
      </c>
      <c r="K1417" t="s">
        <v>5819</v>
      </c>
      <c r="L1417" t="s">
        <v>5546</v>
      </c>
      <c r="M1417" s="1" t="str">
        <f t="shared" si="155"/>
        <v>21B290</v>
      </c>
      <c r="N1417" s="1" t="str">
        <f t="shared" si="156"/>
        <v>C/O</v>
      </c>
      <c r="O1417" s="1" t="str">
        <f t="shared" si="157"/>
        <v>Air Compressor</v>
      </c>
      <c r="P1417" s="1" t="str">
        <f t="shared" si="158"/>
        <v>DLK0</v>
      </c>
      <c r="Q1417" s="2" t="str">
        <f t="shared" si="159"/>
        <v>DLK0Air Compressor</v>
      </c>
      <c r="R1417" s="2" t="str">
        <f>New_Xref[[#This Row],[Serial Prefix]]&amp;IF(New_Xref[[#This Row],[Func Loc]]&lt;&gt;"",New_Xref[[#This Row],[Func Loc]],"NO MATCH")</f>
        <v>DLK0AIRS .AICO.AICO</v>
      </c>
      <c r="S1417" s="3" t="str">
        <f t="shared" si="154"/>
        <v>DLK05418635XAir Compressor</v>
      </c>
      <c r="T1417" s="3" t="s">
        <v>5547</v>
      </c>
      <c r="U1417" s="3" t="s">
        <v>34</v>
      </c>
      <c r="V1417" t="str">
        <f t="shared" si="160"/>
        <v>79N100</v>
      </c>
    </row>
    <row r="1418" spans="1:22">
      <c r="A1418" t="s">
        <v>5654</v>
      </c>
      <c r="B1418" t="s">
        <v>5655</v>
      </c>
      <c r="C1418" t="s">
        <v>5548</v>
      </c>
      <c r="D1418" t="s">
        <v>5549</v>
      </c>
      <c r="E1418" t="s">
        <v>5550</v>
      </c>
      <c r="F1418" t="s">
        <v>27</v>
      </c>
      <c r="G1418">
        <v>1</v>
      </c>
      <c r="H1418" t="s">
        <v>5821</v>
      </c>
      <c r="I1418" t="s">
        <v>5822</v>
      </c>
      <c r="J1418" t="s">
        <v>5823</v>
      </c>
      <c r="K1418" t="s">
        <v>5822</v>
      </c>
      <c r="L1418" t="s">
        <v>83</v>
      </c>
      <c r="M1418" s="1" t="str">
        <f t="shared" si="155"/>
        <v>21B290</v>
      </c>
      <c r="N1418" s="1" t="str">
        <f t="shared" si="156"/>
        <v>C/O</v>
      </c>
      <c r="O1418" s="1" t="str">
        <f t="shared" si="157"/>
        <v>Jack Cyl CS NDE</v>
      </c>
      <c r="P1418" s="1" t="str">
        <f t="shared" si="158"/>
        <v>DLK0</v>
      </c>
      <c r="Q1418" s="2" t="str">
        <f t="shared" si="159"/>
        <v>DLK0Jack Cyl CS NDE</v>
      </c>
      <c r="R1418" s="2" t="str">
        <f>New_Xref[[#This Row],[Serial Prefix]]&amp;IF(New_Xref[[#This Row],[Func Loc]]&lt;&gt;"",New_Xref[[#This Row],[Func Loc]],"NO MATCH")</f>
        <v>DLK0NO MATCH</v>
      </c>
      <c r="S1418" s="3" t="str">
        <f t="shared" si="154"/>
        <v>DLK011R1466Jack Cyl CS NDE</v>
      </c>
      <c r="T1418" s="3" t="s">
        <v>5554</v>
      </c>
      <c r="U1418" s="3" t="s">
        <v>92</v>
      </c>
      <c r="V1418" t="str">
        <f t="shared" si="160"/>
        <v>79NMRF</v>
      </c>
    </row>
    <row r="1419" spans="1:22">
      <c r="A1419" t="s">
        <v>5654</v>
      </c>
      <c r="B1419" t="s">
        <v>5655</v>
      </c>
      <c r="C1419" t="s">
        <v>5548</v>
      </c>
      <c r="D1419" t="s">
        <v>5549</v>
      </c>
      <c r="E1419" t="s">
        <v>5550</v>
      </c>
      <c r="F1419" t="s">
        <v>27</v>
      </c>
      <c r="G1419">
        <v>1</v>
      </c>
      <c r="H1419" t="s">
        <v>5821</v>
      </c>
      <c r="I1419" t="s">
        <v>5824</v>
      </c>
      <c r="J1419" t="s">
        <v>5825</v>
      </c>
      <c r="K1419" t="s">
        <v>5824</v>
      </c>
      <c r="L1419" t="s">
        <v>83</v>
      </c>
      <c r="M1419" s="1" t="str">
        <f t="shared" si="155"/>
        <v>21B290</v>
      </c>
      <c r="N1419" s="1" t="str">
        <f t="shared" si="156"/>
        <v>C/O</v>
      </c>
      <c r="O1419" s="1" t="str">
        <f t="shared" si="157"/>
        <v>Jack Cyl NCS NDE</v>
      </c>
      <c r="P1419" s="1" t="str">
        <f t="shared" si="158"/>
        <v>DLK0</v>
      </c>
      <c r="Q1419" s="2" t="str">
        <f t="shared" si="159"/>
        <v>DLK0Jack Cyl NCS NDE</v>
      </c>
      <c r="R1419" s="2" t="str">
        <f>New_Xref[[#This Row],[Serial Prefix]]&amp;IF(New_Xref[[#This Row],[Func Loc]]&lt;&gt;"",New_Xref[[#This Row],[Func Loc]],"NO MATCH")</f>
        <v>DLK0NO MATCH</v>
      </c>
      <c r="S1419" s="3" t="str">
        <f t="shared" si="154"/>
        <v>DLK011R1466Jack Cyl NCS NDE</v>
      </c>
      <c r="T1419" s="3" t="s">
        <v>5554</v>
      </c>
      <c r="U1419" s="3" t="s">
        <v>89</v>
      </c>
      <c r="V1419" t="str">
        <f t="shared" si="160"/>
        <v>79NMLF</v>
      </c>
    </row>
    <row r="1420" spans="1:22">
      <c r="A1420" t="s">
        <v>5654</v>
      </c>
      <c r="B1420" t="s">
        <v>5655</v>
      </c>
      <c r="C1420" t="s">
        <v>5826</v>
      </c>
      <c r="D1420" t="s">
        <v>5827</v>
      </c>
      <c r="E1420" t="s">
        <v>5828</v>
      </c>
      <c r="F1420" t="s">
        <v>27</v>
      </c>
      <c r="G1420">
        <v>1</v>
      </c>
      <c r="H1420" t="s">
        <v>5829</v>
      </c>
      <c r="I1420" t="s">
        <v>5830</v>
      </c>
      <c r="J1420" t="s">
        <v>5831</v>
      </c>
      <c r="K1420" t="s">
        <v>5830</v>
      </c>
      <c r="L1420" t="s">
        <v>83</v>
      </c>
      <c r="M1420" s="1" t="str">
        <f t="shared" si="155"/>
        <v>21B290</v>
      </c>
      <c r="N1420" s="1" t="str">
        <f t="shared" si="156"/>
        <v>C/O</v>
      </c>
      <c r="O1420" s="1" t="str">
        <f t="shared" si="157"/>
        <v>Jack Cyl CS DE</v>
      </c>
      <c r="P1420" s="1" t="str">
        <f t="shared" si="158"/>
        <v>DLK0</v>
      </c>
      <c r="Q1420" s="2" t="str">
        <f t="shared" si="159"/>
        <v>DLK0Jack Cyl CS DE</v>
      </c>
      <c r="R1420" s="2" t="str">
        <f>New_Xref[[#This Row],[Serial Prefix]]&amp;IF(New_Xref[[#This Row],[Func Loc]]&lt;&gt;"",New_Xref[[#This Row],[Func Loc]],"NO MATCH")</f>
        <v>DLK0NO MATCH</v>
      </c>
      <c r="S1420" s="3" t="str">
        <f t="shared" si="154"/>
        <v>DLK011R1468Jack Cyl CS DE</v>
      </c>
      <c r="T1420" s="3" t="s">
        <v>5554</v>
      </c>
      <c r="U1420" s="3" t="s">
        <v>99</v>
      </c>
      <c r="V1420" t="str">
        <f t="shared" si="160"/>
        <v>79NMRR</v>
      </c>
    </row>
    <row r="1421" spans="1:22">
      <c r="A1421" t="s">
        <v>5654</v>
      </c>
      <c r="B1421" t="s">
        <v>5655</v>
      </c>
      <c r="C1421" t="s">
        <v>5826</v>
      </c>
      <c r="D1421" t="s">
        <v>5827</v>
      </c>
      <c r="E1421" t="s">
        <v>5828</v>
      </c>
      <c r="F1421" t="s">
        <v>27</v>
      </c>
      <c r="G1421">
        <v>1</v>
      </c>
      <c r="H1421" t="s">
        <v>5829</v>
      </c>
      <c r="I1421" t="s">
        <v>5832</v>
      </c>
      <c r="J1421" t="s">
        <v>5833</v>
      </c>
      <c r="K1421" t="s">
        <v>5832</v>
      </c>
      <c r="L1421" t="s">
        <v>83</v>
      </c>
      <c r="M1421" s="1" t="str">
        <f t="shared" si="155"/>
        <v>21B290</v>
      </c>
      <c r="N1421" s="1" t="str">
        <f t="shared" si="156"/>
        <v>C/O</v>
      </c>
      <c r="O1421" s="1" t="str">
        <f t="shared" si="157"/>
        <v>Jack Cyl NCS DE</v>
      </c>
      <c r="P1421" s="1" t="str">
        <f t="shared" si="158"/>
        <v>DLK0</v>
      </c>
      <c r="Q1421" s="2" t="str">
        <f t="shared" si="159"/>
        <v>DLK0Jack Cyl NCS DE</v>
      </c>
      <c r="R1421" s="2" t="str">
        <f>New_Xref[[#This Row],[Serial Prefix]]&amp;IF(New_Xref[[#This Row],[Func Loc]]&lt;&gt;"",New_Xref[[#This Row],[Func Loc]],"NO MATCH")</f>
        <v>DLK0NO MATCH</v>
      </c>
      <c r="S1421" s="3" t="str">
        <f t="shared" si="154"/>
        <v>DLK011R1468Jack Cyl NCS DE</v>
      </c>
      <c r="T1421" s="3" t="s">
        <v>5554</v>
      </c>
      <c r="U1421" s="3" t="s">
        <v>96</v>
      </c>
      <c r="V1421" t="str">
        <f t="shared" si="160"/>
        <v>79NMLR</v>
      </c>
    </row>
    <row r="1422" spans="1:22">
      <c r="A1422" t="s">
        <v>5654</v>
      </c>
      <c r="B1422" t="s">
        <v>5684</v>
      </c>
      <c r="C1422" t="s">
        <v>5548</v>
      </c>
      <c r="D1422" t="s">
        <v>5549</v>
      </c>
      <c r="E1422" t="s">
        <v>5550</v>
      </c>
      <c r="F1422" t="s">
        <v>27</v>
      </c>
      <c r="G1422">
        <v>1</v>
      </c>
      <c r="H1422" t="s">
        <v>5821</v>
      </c>
      <c r="I1422" t="s">
        <v>5834</v>
      </c>
      <c r="J1422" t="s">
        <v>5835</v>
      </c>
      <c r="K1422" t="s">
        <v>5836</v>
      </c>
      <c r="L1422" t="s">
        <v>83</v>
      </c>
      <c r="M1422" s="1" t="str">
        <f t="shared" si="155"/>
        <v>21R300</v>
      </c>
      <c r="N1422" s="1" t="str">
        <f t="shared" si="156"/>
        <v>C/O</v>
      </c>
      <c r="O1422" s="1" t="str">
        <f t="shared" si="157"/>
        <v>Jack Leg Cylinder NDE CS</v>
      </c>
      <c r="P1422" s="1" t="str">
        <f t="shared" si="158"/>
        <v>DLK0</v>
      </c>
      <c r="Q1422" s="2" t="str">
        <f t="shared" si="159"/>
        <v>DLK0Jack Leg Cylinder NDE CS</v>
      </c>
      <c r="R1422" s="2" t="str">
        <f>New_Xref[[#This Row],[Serial Prefix]]&amp;IF(New_Xref[[#This Row],[Func Loc]]&lt;&gt;"",New_Xref[[#This Row],[Func Loc]],"NO MATCH")</f>
        <v>DLK0NO MATCH</v>
      </c>
      <c r="S1422" s="3" t="str">
        <f t="shared" si="154"/>
        <v>DLK011R1466Jack Leg Cylinder NDE CS</v>
      </c>
      <c r="T1422" s="3" t="s">
        <v>5554</v>
      </c>
      <c r="U1422" s="3" t="s">
        <v>92</v>
      </c>
      <c r="V1422" t="str">
        <f t="shared" si="160"/>
        <v>79NMRF</v>
      </c>
    </row>
    <row r="1423" spans="1:22">
      <c r="A1423" t="s">
        <v>5654</v>
      </c>
      <c r="B1423" t="s">
        <v>5655</v>
      </c>
      <c r="C1423" t="s">
        <v>5565</v>
      </c>
      <c r="D1423" t="s">
        <v>5566</v>
      </c>
      <c r="E1423" t="s">
        <v>5567</v>
      </c>
      <c r="F1423" t="s">
        <v>27</v>
      </c>
      <c r="G1423">
        <v>1</v>
      </c>
      <c r="H1423" t="s">
        <v>5837</v>
      </c>
      <c r="I1423" t="s">
        <v>5838</v>
      </c>
      <c r="J1423" t="s">
        <v>5839</v>
      </c>
      <c r="K1423" t="s">
        <v>5838</v>
      </c>
      <c r="L1423" t="s">
        <v>5579</v>
      </c>
      <c r="M1423" s="1" t="str">
        <f t="shared" si="155"/>
        <v>21B290</v>
      </c>
      <c r="N1423" s="1" t="str">
        <f t="shared" si="156"/>
        <v>C/O</v>
      </c>
      <c r="O1423" s="1" t="str">
        <f t="shared" si="157"/>
        <v>Mast Lock Cylinder CS</v>
      </c>
      <c r="P1423" s="1" t="str">
        <f t="shared" si="158"/>
        <v>DLK0</v>
      </c>
      <c r="Q1423" s="2" t="str">
        <f t="shared" si="159"/>
        <v>DLK0Mast Lock Cylinder CS</v>
      </c>
      <c r="R1423" s="2" t="str">
        <f>New_Xref[[#This Row],[Serial Prefix]]&amp;IF(New_Xref[[#This Row],[Func Loc]]&lt;&gt;"",New_Xref[[#This Row],[Func Loc]],"NO MATCH")</f>
        <v>DLK0MYHD .CYLI.MALC</v>
      </c>
      <c r="S1423" s="3" t="str">
        <f t="shared" si="154"/>
        <v>DLK05156795Mast Lock Cylinder CS</v>
      </c>
      <c r="T1423" s="3" t="s">
        <v>5572</v>
      </c>
      <c r="U1423" s="3" t="s">
        <v>34</v>
      </c>
      <c r="V1423" t="str">
        <f t="shared" si="160"/>
        <v>79NT00</v>
      </c>
    </row>
    <row r="1424" spans="1:22">
      <c r="A1424" t="s">
        <v>5654</v>
      </c>
      <c r="B1424" t="s">
        <v>5655</v>
      </c>
      <c r="C1424" t="s">
        <v>5565</v>
      </c>
      <c r="D1424" t="s">
        <v>5566</v>
      </c>
      <c r="E1424" t="s">
        <v>5567</v>
      </c>
      <c r="F1424" t="s">
        <v>27</v>
      </c>
      <c r="G1424">
        <v>1</v>
      </c>
      <c r="H1424" t="s">
        <v>5837</v>
      </c>
      <c r="I1424" t="s">
        <v>5840</v>
      </c>
      <c r="J1424" t="s">
        <v>5841</v>
      </c>
      <c r="K1424" t="s">
        <v>5840</v>
      </c>
      <c r="L1424" t="s">
        <v>5582</v>
      </c>
      <c r="M1424" s="1" t="str">
        <f t="shared" si="155"/>
        <v>21B290</v>
      </c>
      <c r="N1424" s="1" t="str">
        <f t="shared" si="156"/>
        <v>C/O</v>
      </c>
      <c r="O1424" s="1" t="str">
        <f t="shared" si="157"/>
        <v>Mast Lock Cylinder NCS</v>
      </c>
      <c r="P1424" s="1" t="str">
        <f t="shared" si="158"/>
        <v>DLK0</v>
      </c>
      <c r="Q1424" s="2" t="str">
        <f t="shared" si="159"/>
        <v>DLK0Mast Lock Cylinder NCS</v>
      </c>
      <c r="R1424" s="2" t="str">
        <f>New_Xref[[#This Row],[Serial Prefix]]&amp;IF(New_Xref[[#This Row],[Func Loc]]&lt;&gt;"",New_Xref[[#This Row],[Func Loc]],"NO MATCH")</f>
        <v>DLK0MYHD .CYLI.MALN</v>
      </c>
      <c r="S1424" s="3" t="str">
        <f t="shared" si="154"/>
        <v>DLK05156795Mast Lock Cylinder NCS</v>
      </c>
      <c r="T1424" s="3" t="s">
        <v>5572</v>
      </c>
      <c r="U1424" s="3" t="s">
        <v>34</v>
      </c>
      <c r="V1424" t="str">
        <f t="shared" si="160"/>
        <v>79NT00</v>
      </c>
    </row>
    <row r="1425" spans="1:22">
      <c r="A1425" t="s">
        <v>5654</v>
      </c>
      <c r="B1425" t="s">
        <v>5655</v>
      </c>
      <c r="C1425" t="s">
        <v>5505</v>
      </c>
      <c r="D1425" t="s">
        <v>5506</v>
      </c>
      <c r="E1425" t="s">
        <v>5507</v>
      </c>
      <c r="F1425" t="s">
        <v>27</v>
      </c>
      <c r="G1425">
        <v>1</v>
      </c>
      <c r="H1425" t="s">
        <v>5842</v>
      </c>
      <c r="I1425" t="s">
        <v>5843</v>
      </c>
      <c r="J1425" t="s">
        <v>5844</v>
      </c>
      <c r="K1425" t="s">
        <v>5843</v>
      </c>
      <c r="L1425" t="s">
        <v>5594</v>
      </c>
      <c r="M1425" s="1" t="str">
        <f t="shared" si="155"/>
        <v>21B290</v>
      </c>
      <c r="N1425" s="1" t="str">
        <f t="shared" si="156"/>
        <v>C/O</v>
      </c>
      <c r="O1425" s="1" t="str">
        <f t="shared" si="157"/>
        <v>Mast Raise Cylinder CS</v>
      </c>
      <c r="P1425" s="1" t="str">
        <f t="shared" si="158"/>
        <v>DLK0</v>
      </c>
      <c r="Q1425" s="2" t="str">
        <f t="shared" si="159"/>
        <v>DLK0Mast Raise Cylinder CS</v>
      </c>
      <c r="R1425" s="2" t="str">
        <f>New_Xref[[#This Row],[Serial Prefix]]&amp;IF(New_Xref[[#This Row],[Func Loc]]&lt;&gt;"",New_Xref[[#This Row],[Func Loc]],"NO MATCH")</f>
        <v>DLK0MYHD .CYLI.MARC</v>
      </c>
      <c r="S1425" s="3" t="str">
        <f t="shared" si="154"/>
        <v>DLK04507146XMast Raise Cylinder CS</v>
      </c>
      <c r="T1425" s="3" t="s">
        <v>5587</v>
      </c>
      <c r="U1425" s="3" t="s">
        <v>115</v>
      </c>
      <c r="V1425" t="str">
        <f t="shared" si="160"/>
        <v>79NURI</v>
      </c>
    </row>
    <row r="1426" spans="1:22">
      <c r="A1426" t="s">
        <v>5654</v>
      </c>
      <c r="B1426" t="s">
        <v>5655</v>
      </c>
      <c r="C1426" t="s">
        <v>5505</v>
      </c>
      <c r="D1426" t="s">
        <v>5506</v>
      </c>
      <c r="E1426" t="s">
        <v>5507</v>
      </c>
      <c r="F1426" t="s">
        <v>27</v>
      </c>
      <c r="G1426">
        <v>1</v>
      </c>
      <c r="H1426" t="s">
        <v>5842</v>
      </c>
      <c r="I1426" t="s">
        <v>5845</v>
      </c>
      <c r="J1426" t="s">
        <v>5846</v>
      </c>
      <c r="K1426" t="s">
        <v>5845</v>
      </c>
      <c r="L1426" t="s">
        <v>5598</v>
      </c>
      <c r="M1426" s="1" t="str">
        <f t="shared" si="155"/>
        <v>21B290</v>
      </c>
      <c r="N1426" s="1" t="str">
        <f t="shared" si="156"/>
        <v>C/O</v>
      </c>
      <c r="O1426" s="1" t="str">
        <f t="shared" si="157"/>
        <v>Mast Raise Cylinder NCS</v>
      </c>
      <c r="P1426" s="1" t="str">
        <f t="shared" si="158"/>
        <v>DLK0</v>
      </c>
      <c r="Q1426" s="2" t="str">
        <f t="shared" si="159"/>
        <v>DLK0Mast Raise Cylinder NCS</v>
      </c>
      <c r="R1426" s="2" t="str">
        <f>New_Xref[[#This Row],[Serial Prefix]]&amp;IF(New_Xref[[#This Row],[Func Loc]]&lt;&gt;"",New_Xref[[#This Row],[Func Loc]],"NO MATCH")</f>
        <v>DLK0MYHD .CYLI.MARN</v>
      </c>
      <c r="S1426" s="3" t="str">
        <f t="shared" si="154"/>
        <v>DLK04507146XMast Raise Cylinder NCS</v>
      </c>
      <c r="T1426" s="3" t="s">
        <v>5587</v>
      </c>
      <c r="U1426" s="3" t="s">
        <v>108</v>
      </c>
      <c r="V1426" t="str">
        <f t="shared" si="160"/>
        <v>79NULT</v>
      </c>
    </row>
    <row r="1427" spans="1:22">
      <c r="A1427" t="s">
        <v>5654</v>
      </c>
      <c r="B1427" t="s">
        <v>5655</v>
      </c>
      <c r="C1427" t="s">
        <v>5847</v>
      </c>
      <c r="D1427" t="s">
        <v>5848</v>
      </c>
      <c r="E1427" t="s">
        <v>5849</v>
      </c>
      <c r="F1427" t="s">
        <v>27</v>
      </c>
      <c r="G1427">
        <v>1</v>
      </c>
      <c r="H1427" t="s">
        <v>5850</v>
      </c>
      <c r="I1427" t="s">
        <v>5851</v>
      </c>
      <c r="J1427" t="s">
        <v>5852</v>
      </c>
      <c r="K1427" t="s">
        <v>5851</v>
      </c>
      <c r="L1427" t="s">
        <v>5605</v>
      </c>
      <c r="M1427" s="1" t="str">
        <f t="shared" si="155"/>
        <v>21B290</v>
      </c>
      <c r="N1427" s="1" t="str">
        <f t="shared" si="156"/>
        <v>C/O</v>
      </c>
      <c r="O1427" s="1" t="str">
        <f t="shared" si="157"/>
        <v>Hoist/Pulldown Cylinder</v>
      </c>
      <c r="P1427" s="1" t="str">
        <f t="shared" si="158"/>
        <v>DLK0</v>
      </c>
      <c r="Q1427" s="2" t="str">
        <f t="shared" si="159"/>
        <v>DLK0Hoist/Pulldown Cylinder</v>
      </c>
      <c r="R1427" s="2" t="str">
        <f>New_Xref[[#This Row],[Serial Prefix]]&amp;IF(New_Xref[[#This Row],[Func Loc]]&lt;&gt;"",New_Xref[[#This Row],[Func Loc]],"NO MATCH")</f>
        <v>DLK0MYHD .CYLI.HOPU</v>
      </c>
      <c r="S1427" s="3" t="str">
        <f t="shared" si="154"/>
        <v>DLK06209749XHoist/Pulldown Cylinder</v>
      </c>
      <c r="T1427" s="3" t="s">
        <v>5606</v>
      </c>
      <c r="U1427" s="3" t="s">
        <v>34</v>
      </c>
      <c r="V1427" t="str">
        <f t="shared" si="160"/>
        <v>79NZ00</v>
      </c>
    </row>
    <row r="1428" spans="1:22">
      <c r="A1428" t="s">
        <v>5654</v>
      </c>
      <c r="B1428" t="s">
        <v>5655</v>
      </c>
      <c r="C1428" t="s">
        <v>5853</v>
      </c>
      <c r="D1428" t="s">
        <v>5854</v>
      </c>
      <c r="E1428" t="s">
        <v>5855</v>
      </c>
      <c r="F1428" t="s">
        <v>27</v>
      </c>
      <c r="G1428">
        <v>1</v>
      </c>
      <c r="H1428" t="s">
        <v>5856</v>
      </c>
      <c r="I1428" t="s">
        <v>5857</v>
      </c>
      <c r="J1428" t="s">
        <v>5858</v>
      </c>
      <c r="K1428" t="s">
        <v>5857</v>
      </c>
      <c r="L1428" t="s">
        <v>83</v>
      </c>
      <c r="M1428" s="1" t="str">
        <f t="shared" si="155"/>
        <v>21B290</v>
      </c>
      <c r="N1428" s="1" t="str">
        <f t="shared" si="156"/>
        <v>C/O</v>
      </c>
      <c r="O1428" s="1" t="str">
        <f t="shared" si="157"/>
        <v>Rotary Head Gearbox</v>
      </c>
      <c r="P1428" s="1" t="str">
        <f t="shared" si="158"/>
        <v>DLK0</v>
      </c>
      <c r="Q1428" s="2" t="str">
        <f t="shared" si="159"/>
        <v>DLK0Rotary Head Gearbox</v>
      </c>
      <c r="R1428" s="2" t="str">
        <f>New_Xref[[#This Row],[Serial Prefix]]&amp;IF(New_Xref[[#This Row],[Func Loc]]&lt;&gt;"",New_Xref[[#This Row],[Func Loc]],"NO MATCH")</f>
        <v>DLK0NO MATCH</v>
      </c>
      <c r="S1428" s="3" t="str">
        <f t="shared" si="154"/>
        <v>DLK05275344XRotary Head Gearbox</v>
      </c>
      <c r="T1428" s="3" t="s">
        <v>5615</v>
      </c>
      <c r="U1428" s="3" t="s">
        <v>34</v>
      </c>
      <c r="V1428" t="str">
        <f t="shared" si="160"/>
        <v>79P300</v>
      </c>
    </row>
    <row r="1429" spans="1:22">
      <c r="A1429" t="s">
        <v>5654</v>
      </c>
      <c r="B1429" t="s">
        <v>5684</v>
      </c>
      <c r="C1429" t="s">
        <v>5853</v>
      </c>
      <c r="D1429" t="s">
        <v>5854</v>
      </c>
      <c r="E1429" t="s">
        <v>5855</v>
      </c>
      <c r="F1429" t="s">
        <v>27</v>
      </c>
      <c r="G1429">
        <v>1</v>
      </c>
      <c r="H1429" t="s">
        <v>5856</v>
      </c>
      <c r="I1429" t="s">
        <v>5859</v>
      </c>
      <c r="J1429" t="s">
        <v>5860</v>
      </c>
      <c r="K1429" t="s">
        <v>5861</v>
      </c>
      <c r="L1429" t="s">
        <v>5614</v>
      </c>
      <c r="M1429" s="1" t="str">
        <f t="shared" si="155"/>
        <v>21R300</v>
      </c>
      <c r="N1429" s="1" t="str">
        <f t="shared" si="156"/>
        <v>C/O</v>
      </c>
      <c r="O1429" s="1" t="str">
        <f t="shared" si="157"/>
        <v>Rotary Head Gear Box</v>
      </c>
      <c r="P1429" s="1" t="str">
        <f t="shared" si="158"/>
        <v>DLK0</v>
      </c>
      <c r="Q1429" s="2" t="str">
        <f t="shared" si="159"/>
        <v>DLK0Rotary Head Gear Box</v>
      </c>
      <c r="R1429" s="2" t="str">
        <f>New_Xref[[#This Row],[Serial Prefix]]&amp;IF(New_Xref[[#This Row],[Func Loc]]&lt;&gt;"",New_Xref[[#This Row],[Func Loc]],"NO MATCH")</f>
        <v>DLK0TRAN .RHGB</v>
      </c>
      <c r="S1429" s="3" t="str">
        <f t="shared" si="154"/>
        <v>DLK05275344XRotary Head Gear Box</v>
      </c>
      <c r="T1429" s="3" t="s">
        <v>5615</v>
      </c>
      <c r="U1429" s="3" t="s">
        <v>34</v>
      </c>
      <c r="V1429" t="str">
        <f t="shared" si="160"/>
        <v>79P300</v>
      </c>
    </row>
    <row r="1430" spans="1:22">
      <c r="A1430" t="s">
        <v>5654</v>
      </c>
      <c r="B1430" t="s">
        <v>5862</v>
      </c>
      <c r="C1430" t="s">
        <v>5863</v>
      </c>
      <c r="D1430" t="s">
        <v>5864</v>
      </c>
      <c r="E1430" t="s">
        <v>5865</v>
      </c>
      <c r="F1430" t="s">
        <v>27</v>
      </c>
      <c r="G1430">
        <v>2</v>
      </c>
      <c r="H1430" t="s">
        <v>5866</v>
      </c>
      <c r="I1430" t="s">
        <v>5867</v>
      </c>
      <c r="J1430" t="s">
        <v>5868</v>
      </c>
      <c r="K1430" t="s">
        <v>5867</v>
      </c>
      <c r="L1430" t="s">
        <v>83</v>
      </c>
      <c r="M1430" s="1" t="str">
        <f t="shared" si="155"/>
        <v>21B291</v>
      </c>
      <c r="N1430" s="1" t="str">
        <f t="shared" si="156"/>
        <v>C/O</v>
      </c>
      <c r="O1430" s="1" t="str">
        <f t="shared" si="157"/>
        <v>Pulldown Cables</v>
      </c>
      <c r="P1430" s="1" t="str">
        <f t="shared" si="158"/>
        <v>DLK0</v>
      </c>
      <c r="Q1430" s="2" t="str">
        <f t="shared" si="159"/>
        <v>DLK0Pulldown Cables</v>
      </c>
      <c r="R1430" s="2" t="str">
        <f>New_Xref[[#This Row],[Serial Prefix]]&amp;IF(New_Xref[[#This Row],[Func Loc]]&lt;&gt;"",New_Xref[[#This Row],[Func Loc]],"NO MATCH")</f>
        <v>DLK0NO MATCH</v>
      </c>
      <c r="S1430" s="3" t="str">
        <f t="shared" si="154"/>
        <v>DLK05653199Pulldown Cables</v>
      </c>
      <c r="T1430" s="3" t="s">
        <v>5625</v>
      </c>
      <c r="U1430" s="3" t="s">
        <v>108</v>
      </c>
      <c r="V1430" t="str">
        <f t="shared" si="160"/>
        <v>89AFLT</v>
      </c>
    </row>
    <row r="1431" spans="1:22">
      <c r="A1431" t="s">
        <v>5654</v>
      </c>
      <c r="B1431" t="s">
        <v>5684</v>
      </c>
      <c r="H1431" t="s">
        <v>5866</v>
      </c>
      <c r="I1431" t="s">
        <v>5869</v>
      </c>
      <c r="J1431" t="s">
        <v>5870</v>
      </c>
      <c r="K1431" t="s">
        <v>5871</v>
      </c>
      <c r="L1431" t="s">
        <v>5631</v>
      </c>
      <c r="M1431" s="1" t="str">
        <f t="shared" si="155"/>
        <v>21R300</v>
      </c>
      <c r="N1431" s="1" t="str">
        <f t="shared" si="156"/>
        <v>C/O</v>
      </c>
      <c r="O1431" s="1" t="str">
        <f t="shared" si="157"/>
        <v>Mast Pulldown Cables</v>
      </c>
      <c r="P1431" s="1" t="str">
        <f t="shared" si="158"/>
        <v>DLK0</v>
      </c>
      <c r="Q1431" s="2" t="str">
        <f t="shared" si="159"/>
        <v>DLK0Mast Pulldown Cables</v>
      </c>
      <c r="R1431" s="2" t="str">
        <f>New_Xref[[#This Row],[Serial Prefix]]&amp;IF(New_Xref[[#This Row],[Func Loc]]&lt;&gt;"",New_Xref[[#This Row],[Func Loc]],"NO MATCH")</f>
        <v>DLK0MAST .CABL.CAB2</v>
      </c>
      <c r="S1431" s="3" t="str">
        <f t="shared" si="154"/>
        <v>DLK0Mast Pulldown Cables</v>
      </c>
      <c r="T1431" s="3" t="s">
        <v>5625</v>
      </c>
      <c r="U1431" s="3" t="s">
        <v>108</v>
      </c>
      <c r="V1431" t="str">
        <f t="shared" si="160"/>
        <v>89AFLT</v>
      </c>
    </row>
    <row r="1432" spans="1:22">
      <c r="A1432" t="s">
        <v>5654</v>
      </c>
      <c r="B1432" t="s">
        <v>5862</v>
      </c>
      <c r="C1432" t="s">
        <v>5872</v>
      </c>
      <c r="D1432" t="s">
        <v>5873</v>
      </c>
      <c r="E1432" t="s">
        <v>5874</v>
      </c>
      <c r="F1432" t="s">
        <v>27</v>
      </c>
      <c r="G1432">
        <v>2</v>
      </c>
      <c r="H1432" t="s">
        <v>5875</v>
      </c>
      <c r="I1432" t="s">
        <v>5876</v>
      </c>
      <c r="J1432" t="s">
        <v>5877</v>
      </c>
      <c r="K1432" t="s">
        <v>5876</v>
      </c>
      <c r="L1432" t="s">
        <v>83</v>
      </c>
      <c r="M1432" s="1" t="str">
        <f t="shared" si="155"/>
        <v>21B291</v>
      </c>
      <c r="N1432" s="1" t="str">
        <f t="shared" si="156"/>
        <v>C/O</v>
      </c>
      <c r="O1432" s="1" t="str">
        <f t="shared" si="157"/>
        <v>Hoist Cables</v>
      </c>
      <c r="P1432" s="1" t="str">
        <f t="shared" si="158"/>
        <v>DLK0</v>
      </c>
      <c r="Q1432" s="2" t="str">
        <f t="shared" si="159"/>
        <v>DLK0Hoist Cables</v>
      </c>
      <c r="R1432" s="2" t="str">
        <f>New_Xref[[#This Row],[Serial Prefix]]&amp;IF(New_Xref[[#This Row],[Func Loc]]&lt;&gt;"",New_Xref[[#This Row],[Func Loc]],"NO MATCH")</f>
        <v>DLK0NO MATCH</v>
      </c>
      <c r="S1432" s="3" t="str">
        <f t="shared" si="154"/>
        <v>DLK05653200Hoist Cables</v>
      </c>
      <c r="T1432" s="3" t="s">
        <v>5637</v>
      </c>
      <c r="U1432" s="3" t="s">
        <v>108</v>
      </c>
      <c r="V1432" t="str">
        <f t="shared" si="160"/>
        <v>89AGLT</v>
      </c>
    </row>
    <row r="1433" spans="1:22">
      <c r="A1433" t="s">
        <v>5654</v>
      </c>
      <c r="B1433" t="s">
        <v>5684</v>
      </c>
      <c r="H1433" t="s">
        <v>5875</v>
      </c>
      <c r="I1433" t="s">
        <v>5878</v>
      </c>
      <c r="J1433" t="s">
        <v>5879</v>
      </c>
      <c r="K1433" t="s">
        <v>5880</v>
      </c>
      <c r="L1433" t="s">
        <v>5636</v>
      </c>
      <c r="M1433" s="1" t="str">
        <f t="shared" si="155"/>
        <v>21R300</v>
      </c>
      <c r="N1433" s="1" t="str">
        <f t="shared" si="156"/>
        <v>C/O</v>
      </c>
      <c r="O1433" s="1" t="str">
        <f t="shared" si="157"/>
        <v>Mast Hoist Cables</v>
      </c>
      <c r="P1433" s="1" t="str">
        <f t="shared" si="158"/>
        <v>DLK0</v>
      </c>
      <c r="Q1433" s="2" t="str">
        <f t="shared" si="159"/>
        <v>DLK0Mast Hoist Cables</v>
      </c>
      <c r="R1433" s="2" t="str">
        <f>New_Xref[[#This Row],[Serial Prefix]]&amp;IF(New_Xref[[#This Row],[Func Loc]]&lt;&gt;"",New_Xref[[#This Row],[Func Loc]],"NO MATCH")</f>
        <v>DLK0MAST .CABL.CAB1</v>
      </c>
      <c r="S1433" s="3" t="str">
        <f t="shared" si="154"/>
        <v>DLK0Mast Hoist Cables</v>
      </c>
      <c r="T1433" s="3" t="s">
        <v>5637</v>
      </c>
      <c r="U1433" s="3" t="s">
        <v>108</v>
      </c>
      <c r="V1433" t="str">
        <f t="shared" si="160"/>
        <v>89AGLT</v>
      </c>
    </row>
    <row r="1434" spans="1:22">
      <c r="A1434" t="s">
        <v>5654</v>
      </c>
      <c r="B1434" t="s">
        <v>5684</v>
      </c>
      <c r="C1434" t="s">
        <v>5638</v>
      </c>
      <c r="D1434" t="s">
        <v>5639</v>
      </c>
      <c r="E1434" t="s">
        <v>5567</v>
      </c>
      <c r="F1434" t="s">
        <v>27</v>
      </c>
      <c r="G1434">
        <v>1</v>
      </c>
      <c r="H1434" t="s">
        <v>5881</v>
      </c>
      <c r="I1434" t="s">
        <v>5882</v>
      </c>
      <c r="J1434" t="s">
        <v>5883</v>
      </c>
      <c r="K1434" t="s">
        <v>5882</v>
      </c>
      <c r="L1434" t="s">
        <v>83</v>
      </c>
      <c r="M1434" s="1" t="str">
        <f t="shared" si="155"/>
        <v>21R300</v>
      </c>
      <c r="N1434" s="1" t="str">
        <f t="shared" si="156"/>
        <v>C/O</v>
      </c>
      <c r="O1434" s="1" t="str">
        <f t="shared" si="157"/>
        <v>Cable Tension Cyl Lower CS</v>
      </c>
      <c r="P1434" s="1" t="str">
        <f t="shared" si="158"/>
        <v>DLK0</v>
      </c>
      <c r="Q1434" s="2" t="str">
        <f t="shared" si="159"/>
        <v>DLK0Cable Tension Cyl Lower CS</v>
      </c>
      <c r="R1434" s="2" t="str">
        <f>New_Xref[[#This Row],[Serial Prefix]]&amp;IF(New_Xref[[#This Row],[Func Loc]]&lt;&gt;"",New_Xref[[#This Row],[Func Loc]],"NO MATCH")</f>
        <v>DLK0NO MATCH</v>
      </c>
      <c r="S1434" s="3" t="str">
        <f t="shared" si="154"/>
        <v>DLK05249002Cable Tension Cyl Lower CS</v>
      </c>
      <c r="T1434" s="3" t="s">
        <v>5643</v>
      </c>
      <c r="U1434" s="2" t="s">
        <v>5644</v>
      </c>
      <c r="V1434" t="str">
        <f t="shared" si="160"/>
        <v>89BZRLH</v>
      </c>
    </row>
    <row r="1435" spans="1:22">
      <c r="A1435" t="s">
        <v>5654</v>
      </c>
      <c r="B1435" t="s">
        <v>5684</v>
      </c>
      <c r="C1435" t="s">
        <v>5638</v>
      </c>
      <c r="D1435" t="s">
        <v>5639</v>
      </c>
      <c r="E1435" t="s">
        <v>5567</v>
      </c>
      <c r="F1435" t="s">
        <v>27</v>
      </c>
      <c r="G1435">
        <v>1</v>
      </c>
      <c r="H1435" t="s">
        <v>5881</v>
      </c>
      <c r="I1435" t="s">
        <v>5884</v>
      </c>
      <c r="J1435" t="s">
        <v>5885</v>
      </c>
      <c r="K1435" t="s">
        <v>5884</v>
      </c>
      <c r="L1435" t="s">
        <v>83</v>
      </c>
      <c r="M1435" s="1" t="str">
        <f t="shared" si="155"/>
        <v>21R300</v>
      </c>
      <c r="N1435" s="1" t="str">
        <f t="shared" si="156"/>
        <v>C/O</v>
      </c>
      <c r="O1435" s="1" t="str">
        <f t="shared" si="157"/>
        <v>Cable Tension Cyl Lower NCS</v>
      </c>
      <c r="P1435" s="1" t="str">
        <f t="shared" si="158"/>
        <v>DLK0</v>
      </c>
      <c r="Q1435" s="2" t="str">
        <f t="shared" si="159"/>
        <v>DLK0Cable Tension Cyl Lower NCS</v>
      </c>
      <c r="R1435" s="2" t="str">
        <f>New_Xref[[#This Row],[Serial Prefix]]&amp;IF(New_Xref[[#This Row],[Func Loc]]&lt;&gt;"",New_Xref[[#This Row],[Func Loc]],"NO MATCH")</f>
        <v>DLK0NO MATCH</v>
      </c>
      <c r="S1435" s="3" t="str">
        <f t="shared" si="154"/>
        <v>DLK05249002Cable Tension Cyl Lower NCS</v>
      </c>
      <c r="T1435" s="3" t="s">
        <v>5643</v>
      </c>
      <c r="U1435" s="2" t="s">
        <v>5647</v>
      </c>
      <c r="V1435" t="str">
        <f t="shared" si="160"/>
        <v>89BZLLH</v>
      </c>
    </row>
    <row r="1436" spans="1:22">
      <c r="A1436" t="s">
        <v>5654</v>
      </c>
      <c r="B1436" t="s">
        <v>5684</v>
      </c>
      <c r="C1436" t="s">
        <v>5638</v>
      </c>
      <c r="D1436" t="s">
        <v>5639</v>
      </c>
      <c r="E1436" t="s">
        <v>5567</v>
      </c>
      <c r="F1436" t="s">
        <v>27</v>
      </c>
      <c r="G1436">
        <v>1</v>
      </c>
      <c r="H1436" t="s">
        <v>5881</v>
      </c>
      <c r="I1436" t="s">
        <v>5886</v>
      </c>
      <c r="J1436" t="s">
        <v>5887</v>
      </c>
      <c r="K1436" t="s">
        <v>5886</v>
      </c>
      <c r="L1436" t="s">
        <v>83</v>
      </c>
      <c r="M1436" s="1" t="str">
        <f t="shared" si="155"/>
        <v>21R300</v>
      </c>
      <c r="N1436" s="1" t="str">
        <f t="shared" si="156"/>
        <v>C/O</v>
      </c>
      <c r="O1436" s="1" t="str">
        <f t="shared" si="157"/>
        <v>Cable Tension Cyl Upper CS</v>
      </c>
      <c r="P1436" s="1" t="str">
        <f t="shared" si="158"/>
        <v>DLK0</v>
      </c>
      <c r="Q1436" s="2" t="str">
        <f t="shared" si="159"/>
        <v>DLK0Cable Tension Cyl Upper CS</v>
      </c>
      <c r="R1436" s="2" t="str">
        <f>New_Xref[[#This Row],[Serial Prefix]]&amp;IF(New_Xref[[#This Row],[Func Loc]]&lt;&gt;"",New_Xref[[#This Row],[Func Loc]],"NO MATCH")</f>
        <v>DLK0NO MATCH</v>
      </c>
      <c r="S1436" s="3" t="str">
        <f t="shared" si="154"/>
        <v>DLK05249002Cable Tension Cyl Upper CS</v>
      </c>
      <c r="T1436" s="3" t="s">
        <v>5643</v>
      </c>
      <c r="U1436" s="2" t="s">
        <v>5650</v>
      </c>
      <c r="V1436" t="str">
        <f t="shared" si="160"/>
        <v>89BZRUZ</v>
      </c>
    </row>
    <row r="1437" spans="1:22">
      <c r="A1437" t="s">
        <v>5654</v>
      </c>
      <c r="B1437" t="s">
        <v>5684</v>
      </c>
      <c r="C1437" t="s">
        <v>5638</v>
      </c>
      <c r="D1437" t="s">
        <v>5639</v>
      </c>
      <c r="E1437" t="s">
        <v>5567</v>
      </c>
      <c r="F1437" t="s">
        <v>27</v>
      </c>
      <c r="G1437">
        <v>1</v>
      </c>
      <c r="H1437" t="s">
        <v>5881</v>
      </c>
      <c r="I1437" t="s">
        <v>5888</v>
      </c>
      <c r="J1437" t="s">
        <v>5889</v>
      </c>
      <c r="K1437" t="s">
        <v>5888</v>
      </c>
      <c r="L1437" t="s">
        <v>83</v>
      </c>
      <c r="M1437" s="1" t="str">
        <f t="shared" si="155"/>
        <v>21R300</v>
      </c>
      <c r="N1437" s="1" t="str">
        <f t="shared" si="156"/>
        <v>C/O</v>
      </c>
      <c r="O1437" s="1" t="str">
        <f t="shared" si="157"/>
        <v>Cable Tension Cyl Upper NCS</v>
      </c>
      <c r="P1437" s="1" t="str">
        <f t="shared" si="158"/>
        <v>DLK0</v>
      </c>
      <c r="Q1437" s="2" t="str">
        <f t="shared" si="159"/>
        <v>DLK0Cable Tension Cyl Upper NCS</v>
      </c>
      <c r="R1437" s="2" t="str">
        <f>New_Xref[[#This Row],[Serial Prefix]]&amp;IF(New_Xref[[#This Row],[Func Loc]]&lt;&gt;"",New_Xref[[#This Row],[Func Loc]],"NO MATCH")</f>
        <v>DLK0NO MATCH</v>
      </c>
      <c r="S1437" s="3" t="str">
        <f t="shared" si="154"/>
        <v>DLK05249002Cable Tension Cyl Upper NCS</v>
      </c>
      <c r="T1437" s="3" t="s">
        <v>5643</v>
      </c>
      <c r="U1437" s="2" t="s">
        <v>5653</v>
      </c>
      <c r="V1437" t="str">
        <f t="shared" si="160"/>
        <v>89BZLUZ</v>
      </c>
    </row>
    <row r="1438" spans="1:22">
      <c r="A1438" t="s">
        <v>5890</v>
      </c>
      <c r="B1438" t="s">
        <v>5891</v>
      </c>
      <c r="C1438" t="s">
        <v>5892</v>
      </c>
      <c r="D1438" t="s">
        <v>5893</v>
      </c>
      <c r="E1438" t="s">
        <v>5894</v>
      </c>
      <c r="F1438" t="s">
        <v>27</v>
      </c>
      <c r="G1438">
        <v>1</v>
      </c>
      <c r="H1438" t="s">
        <v>5895</v>
      </c>
      <c r="I1438" t="s">
        <v>5896</v>
      </c>
      <c r="J1438" t="s">
        <v>5897</v>
      </c>
      <c r="K1438" t="s">
        <v>5896</v>
      </c>
      <c r="L1438" t="s">
        <v>5477</v>
      </c>
      <c r="M1438" s="1" t="str">
        <f t="shared" si="155"/>
        <v>21R235</v>
      </c>
      <c r="N1438" s="1" t="str">
        <f t="shared" si="156"/>
        <v>C/O</v>
      </c>
      <c r="O1438" s="1" t="str">
        <f t="shared" si="157"/>
        <v>Hydraulic Oil Cooler</v>
      </c>
      <c r="P1438" s="1" t="str">
        <f t="shared" si="158"/>
        <v>DT20</v>
      </c>
      <c r="Q1438" s="2" t="str">
        <f t="shared" si="159"/>
        <v>DT20Hydraulic Oil Cooler</v>
      </c>
      <c r="R1438" s="2" t="str">
        <f>New_Xref[[#This Row],[Serial Prefix]]&amp;IF(New_Xref[[#This Row],[Func Loc]]&lt;&gt;"",New_Xref[[#This Row],[Func Loc]],"NO MATCH")</f>
        <v>DT20MYHD .OICO.OICO</v>
      </c>
      <c r="S1438" s="3" t="str">
        <f t="shared" si="154"/>
        <v>DT201029178XHydraulic Oil Cooler</v>
      </c>
      <c r="T1438" s="3" t="s">
        <v>5898</v>
      </c>
      <c r="U1438" s="3" t="s">
        <v>115</v>
      </c>
      <c r="V1438" t="str">
        <f t="shared" si="160"/>
        <v>1378RI</v>
      </c>
    </row>
    <row r="1439" spans="1:22">
      <c r="A1439" t="s">
        <v>5890</v>
      </c>
      <c r="B1439" t="s">
        <v>5899</v>
      </c>
      <c r="H1439" t="s">
        <v>5900</v>
      </c>
      <c r="I1439" t="s">
        <v>5901</v>
      </c>
      <c r="J1439" t="s">
        <v>5902</v>
      </c>
      <c r="K1439" t="s">
        <v>5903</v>
      </c>
      <c r="L1439" t="s">
        <v>5904</v>
      </c>
      <c r="M1439" s="1" t="str">
        <f t="shared" si="155"/>
        <v>21H219</v>
      </c>
      <c r="N1439" s="1" t="str">
        <f t="shared" si="156"/>
        <v>C/O</v>
      </c>
      <c r="O1439" s="1" t="str">
        <f t="shared" si="157"/>
        <v>Compressor Cooler Fan Motor</v>
      </c>
      <c r="P1439" s="1" t="str">
        <f t="shared" si="158"/>
        <v>DT20</v>
      </c>
      <c r="Q1439" s="2" t="str">
        <f t="shared" si="159"/>
        <v>DT20Compressor Cooler Fan Motor</v>
      </c>
      <c r="R1439" s="2" t="str">
        <f>New_Xref[[#This Row],[Serial Prefix]]&amp;IF(New_Xref[[#This Row],[Func Loc]]&lt;&gt;"",New_Xref[[#This Row],[Func Loc]],"NO MATCH")</f>
        <v>DT20MYHD .MOTO.HM07</v>
      </c>
      <c r="S1439" s="3" t="str">
        <f t="shared" si="154"/>
        <v>DT20Compressor Cooler Fan Motor</v>
      </c>
      <c r="T1439" s="3" t="s">
        <v>188</v>
      </c>
      <c r="U1439" s="3" t="s">
        <v>115</v>
      </c>
      <c r="V1439" t="str">
        <f t="shared" si="160"/>
        <v>1386RI</v>
      </c>
    </row>
    <row r="1440" spans="1:22">
      <c r="A1440" t="s">
        <v>5890</v>
      </c>
      <c r="B1440" t="s">
        <v>5905</v>
      </c>
      <c r="H1440" t="s">
        <v>5906</v>
      </c>
      <c r="I1440" t="s">
        <v>5907</v>
      </c>
      <c r="J1440" t="s">
        <v>5908</v>
      </c>
      <c r="K1440" t="s">
        <v>5909</v>
      </c>
      <c r="L1440" t="s">
        <v>5910</v>
      </c>
      <c r="M1440" s="1" t="str">
        <f t="shared" si="155"/>
        <v>21D08</v>
      </c>
      <c r="N1440" s="1" t="str">
        <f t="shared" si="156"/>
        <v>C/O</v>
      </c>
      <c r="O1440" s="1" t="str">
        <f t="shared" si="157"/>
        <v>Engine Cooler Fan Motor</v>
      </c>
      <c r="P1440" s="1" t="str">
        <f t="shared" si="158"/>
        <v>DT20</v>
      </c>
      <c r="Q1440" s="2" t="str">
        <f t="shared" si="159"/>
        <v>DT20Engine Cooler Fan Motor</v>
      </c>
      <c r="R1440" s="2" t="str">
        <f>New_Xref[[#This Row],[Serial Prefix]]&amp;IF(New_Xref[[#This Row],[Func Loc]]&lt;&gt;"",New_Xref[[#This Row],[Func Loc]],"NO MATCH")</f>
        <v>DT20MYHD .MOTO.HM06</v>
      </c>
      <c r="S1440" s="3" t="str">
        <f t="shared" si="154"/>
        <v>DT20Engine Cooler Fan Motor</v>
      </c>
      <c r="T1440" s="3" t="s">
        <v>188</v>
      </c>
      <c r="U1440" s="3" t="s">
        <v>108</v>
      </c>
      <c r="V1440" t="str">
        <f t="shared" si="160"/>
        <v>1386LT</v>
      </c>
    </row>
    <row r="1441" spans="1:22">
      <c r="A1441" t="s">
        <v>5890</v>
      </c>
      <c r="B1441" t="s">
        <v>5911</v>
      </c>
      <c r="H1441" t="s">
        <v>5912</v>
      </c>
      <c r="I1441" t="s">
        <v>5913</v>
      </c>
      <c r="J1441" t="s">
        <v>5914</v>
      </c>
      <c r="K1441" t="s">
        <v>5913</v>
      </c>
      <c r="L1441" t="s">
        <v>2170</v>
      </c>
      <c r="M1441" s="1" t="str">
        <f t="shared" si="155"/>
        <v>21H368</v>
      </c>
      <c r="N1441" s="1" t="str">
        <f t="shared" si="156"/>
        <v>C/O</v>
      </c>
      <c r="O1441" s="1" t="str">
        <f t="shared" si="157"/>
        <v>Main Pump Drive Transmission</v>
      </c>
      <c r="P1441" s="1" t="str">
        <f t="shared" si="158"/>
        <v>DT20</v>
      </c>
      <c r="Q1441" s="2" t="str">
        <f t="shared" si="159"/>
        <v>DT20Main Pump Drive Transmission</v>
      </c>
      <c r="R1441" s="2" t="str">
        <f>New_Xref[[#This Row],[Serial Prefix]]&amp;IF(New_Xref[[#This Row],[Func Loc]]&lt;&gt;"",New_Xref[[#This Row],[Func Loc]],"NO MATCH")</f>
        <v>DT20TRAN .MPDT</v>
      </c>
      <c r="S1441" s="3" t="str">
        <f t="shared" si="154"/>
        <v>DT20Main Pump Drive Transmission</v>
      </c>
      <c r="T1441" s="3" t="s">
        <v>1234</v>
      </c>
      <c r="U1441" s="3" t="s">
        <v>34</v>
      </c>
      <c r="V1441" t="str">
        <f t="shared" si="160"/>
        <v>310800</v>
      </c>
    </row>
    <row r="1442" spans="1:22">
      <c r="A1442" t="s">
        <v>5890</v>
      </c>
      <c r="B1442" t="s">
        <v>5915</v>
      </c>
      <c r="C1442" t="s">
        <v>5734</v>
      </c>
      <c r="D1442" t="s">
        <v>5735</v>
      </c>
      <c r="E1442" t="s">
        <v>5736</v>
      </c>
      <c r="F1442" t="s">
        <v>27</v>
      </c>
      <c r="G1442">
        <v>1</v>
      </c>
      <c r="H1442" t="s">
        <v>5916</v>
      </c>
      <c r="I1442" t="s">
        <v>5917</v>
      </c>
      <c r="J1442" t="s">
        <v>5918</v>
      </c>
      <c r="K1442" t="s">
        <v>5917</v>
      </c>
      <c r="L1442" t="s">
        <v>907</v>
      </c>
      <c r="M1442" s="1" t="str">
        <f t="shared" si="155"/>
        <v>21R295</v>
      </c>
      <c r="N1442" s="1" t="str">
        <f t="shared" si="156"/>
        <v>C/O</v>
      </c>
      <c r="O1442" s="1" t="str">
        <f t="shared" si="157"/>
        <v>Final Drive CS</v>
      </c>
      <c r="P1442" s="1" t="str">
        <f t="shared" si="158"/>
        <v>DT20</v>
      </c>
      <c r="Q1442" s="2" t="str">
        <f t="shared" si="159"/>
        <v>DT20Final Drive CS</v>
      </c>
      <c r="R1442" s="2" t="str">
        <f>New_Xref[[#This Row],[Serial Prefix]]&amp;IF(New_Xref[[#This Row],[Func Loc]]&lt;&gt;"",New_Xref[[#This Row],[Func Loc]],"NO MATCH")</f>
        <v>DT20FDRV .FIDR.FDLH</v>
      </c>
      <c r="S1442" s="3" t="str">
        <f t="shared" si="154"/>
        <v>DT2011R0059Final Drive CS</v>
      </c>
      <c r="T1442" s="3" t="s">
        <v>908</v>
      </c>
      <c r="U1442" s="3" t="s">
        <v>115</v>
      </c>
      <c r="V1442" t="str">
        <f t="shared" si="160"/>
        <v>4050RI</v>
      </c>
    </row>
    <row r="1443" spans="1:22">
      <c r="A1443" t="s">
        <v>5890</v>
      </c>
      <c r="B1443" t="s">
        <v>5915</v>
      </c>
      <c r="C1443" t="s">
        <v>5734</v>
      </c>
      <c r="D1443" t="s">
        <v>5735</v>
      </c>
      <c r="E1443" t="s">
        <v>5736</v>
      </c>
      <c r="F1443" t="s">
        <v>27</v>
      </c>
      <c r="G1443">
        <v>1</v>
      </c>
      <c r="H1443" t="s">
        <v>5916</v>
      </c>
      <c r="I1443" t="s">
        <v>5919</v>
      </c>
      <c r="J1443" t="s">
        <v>5920</v>
      </c>
      <c r="K1443" t="s">
        <v>5919</v>
      </c>
      <c r="L1443" t="s">
        <v>911</v>
      </c>
      <c r="M1443" s="1" t="str">
        <f t="shared" si="155"/>
        <v>21R295</v>
      </c>
      <c r="N1443" s="1" t="str">
        <f t="shared" si="156"/>
        <v>C/O</v>
      </c>
      <c r="O1443" s="1" t="str">
        <f t="shared" si="157"/>
        <v>Final Drive NCS</v>
      </c>
      <c r="P1443" s="1" t="str">
        <f t="shared" si="158"/>
        <v>DT20</v>
      </c>
      <c r="Q1443" s="2" t="str">
        <f t="shared" si="159"/>
        <v>DT20Final Drive NCS</v>
      </c>
      <c r="R1443" s="2" t="str">
        <f>New_Xref[[#This Row],[Serial Prefix]]&amp;IF(New_Xref[[#This Row],[Func Loc]]&lt;&gt;"",New_Xref[[#This Row],[Func Loc]],"NO MATCH")</f>
        <v>DT20FDRV .FIDR.FDRH</v>
      </c>
      <c r="S1443" s="3" t="str">
        <f t="shared" si="154"/>
        <v>DT2011R0059Final Drive NCS</v>
      </c>
      <c r="T1443" s="3" t="s">
        <v>908</v>
      </c>
      <c r="U1443" s="3" t="s">
        <v>108</v>
      </c>
      <c r="V1443" t="str">
        <f t="shared" si="160"/>
        <v>4050LT</v>
      </c>
    </row>
    <row r="1444" spans="1:22">
      <c r="A1444" t="s">
        <v>5890</v>
      </c>
      <c r="B1444" t="s">
        <v>5915</v>
      </c>
      <c r="C1444" t="s">
        <v>5921</v>
      </c>
      <c r="D1444" t="s">
        <v>5922</v>
      </c>
      <c r="E1444" t="s">
        <v>5923</v>
      </c>
      <c r="F1444" t="s">
        <v>27</v>
      </c>
      <c r="G1444">
        <v>1</v>
      </c>
      <c r="H1444" t="s">
        <v>5924</v>
      </c>
      <c r="I1444" t="s">
        <v>5925</v>
      </c>
      <c r="J1444" t="s">
        <v>5926</v>
      </c>
      <c r="K1444" t="s">
        <v>5925</v>
      </c>
      <c r="L1444" t="s">
        <v>5927</v>
      </c>
      <c r="M1444" s="1" t="str">
        <f t="shared" si="155"/>
        <v>21R295</v>
      </c>
      <c r="N1444" s="1" t="str">
        <f t="shared" si="156"/>
        <v>C/O</v>
      </c>
      <c r="O1444" s="1" t="str">
        <f t="shared" si="157"/>
        <v>Track Adjuster CS</v>
      </c>
      <c r="P1444" s="1" t="str">
        <f t="shared" si="158"/>
        <v>DT20</v>
      </c>
      <c r="Q1444" s="2" t="str">
        <f t="shared" si="159"/>
        <v>DT20Track Adjuster CS</v>
      </c>
      <c r="R1444" s="2" t="str">
        <f>New_Xref[[#This Row],[Serial Prefix]]&amp;IF(New_Xref[[#This Row],[Func Loc]]&lt;&gt;"",New_Xref[[#This Row],[Func Loc]],"NO MATCH")</f>
        <v>DT20STRU .TRFC.TRAD</v>
      </c>
      <c r="S1444" s="3" t="str">
        <f t="shared" si="154"/>
        <v>DT20216-1528Track Adjuster CS</v>
      </c>
      <c r="T1444" s="3" t="s">
        <v>930</v>
      </c>
      <c r="U1444" s="3" t="s">
        <v>115</v>
      </c>
      <c r="V1444" t="str">
        <f t="shared" si="160"/>
        <v>4157RI</v>
      </c>
    </row>
    <row r="1445" spans="1:22">
      <c r="A1445" t="s">
        <v>5890</v>
      </c>
      <c r="B1445" t="s">
        <v>5915</v>
      </c>
      <c r="C1445" t="s">
        <v>5921</v>
      </c>
      <c r="D1445" t="s">
        <v>5922</v>
      </c>
      <c r="E1445" t="s">
        <v>5923</v>
      </c>
      <c r="F1445" t="s">
        <v>27</v>
      </c>
      <c r="G1445">
        <v>1</v>
      </c>
      <c r="H1445" t="s">
        <v>5924</v>
      </c>
      <c r="I1445" t="s">
        <v>5928</v>
      </c>
      <c r="J1445" t="s">
        <v>5929</v>
      </c>
      <c r="K1445" t="s">
        <v>5928</v>
      </c>
      <c r="L1445" t="s">
        <v>5930</v>
      </c>
      <c r="M1445" s="1" t="str">
        <f t="shared" si="155"/>
        <v>21R295</v>
      </c>
      <c r="N1445" s="1" t="str">
        <f t="shared" si="156"/>
        <v>C/O</v>
      </c>
      <c r="O1445" s="1" t="str">
        <f t="shared" si="157"/>
        <v>Track Adjuster NCS</v>
      </c>
      <c r="P1445" s="1" t="str">
        <f t="shared" si="158"/>
        <v>DT20</v>
      </c>
      <c r="Q1445" s="2" t="str">
        <f t="shared" si="159"/>
        <v>DT20Track Adjuster NCS</v>
      </c>
      <c r="R1445" s="2" t="str">
        <f>New_Xref[[#This Row],[Serial Prefix]]&amp;IF(New_Xref[[#This Row],[Func Loc]]&lt;&gt;"",New_Xref[[#This Row],[Func Loc]],"NO MATCH")</f>
        <v>DT20STRU .TRFN.TRAD</v>
      </c>
      <c r="S1445" s="3" t="str">
        <f t="shared" si="154"/>
        <v>DT20216-1528Track Adjuster NCS</v>
      </c>
      <c r="T1445" s="3" t="s">
        <v>930</v>
      </c>
      <c r="U1445" s="3" t="s">
        <v>108</v>
      </c>
      <c r="V1445" t="str">
        <f t="shared" si="160"/>
        <v>4157LT</v>
      </c>
    </row>
    <row r="1446" spans="1:22">
      <c r="A1446" t="s">
        <v>5890</v>
      </c>
      <c r="B1446" t="s">
        <v>5915</v>
      </c>
      <c r="C1446" t="s">
        <v>5743</v>
      </c>
      <c r="D1446" t="s">
        <v>5744</v>
      </c>
      <c r="E1446" t="s">
        <v>5745</v>
      </c>
      <c r="F1446" t="s">
        <v>27</v>
      </c>
      <c r="G1446">
        <v>1</v>
      </c>
      <c r="H1446" t="s">
        <v>5931</v>
      </c>
      <c r="I1446" t="s">
        <v>5932</v>
      </c>
      <c r="J1446" t="s">
        <v>5933</v>
      </c>
      <c r="K1446" t="s">
        <v>5932</v>
      </c>
      <c r="L1446" t="s">
        <v>5749</v>
      </c>
      <c r="M1446" s="1" t="str">
        <f t="shared" si="155"/>
        <v>21R295</v>
      </c>
      <c r="N1446" s="1" t="str">
        <f t="shared" si="156"/>
        <v>C/O</v>
      </c>
      <c r="O1446" s="1" t="str">
        <f t="shared" si="157"/>
        <v>Idler CS</v>
      </c>
      <c r="P1446" s="1" t="str">
        <f t="shared" si="158"/>
        <v>DT20</v>
      </c>
      <c r="Q1446" s="2" t="str">
        <f t="shared" si="159"/>
        <v>DT20Idler CS</v>
      </c>
      <c r="R1446" s="2" t="str">
        <f>New_Xref[[#This Row],[Serial Prefix]]&amp;IF(New_Xref[[#This Row],[Func Loc]]&lt;&gt;"",New_Xref[[#This Row],[Func Loc]],"NO MATCH")</f>
        <v>DT20STRU .TRFC.IDLE</v>
      </c>
      <c r="S1446" s="3" t="str">
        <f t="shared" si="154"/>
        <v>DT205756593Idler CS</v>
      </c>
      <c r="T1446" s="3" t="s">
        <v>941</v>
      </c>
      <c r="U1446" s="3" t="s">
        <v>34</v>
      </c>
      <c r="V1446" t="str">
        <f t="shared" si="160"/>
        <v>415900</v>
      </c>
    </row>
    <row r="1447" spans="1:22">
      <c r="A1447" t="s">
        <v>5890</v>
      </c>
      <c r="B1447" t="s">
        <v>5915</v>
      </c>
      <c r="C1447" t="s">
        <v>5743</v>
      </c>
      <c r="D1447" t="s">
        <v>5744</v>
      </c>
      <c r="E1447" t="s">
        <v>5745</v>
      </c>
      <c r="F1447" t="s">
        <v>27</v>
      </c>
      <c r="G1447">
        <v>1</v>
      </c>
      <c r="H1447" t="s">
        <v>5931</v>
      </c>
      <c r="I1447" t="s">
        <v>5934</v>
      </c>
      <c r="J1447" t="s">
        <v>5935</v>
      </c>
      <c r="K1447" t="s">
        <v>5934</v>
      </c>
      <c r="L1447" t="s">
        <v>5752</v>
      </c>
      <c r="M1447" s="1" t="str">
        <f t="shared" si="155"/>
        <v>21R295</v>
      </c>
      <c r="N1447" s="1" t="str">
        <f t="shared" si="156"/>
        <v>C/O</v>
      </c>
      <c r="O1447" s="1" t="str">
        <f t="shared" si="157"/>
        <v>Idler NCS</v>
      </c>
      <c r="P1447" s="1" t="str">
        <f t="shared" si="158"/>
        <v>DT20</v>
      </c>
      <c r="Q1447" s="2" t="str">
        <f t="shared" si="159"/>
        <v>DT20Idler NCS</v>
      </c>
      <c r="R1447" s="2" t="str">
        <f>New_Xref[[#This Row],[Serial Prefix]]&amp;IF(New_Xref[[#This Row],[Func Loc]]&lt;&gt;"",New_Xref[[#This Row],[Func Loc]],"NO MATCH")</f>
        <v>DT20STRU .TRFN.IDLE</v>
      </c>
      <c r="S1447" s="3" t="str">
        <f t="shared" si="154"/>
        <v>DT205756593Idler NCS</v>
      </c>
      <c r="T1447" s="3" t="s">
        <v>941</v>
      </c>
      <c r="U1447" s="3" t="s">
        <v>34</v>
      </c>
      <c r="V1447" t="str">
        <f t="shared" si="160"/>
        <v>415900</v>
      </c>
    </row>
    <row r="1448" spans="1:22">
      <c r="A1448" t="s">
        <v>5890</v>
      </c>
      <c r="B1448" t="s">
        <v>5905</v>
      </c>
      <c r="H1448" t="s">
        <v>5936</v>
      </c>
      <c r="I1448" t="s">
        <v>5937</v>
      </c>
      <c r="J1448" t="s">
        <v>5938</v>
      </c>
      <c r="K1448" t="s">
        <v>5939</v>
      </c>
      <c r="L1448" t="s">
        <v>5940</v>
      </c>
      <c r="M1448" s="1" t="str">
        <f t="shared" si="155"/>
        <v>21D08</v>
      </c>
      <c r="N1448" s="1" t="str">
        <f t="shared" si="156"/>
        <v>C/O</v>
      </c>
      <c r="O1448" s="1" t="str">
        <f t="shared" si="157"/>
        <v>Track CS</v>
      </c>
      <c r="P1448" s="1" t="str">
        <f t="shared" si="158"/>
        <v>DT20</v>
      </c>
      <c r="Q1448" s="2" t="str">
        <f t="shared" si="159"/>
        <v>DT20Track CS</v>
      </c>
      <c r="R1448" s="2" t="str">
        <f>New_Xref[[#This Row],[Serial Prefix]]&amp;IF(New_Xref[[#This Row],[Func Loc]]&lt;&gt;"",New_Xref[[#This Row],[Func Loc]],"NO MATCH")</f>
        <v>DT20STRU .TRFC.TRAC</v>
      </c>
      <c r="S1448" s="3" t="str">
        <f t="shared" si="154"/>
        <v>DT20Track CS</v>
      </c>
      <c r="T1448" s="3" t="s">
        <v>1306</v>
      </c>
      <c r="U1448" s="3" t="s">
        <v>115</v>
      </c>
      <c r="V1448" t="str">
        <f t="shared" si="160"/>
        <v>4170RI</v>
      </c>
    </row>
    <row r="1449" spans="1:22">
      <c r="A1449" t="s">
        <v>5890</v>
      </c>
      <c r="B1449" t="s">
        <v>5905</v>
      </c>
      <c r="H1449" t="s">
        <v>5936</v>
      </c>
      <c r="I1449" t="s">
        <v>5941</v>
      </c>
      <c r="J1449" t="s">
        <v>5942</v>
      </c>
      <c r="K1449" t="s">
        <v>5943</v>
      </c>
      <c r="L1449" t="s">
        <v>5944</v>
      </c>
      <c r="M1449" s="1" t="str">
        <f t="shared" si="155"/>
        <v>21D08</v>
      </c>
      <c r="N1449" s="1" t="str">
        <f t="shared" si="156"/>
        <v>C/O</v>
      </c>
      <c r="O1449" s="1" t="str">
        <f t="shared" si="157"/>
        <v>Track NCS</v>
      </c>
      <c r="P1449" s="1" t="str">
        <f t="shared" si="158"/>
        <v>DT20</v>
      </c>
      <c r="Q1449" s="2" t="str">
        <f t="shared" si="159"/>
        <v>DT20Track NCS</v>
      </c>
      <c r="R1449" s="2" t="str">
        <f>New_Xref[[#This Row],[Serial Prefix]]&amp;IF(New_Xref[[#This Row],[Func Loc]]&lt;&gt;"",New_Xref[[#This Row],[Func Loc]],"NO MATCH")</f>
        <v>DT20STRU .TRFN.TRAC</v>
      </c>
      <c r="S1449" s="3" t="str">
        <f t="shared" si="154"/>
        <v>DT20Track NCS</v>
      </c>
      <c r="T1449" s="3" t="s">
        <v>1306</v>
      </c>
      <c r="U1449" s="3" t="s">
        <v>108</v>
      </c>
      <c r="V1449" t="str">
        <f t="shared" si="160"/>
        <v>4170LT</v>
      </c>
    </row>
    <row r="1450" spans="1:22">
      <c r="A1450" t="s">
        <v>5890</v>
      </c>
      <c r="B1450" t="s">
        <v>5911</v>
      </c>
      <c r="C1450" t="s">
        <v>5945</v>
      </c>
      <c r="D1450" t="s">
        <v>5946</v>
      </c>
      <c r="E1450" t="s">
        <v>5947</v>
      </c>
      <c r="F1450" t="s">
        <v>27</v>
      </c>
      <c r="G1450">
        <v>1</v>
      </c>
      <c r="H1450" t="s">
        <v>5948</v>
      </c>
      <c r="I1450" t="s">
        <v>5949</v>
      </c>
      <c r="J1450" t="s">
        <v>5950</v>
      </c>
      <c r="K1450" t="s">
        <v>5949</v>
      </c>
      <c r="L1450" t="s">
        <v>5768</v>
      </c>
      <c r="M1450" s="1" t="str">
        <f t="shared" si="155"/>
        <v>21H368</v>
      </c>
      <c r="N1450" s="1" t="str">
        <f t="shared" si="156"/>
        <v>C/O</v>
      </c>
      <c r="O1450" s="1" t="str">
        <f t="shared" si="157"/>
        <v>Travel Motor CS</v>
      </c>
      <c r="P1450" s="1" t="str">
        <f t="shared" si="158"/>
        <v>DT20</v>
      </c>
      <c r="Q1450" s="2" t="str">
        <f t="shared" si="159"/>
        <v>DT20Travel Motor CS</v>
      </c>
      <c r="R1450" s="2" t="str">
        <f>New_Xref[[#This Row],[Serial Prefix]]&amp;IF(New_Xref[[#This Row],[Func Loc]]&lt;&gt;"",New_Xref[[#This Row],[Func Loc]],"NO MATCH")</f>
        <v>DT20MYHD .MOTO.HM04</v>
      </c>
      <c r="S1450" s="3" t="str">
        <f t="shared" si="154"/>
        <v>DT20442-9740Travel Motor CS</v>
      </c>
      <c r="T1450" s="3" t="s">
        <v>964</v>
      </c>
      <c r="U1450" s="3" t="s">
        <v>115</v>
      </c>
      <c r="V1450" t="str">
        <f t="shared" si="160"/>
        <v>4351RI</v>
      </c>
    </row>
    <row r="1451" spans="1:22">
      <c r="A1451" t="s">
        <v>5890</v>
      </c>
      <c r="B1451" t="s">
        <v>5911</v>
      </c>
      <c r="C1451" t="s">
        <v>5945</v>
      </c>
      <c r="D1451" t="s">
        <v>5946</v>
      </c>
      <c r="E1451" t="s">
        <v>5947</v>
      </c>
      <c r="F1451" t="s">
        <v>27</v>
      </c>
      <c r="G1451">
        <v>1</v>
      </c>
      <c r="H1451" t="s">
        <v>5948</v>
      </c>
      <c r="I1451" t="s">
        <v>5951</v>
      </c>
      <c r="J1451" t="s">
        <v>5952</v>
      </c>
      <c r="K1451" t="s">
        <v>5951</v>
      </c>
      <c r="L1451" t="s">
        <v>5953</v>
      </c>
      <c r="M1451" s="1" t="str">
        <f t="shared" si="155"/>
        <v>21H368</v>
      </c>
      <c r="N1451" s="1" t="str">
        <f t="shared" si="156"/>
        <v>C/O</v>
      </c>
      <c r="O1451" s="1" t="str">
        <f t="shared" si="157"/>
        <v>Travel Motor NCS</v>
      </c>
      <c r="P1451" s="1" t="str">
        <f t="shared" si="158"/>
        <v>DT20</v>
      </c>
      <c r="Q1451" s="2" t="str">
        <f t="shared" si="159"/>
        <v>DT20Travel Motor NCS</v>
      </c>
      <c r="R1451" s="2" t="str">
        <f>New_Xref[[#This Row],[Serial Prefix]]&amp;IF(New_Xref[[#This Row],[Func Loc]]&lt;&gt;"",New_Xref[[#This Row],[Func Loc]],"NO MATCH")</f>
        <v>DT20MYHD .MOTO.HM05</v>
      </c>
      <c r="S1451" s="3" t="str">
        <f t="shared" si="154"/>
        <v>DT20442-9740Travel Motor NCS</v>
      </c>
      <c r="T1451" s="3" t="s">
        <v>964</v>
      </c>
      <c r="U1451" s="3" t="s">
        <v>108</v>
      </c>
      <c r="V1451" t="str">
        <f t="shared" si="160"/>
        <v>4351LT</v>
      </c>
    </row>
    <row r="1452" spans="1:22">
      <c r="A1452" t="s">
        <v>5890</v>
      </c>
      <c r="B1452" t="s">
        <v>5905</v>
      </c>
      <c r="H1452" t="s">
        <v>5954</v>
      </c>
      <c r="I1452" t="s">
        <v>5955</v>
      </c>
      <c r="J1452" t="s">
        <v>5956</v>
      </c>
      <c r="K1452" t="s">
        <v>5957</v>
      </c>
      <c r="L1452" t="s">
        <v>2453</v>
      </c>
      <c r="M1452" s="1" t="str">
        <f t="shared" si="155"/>
        <v>21D08</v>
      </c>
      <c r="N1452" s="1" t="str">
        <f t="shared" si="156"/>
        <v>C/O</v>
      </c>
      <c r="O1452" s="1" t="str">
        <f t="shared" si="157"/>
        <v>Travel/Feed Pump NCS</v>
      </c>
      <c r="P1452" s="1" t="str">
        <f t="shared" si="158"/>
        <v>DT20</v>
      </c>
      <c r="Q1452" s="2" t="str">
        <f t="shared" si="159"/>
        <v>DT20Travel/Feed Pump NCS</v>
      </c>
      <c r="R1452" s="2" t="str">
        <f>New_Xref[[#This Row],[Serial Prefix]]&amp;IF(New_Xref[[#This Row],[Func Loc]]&lt;&gt;"",New_Xref[[#This Row],[Func Loc]],"NO MATCH")</f>
        <v>DT20MYHD .PUMP.HP01</v>
      </c>
      <c r="S1452" s="3" t="str">
        <f t="shared" si="154"/>
        <v>DT20Travel/Feed Pump NCS</v>
      </c>
      <c r="T1452" s="3" t="s">
        <v>371</v>
      </c>
      <c r="U1452" s="3" t="s">
        <v>108</v>
      </c>
      <c r="V1452" t="str">
        <f t="shared" si="160"/>
        <v>5084LT</v>
      </c>
    </row>
    <row r="1453" spans="1:22">
      <c r="A1453" t="s">
        <v>5890</v>
      </c>
      <c r="B1453" t="s">
        <v>5905</v>
      </c>
      <c r="H1453" t="s">
        <v>5958</v>
      </c>
      <c r="I1453" t="s">
        <v>5959</v>
      </c>
      <c r="J1453" t="s">
        <v>5960</v>
      </c>
      <c r="K1453" t="s">
        <v>5961</v>
      </c>
      <c r="L1453" t="s">
        <v>2478</v>
      </c>
      <c r="M1453" s="1" t="str">
        <f t="shared" si="155"/>
        <v>21D08</v>
      </c>
      <c r="N1453" s="1" t="str">
        <f t="shared" si="156"/>
        <v>C/O</v>
      </c>
      <c r="O1453" s="1" t="str">
        <f t="shared" si="157"/>
        <v>Travel/Rotation Pump CS</v>
      </c>
      <c r="P1453" s="1" t="str">
        <f t="shared" si="158"/>
        <v>DT20</v>
      </c>
      <c r="Q1453" s="2" t="str">
        <f t="shared" si="159"/>
        <v>DT20Travel/Rotation Pump CS</v>
      </c>
      <c r="R1453" s="2" t="str">
        <f>New_Xref[[#This Row],[Serial Prefix]]&amp;IF(New_Xref[[#This Row],[Func Loc]]&lt;&gt;"",New_Xref[[#This Row],[Func Loc]],"NO MATCH")</f>
        <v>DT20MYHD .PUMP.HP02</v>
      </c>
      <c r="S1453" s="3" t="str">
        <f t="shared" si="154"/>
        <v>DT20Travel/Rotation Pump CS</v>
      </c>
      <c r="T1453" s="3" t="s">
        <v>371</v>
      </c>
      <c r="U1453" s="3" t="s">
        <v>115</v>
      </c>
      <c r="V1453" t="str">
        <f t="shared" si="160"/>
        <v>5084RI</v>
      </c>
    </row>
    <row r="1454" spans="1:22">
      <c r="A1454" t="s">
        <v>5890</v>
      </c>
      <c r="B1454" t="s">
        <v>5899</v>
      </c>
      <c r="C1454" t="s">
        <v>5791</v>
      </c>
      <c r="D1454" t="s">
        <v>5792</v>
      </c>
      <c r="E1454" t="s">
        <v>5793</v>
      </c>
      <c r="F1454" t="s">
        <v>27</v>
      </c>
      <c r="G1454">
        <v>4</v>
      </c>
      <c r="H1454" t="s">
        <v>5962</v>
      </c>
      <c r="I1454" t="s">
        <v>5963</v>
      </c>
      <c r="J1454" t="s">
        <v>5964</v>
      </c>
      <c r="K1454" t="s">
        <v>5965</v>
      </c>
      <c r="L1454" t="s">
        <v>5801</v>
      </c>
      <c r="M1454" s="1" t="str">
        <f t="shared" si="155"/>
        <v>21H219</v>
      </c>
      <c r="N1454" s="1" t="str">
        <f t="shared" si="156"/>
        <v>C/O</v>
      </c>
      <c r="O1454" s="1" t="str">
        <f t="shared" si="157"/>
        <v>Mast Travelling Sheaves</v>
      </c>
      <c r="P1454" s="1" t="str">
        <f t="shared" si="158"/>
        <v>DT20</v>
      </c>
      <c r="Q1454" s="2" t="str">
        <f t="shared" si="159"/>
        <v>DT20Mast Travelling Sheaves</v>
      </c>
      <c r="R1454" s="2" t="str">
        <f>New_Xref[[#This Row],[Serial Prefix]]&amp;IF(New_Xref[[#This Row],[Func Loc]]&lt;&gt;"",New_Xref[[#This Row],[Func Loc]],"NO MATCH")</f>
        <v>DT20MAST .SHVE.SHV2</v>
      </c>
      <c r="S1454" s="3" t="str">
        <f t="shared" si="154"/>
        <v>DT204506156Mast Travelling Sheaves</v>
      </c>
      <c r="T1454" s="3" t="s">
        <v>5797</v>
      </c>
      <c r="U1454" s="3" t="s">
        <v>34</v>
      </c>
      <c r="V1454" t="str">
        <f t="shared" si="160"/>
        <v>516B00</v>
      </c>
    </row>
    <row r="1455" spans="1:22">
      <c r="A1455" t="s">
        <v>5890</v>
      </c>
      <c r="B1455" t="s">
        <v>5905</v>
      </c>
      <c r="C1455" t="s">
        <v>5791</v>
      </c>
      <c r="D1455" t="s">
        <v>5792</v>
      </c>
      <c r="E1455" t="s">
        <v>5793</v>
      </c>
      <c r="F1455" t="s">
        <v>27</v>
      </c>
      <c r="G1455">
        <v>4</v>
      </c>
      <c r="H1455" t="s">
        <v>5962</v>
      </c>
      <c r="I1455" t="s">
        <v>5966</v>
      </c>
      <c r="J1455" t="s">
        <v>5967</v>
      </c>
      <c r="K1455" t="s">
        <v>5968</v>
      </c>
      <c r="L1455" t="s">
        <v>83</v>
      </c>
      <c r="M1455" s="1" t="str">
        <f t="shared" si="155"/>
        <v>21D08</v>
      </c>
      <c r="N1455" s="1" t="str">
        <f t="shared" si="156"/>
        <v>C/O</v>
      </c>
      <c r="O1455" s="1" t="str">
        <f t="shared" si="157"/>
        <v>Travelling Sheaves</v>
      </c>
      <c r="P1455" s="1" t="str">
        <f t="shared" si="158"/>
        <v>DT20</v>
      </c>
      <c r="Q1455" s="2" t="str">
        <f t="shared" si="159"/>
        <v>DT20Travelling Sheaves</v>
      </c>
      <c r="R1455" s="2" t="str">
        <f>New_Xref[[#This Row],[Serial Prefix]]&amp;IF(New_Xref[[#This Row],[Func Loc]]&lt;&gt;"",New_Xref[[#This Row],[Func Loc]],"NO MATCH")</f>
        <v>DT20NO MATCH</v>
      </c>
      <c r="S1455" s="3" t="str">
        <f t="shared" si="154"/>
        <v>DT204506156Travelling Sheaves</v>
      </c>
      <c r="T1455" s="3" t="s">
        <v>5797</v>
      </c>
      <c r="U1455" s="3" t="s">
        <v>34</v>
      </c>
      <c r="V1455" t="str">
        <f t="shared" si="160"/>
        <v>516B00</v>
      </c>
    </row>
    <row r="1456" spans="1:22">
      <c r="A1456" t="s">
        <v>5890</v>
      </c>
      <c r="B1456" t="s">
        <v>5905</v>
      </c>
      <c r="H1456" t="s">
        <v>5969</v>
      </c>
      <c r="I1456" t="s">
        <v>5970</v>
      </c>
      <c r="J1456" t="s">
        <v>5971</v>
      </c>
      <c r="K1456" t="s">
        <v>5972</v>
      </c>
      <c r="L1456" t="s">
        <v>5546</v>
      </c>
      <c r="M1456" s="1" t="str">
        <f t="shared" si="155"/>
        <v>21D08</v>
      </c>
      <c r="N1456" s="1" t="str">
        <f t="shared" si="156"/>
        <v>C/O</v>
      </c>
      <c r="O1456" s="1" t="str">
        <f t="shared" si="157"/>
        <v>Air Compressor</v>
      </c>
      <c r="P1456" s="1" t="str">
        <f t="shared" si="158"/>
        <v>DT20</v>
      </c>
      <c r="Q1456" s="2" t="str">
        <f t="shared" si="159"/>
        <v>DT20Air Compressor</v>
      </c>
      <c r="R1456" s="2" t="str">
        <f>New_Xref[[#This Row],[Serial Prefix]]&amp;IF(New_Xref[[#This Row],[Func Loc]]&lt;&gt;"",New_Xref[[#This Row],[Func Loc]],"NO MATCH")</f>
        <v>DT20AIRS .AICO.AICO</v>
      </c>
      <c r="S1456" s="3" t="str">
        <f t="shared" si="154"/>
        <v>DT20Air Compressor</v>
      </c>
      <c r="T1456" s="3" t="s">
        <v>5547</v>
      </c>
      <c r="U1456" s="3" t="s">
        <v>34</v>
      </c>
      <c r="V1456" t="str">
        <f t="shared" si="160"/>
        <v>79N100</v>
      </c>
    </row>
    <row r="1457" spans="1:22">
      <c r="A1457" t="s">
        <v>5890</v>
      </c>
      <c r="B1457" t="s">
        <v>5899</v>
      </c>
      <c r="C1457" t="s">
        <v>5826</v>
      </c>
      <c r="D1457" t="s">
        <v>5827</v>
      </c>
      <c r="E1457" t="s">
        <v>5828</v>
      </c>
      <c r="F1457" t="s">
        <v>27</v>
      </c>
      <c r="G1457">
        <v>1</v>
      </c>
      <c r="H1457" t="s">
        <v>5973</v>
      </c>
      <c r="I1457" t="s">
        <v>5974</v>
      </c>
      <c r="J1457" t="s">
        <v>5975</v>
      </c>
      <c r="K1457" t="s">
        <v>5974</v>
      </c>
      <c r="L1457" t="s">
        <v>83</v>
      </c>
      <c r="M1457" s="1" t="str">
        <f t="shared" si="155"/>
        <v>21H219</v>
      </c>
      <c r="N1457" s="1" t="str">
        <f t="shared" si="156"/>
        <v>C/O</v>
      </c>
      <c r="O1457" s="1" t="str">
        <f t="shared" si="157"/>
        <v>Jack Cyl CS NDE</v>
      </c>
      <c r="P1457" s="1" t="str">
        <f t="shared" si="158"/>
        <v>DT20</v>
      </c>
      <c r="Q1457" s="2" t="str">
        <f t="shared" si="159"/>
        <v>DT20Jack Cyl CS NDE</v>
      </c>
      <c r="R1457" s="2" t="str">
        <f>New_Xref[[#This Row],[Serial Prefix]]&amp;IF(New_Xref[[#This Row],[Func Loc]]&lt;&gt;"",New_Xref[[#This Row],[Func Loc]],"NO MATCH")</f>
        <v>DT20NO MATCH</v>
      </c>
      <c r="S1457" s="3" t="str">
        <f t="shared" si="154"/>
        <v>DT2011R1468Jack Cyl CS NDE</v>
      </c>
      <c r="T1457" s="3" t="s">
        <v>5554</v>
      </c>
      <c r="U1457" s="3" t="s">
        <v>92</v>
      </c>
      <c r="V1457" t="str">
        <f t="shared" si="160"/>
        <v>79NMRF</v>
      </c>
    </row>
    <row r="1458" spans="1:22">
      <c r="A1458" t="s">
        <v>5890</v>
      </c>
      <c r="B1458" t="s">
        <v>5905</v>
      </c>
      <c r="C1458" t="s">
        <v>5548</v>
      </c>
      <c r="D1458" t="s">
        <v>5549</v>
      </c>
      <c r="E1458" t="s">
        <v>5550</v>
      </c>
      <c r="F1458" t="s">
        <v>27</v>
      </c>
      <c r="G1458">
        <v>1</v>
      </c>
      <c r="H1458" t="s">
        <v>5976</v>
      </c>
      <c r="I1458" t="s">
        <v>5977</v>
      </c>
      <c r="J1458" t="s">
        <v>5978</v>
      </c>
      <c r="K1458" t="s">
        <v>5977</v>
      </c>
      <c r="L1458" t="s">
        <v>83</v>
      </c>
      <c r="M1458" s="1" t="str">
        <f t="shared" si="155"/>
        <v>21D08</v>
      </c>
      <c r="N1458" s="1" t="str">
        <f t="shared" si="156"/>
        <v>C/O</v>
      </c>
      <c r="O1458" s="1" t="str">
        <f t="shared" si="157"/>
        <v>Jack Cyl CS DE</v>
      </c>
      <c r="P1458" s="1" t="str">
        <f t="shared" si="158"/>
        <v>DT20</v>
      </c>
      <c r="Q1458" s="2" t="str">
        <f t="shared" si="159"/>
        <v>DT20Jack Cyl CS DE</v>
      </c>
      <c r="R1458" s="2" t="str">
        <f>New_Xref[[#This Row],[Serial Prefix]]&amp;IF(New_Xref[[#This Row],[Func Loc]]&lt;&gt;"",New_Xref[[#This Row],[Func Loc]],"NO MATCH")</f>
        <v>DT20NO MATCH</v>
      </c>
      <c r="S1458" s="3" t="str">
        <f t="shared" si="154"/>
        <v>DT2011R1466Jack Cyl CS DE</v>
      </c>
      <c r="T1458" s="3" t="s">
        <v>5554</v>
      </c>
      <c r="U1458" s="3" t="s">
        <v>99</v>
      </c>
      <c r="V1458" t="str">
        <f t="shared" si="160"/>
        <v>79NMRR</v>
      </c>
    </row>
    <row r="1459" spans="1:22">
      <c r="A1459" t="s">
        <v>5890</v>
      </c>
      <c r="B1459" t="s">
        <v>5905</v>
      </c>
      <c r="C1459" t="s">
        <v>5548</v>
      </c>
      <c r="D1459" t="s">
        <v>5549</v>
      </c>
      <c r="E1459" t="s">
        <v>5550</v>
      </c>
      <c r="F1459" t="s">
        <v>27</v>
      </c>
      <c r="G1459">
        <v>1</v>
      </c>
      <c r="H1459" t="s">
        <v>5976</v>
      </c>
      <c r="I1459" t="s">
        <v>5979</v>
      </c>
      <c r="J1459" t="s">
        <v>5980</v>
      </c>
      <c r="K1459" t="s">
        <v>5979</v>
      </c>
      <c r="L1459" t="s">
        <v>83</v>
      </c>
      <c r="M1459" s="1" t="str">
        <f t="shared" si="155"/>
        <v>21D08</v>
      </c>
      <c r="N1459" s="1" t="str">
        <f t="shared" si="156"/>
        <v>C/O</v>
      </c>
      <c r="O1459" s="1" t="str">
        <f t="shared" si="157"/>
        <v>Jack Cyl NCS DE</v>
      </c>
      <c r="P1459" s="1" t="str">
        <f t="shared" si="158"/>
        <v>DT20</v>
      </c>
      <c r="Q1459" s="2" t="str">
        <f t="shared" si="159"/>
        <v>DT20Jack Cyl NCS DE</v>
      </c>
      <c r="R1459" s="2" t="str">
        <f>New_Xref[[#This Row],[Serial Prefix]]&amp;IF(New_Xref[[#This Row],[Func Loc]]&lt;&gt;"",New_Xref[[#This Row],[Func Loc]],"NO MATCH")</f>
        <v>DT20NO MATCH</v>
      </c>
      <c r="S1459" s="3" t="str">
        <f t="shared" si="154"/>
        <v>DT2011R1466Jack Cyl NCS DE</v>
      </c>
      <c r="T1459" s="3" t="s">
        <v>5554</v>
      </c>
      <c r="U1459" s="3" t="s">
        <v>96</v>
      </c>
      <c r="V1459" t="str">
        <f t="shared" si="160"/>
        <v>79NMLR</v>
      </c>
    </row>
    <row r="1460" spans="1:22">
      <c r="A1460" t="s">
        <v>5890</v>
      </c>
      <c r="B1460" t="s">
        <v>5905</v>
      </c>
      <c r="C1460" t="s">
        <v>5548</v>
      </c>
      <c r="D1460" t="s">
        <v>5549</v>
      </c>
      <c r="E1460" t="s">
        <v>5550</v>
      </c>
      <c r="F1460" t="s">
        <v>27</v>
      </c>
      <c r="G1460">
        <v>1</v>
      </c>
      <c r="H1460" t="s">
        <v>5976</v>
      </c>
      <c r="I1460" t="s">
        <v>5977</v>
      </c>
      <c r="J1460" t="s">
        <v>5978</v>
      </c>
      <c r="K1460" t="s">
        <v>5981</v>
      </c>
      <c r="L1460" t="s">
        <v>83</v>
      </c>
      <c r="M1460" s="1" t="str">
        <f t="shared" si="155"/>
        <v>21D08</v>
      </c>
      <c r="N1460" s="1" t="str">
        <f t="shared" si="156"/>
        <v>C/O</v>
      </c>
      <c r="O1460" s="1" t="str">
        <f t="shared" si="157"/>
        <v>Jack Leg Cylinder DE CS</v>
      </c>
      <c r="P1460" s="1" t="str">
        <f t="shared" si="158"/>
        <v>DT20</v>
      </c>
      <c r="Q1460" s="2" t="str">
        <f t="shared" si="159"/>
        <v>DT20Jack Leg Cylinder DE CS</v>
      </c>
      <c r="R1460" s="2" t="str">
        <f>New_Xref[[#This Row],[Serial Prefix]]&amp;IF(New_Xref[[#This Row],[Func Loc]]&lt;&gt;"",New_Xref[[#This Row],[Func Loc]],"NO MATCH")</f>
        <v>DT20NO MATCH</v>
      </c>
      <c r="S1460" s="3" t="str">
        <f t="shared" si="154"/>
        <v>DT2011R1466Jack Leg Cylinder DE CS</v>
      </c>
      <c r="T1460" s="3" t="s">
        <v>5554</v>
      </c>
      <c r="U1460" s="3" t="s">
        <v>99</v>
      </c>
      <c r="V1460" t="str">
        <f t="shared" si="160"/>
        <v>79NMRR</v>
      </c>
    </row>
    <row r="1461" spans="1:22">
      <c r="A1461" t="s">
        <v>5890</v>
      </c>
      <c r="B1461" t="s">
        <v>5891</v>
      </c>
      <c r="C1461" t="s">
        <v>5826</v>
      </c>
      <c r="D1461" t="s">
        <v>5827</v>
      </c>
      <c r="E1461" t="s">
        <v>5828</v>
      </c>
      <c r="F1461" t="s">
        <v>27</v>
      </c>
      <c r="G1461">
        <v>1</v>
      </c>
      <c r="H1461" t="s">
        <v>5973</v>
      </c>
      <c r="I1461" t="s">
        <v>5982</v>
      </c>
      <c r="J1461" t="s">
        <v>5983</v>
      </c>
      <c r="K1461" t="s">
        <v>5982</v>
      </c>
      <c r="L1461" t="s">
        <v>83</v>
      </c>
      <c r="M1461" s="1" t="str">
        <f t="shared" si="155"/>
        <v>21R235</v>
      </c>
      <c r="N1461" s="1" t="str">
        <f t="shared" si="156"/>
        <v>C/O</v>
      </c>
      <c r="O1461" s="1" t="str">
        <f t="shared" si="157"/>
        <v>Jack Cyl NCS NDE</v>
      </c>
      <c r="P1461" s="1" t="str">
        <f t="shared" si="158"/>
        <v>DT20</v>
      </c>
      <c r="Q1461" s="2" t="str">
        <f t="shared" si="159"/>
        <v>DT20Jack Cyl NCS NDE</v>
      </c>
      <c r="R1461" s="2" t="str">
        <f>New_Xref[[#This Row],[Serial Prefix]]&amp;IF(New_Xref[[#This Row],[Func Loc]]&lt;&gt;"",New_Xref[[#This Row],[Func Loc]],"NO MATCH")</f>
        <v>DT20NO MATCH</v>
      </c>
      <c r="S1461" s="3" t="str">
        <f t="shared" si="154"/>
        <v>DT2011R1468Jack Cyl NCS NDE</v>
      </c>
      <c r="T1461" s="3" t="s">
        <v>5554</v>
      </c>
      <c r="U1461" s="3" t="s">
        <v>89</v>
      </c>
      <c r="V1461" t="str">
        <f t="shared" si="160"/>
        <v>79NMLF</v>
      </c>
    </row>
    <row r="1462" spans="1:22">
      <c r="A1462" t="s">
        <v>5890</v>
      </c>
      <c r="B1462" t="s">
        <v>5905</v>
      </c>
      <c r="H1462" t="s">
        <v>5984</v>
      </c>
      <c r="I1462" t="s">
        <v>5985</v>
      </c>
      <c r="J1462" t="s">
        <v>5986</v>
      </c>
      <c r="K1462" t="s">
        <v>5985</v>
      </c>
      <c r="L1462" t="s">
        <v>5594</v>
      </c>
      <c r="M1462" s="1" t="str">
        <f t="shared" si="155"/>
        <v>21D08</v>
      </c>
      <c r="N1462" s="1" t="str">
        <f t="shared" si="156"/>
        <v>C/O</v>
      </c>
      <c r="O1462" s="1" t="str">
        <f t="shared" si="157"/>
        <v>Mast Raise Cylinder CS</v>
      </c>
      <c r="P1462" s="1" t="str">
        <f t="shared" si="158"/>
        <v>DT20</v>
      </c>
      <c r="Q1462" s="2" t="str">
        <f t="shared" si="159"/>
        <v>DT20Mast Raise Cylinder CS</v>
      </c>
      <c r="R1462" s="2" t="str">
        <f>New_Xref[[#This Row],[Serial Prefix]]&amp;IF(New_Xref[[#This Row],[Func Loc]]&lt;&gt;"",New_Xref[[#This Row],[Func Loc]],"NO MATCH")</f>
        <v>DT20MYHD .CYLI.MARC</v>
      </c>
      <c r="S1462" s="3" t="str">
        <f t="shared" si="154"/>
        <v>DT20Mast Raise Cylinder CS</v>
      </c>
      <c r="T1462" s="3" t="s">
        <v>5587</v>
      </c>
      <c r="U1462" s="3" t="s">
        <v>115</v>
      </c>
      <c r="V1462" t="str">
        <f t="shared" si="160"/>
        <v>79NURI</v>
      </c>
    </row>
    <row r="1463" spans="1:22">
      <c r="A1463" t="s">
        <v>5890</v>
      </c>
      <c r="B1463" t="s">
        <v>5905</v>
      </c>
      <c r="H1463" t="s">
        <v>5984</v>
      </c>
      <c r="I1463" t="s">
        <v>5987</v>
      </c>
      <c r="J1463" t="s">
        <v>5988</v>
      </c>
      <c r="K1463" t="s">
        <v>5987</v>
      </c>
      <c r="L1463" t="s">
        <v>5598</v>
      </c>
      <c r="M1463" s="1" t="str">
        <f t="shared" si="155"/>
        <v>21D08</v>
      </c>
      <c r="N1463" s="1" t="str">
        <f t="shared" si="156"/>
        <v>C/O</v>
      </c>
      <c r="O1463" s="1" t="str">
        <f t="shared" si="157"/>
        <v>Mast Raise Cylinder NCS</v>
      </c>
      <c r="P1463" s="1" t="str">
        <f t="shared" si="158"/>
        <v>DT20</v>
      </c>
      <c r="Q1463" s="2" t="str">
        <f t="shared" si="159"/>
        <v>DT20Mast Raise Cylinder NCS</v>
      </c>
      <c r="R1463" s="2" t="str">
        <f>New_Xref[[#This Row],[Serial Prefix]]&amp;IF(New_Xref[[#This Row],[Func Loc]]&lt;&gt;"",New_Xref[[#This Row],[Func Loc]],"NO MATCH")</f>
        <v>DT20MYHD .CYLI.MARN</v>
      </c>
      <c r="S1463" s="3" t="str">
        <f t="shared" si="154"/>
        <v>DT20Mast Raise Cylinder NCS</v>
      </c>
      <c r="T1463" s="3" t="s">
        <v>5587</v>
      </c>
      <c r="U1463" s="3" t="s">
        <v>108</v>
      </c>
      <c r="V1463" t="str">
        <f t="shared" si="160"/>
        <v>79NULT</v>
      </c>
    </row>
    <row r="1464" spans="1:22">
      <c r="A1464" t="s">
        <v>5890</v>
      </c>
      <c r="B1464" t="s">
        <v>5905</v>
      </c>
      <c r="C1464" t="s">
        <v>5989</v>
      </c>
      <c r="D1464" t="s">
        <v>5990</v>
      </c>
      <c r="E1464" t="s">
        <v>5991</v>
      </c>
      <c r="F1464" t="s">
        <v>27</v>
      </c>
      <c r="G1464">
        <v>1</v>
      </c>
      <c r="H1464" t="s">
        <v>5992</v>
      </c>
      <c r="I1464" t="s">
        <v>5993</v>
      </c>
      <c r="J1464" t="s">
        <v>5994</v>
      </c>
      <c r="K1464" t="s">
        <v>5993</v>
      </c>
      <c r="L1464" t="s">
        <v>5605</v>
      </c>
      <c r="M1464" s="1" t="str">
        <f t="shared" si="155"/>
        <v>21D08</v>
      </c>
      <c r="N1464" s="1" t="str">
        <f t="shared" si="156"/>
        <v>C/O</v>
      </c>
      <c r="O1464" s="1" t="str">
        <f t="shared" si="157"/>
        <v>Hoist/Pulldown Cylinder</v>
      </c>
      <c r="P1464" s="1" t="str">
        <f t="shared" si="158"/>
        <v>DT20</v>
      </c>
      <c r="Q1464" s="2" t="str">
        <f t="shared" si="159"/>
        <v>DT20Hoist/Pulldown Cylinder</v>
      </c>
      <c r="R1464" s="2" t="str">
        <f>New_Xref[[#This Row],[Serial Prefix]]&amp;IF(New_Xref[[#This Row],[Func Loc]]&lt;&gt;"",New_Xref[[#This Row],[Func Loc]],"NO MATCH")</f>
        <v>DT20MYHD .CYLI.HOPU</v>
      </c>
      <c r="S1464" s="3" t="str">
        <f t="shared" si="154"/>
        <v>DT201060256XHoist/Pulldown Cylinder</v>
      </c>
      <c r="T1464" s="3" t="s">
        <v>5606</v>
      </c>
      <c r="U1464" s="3" t="s">
        <v>34</v>
      </c>
      <c r="V1464" t="str">
        <f t="shared" si="160"/>
        <v>79NZ00</v>
      </c>
    </row>
    <row r="1465" spans="1:22">
      <c r="A1465" t="s">
        <v>5890</v>
      </c>
      <c r="B1465" t="s">
        <v>5891</v>
      </c>
      <c r="C1465" t="s">
        <v>5989</v>
      </c>
      <c r="D1465" t="s">
        <v>5990</v>
      </c>
      <c r="E1465" t="s">
        <v>5995</v>
      </c>
      <c r="F1465" t="s">
        <v>27</v>
      </c>
      <c r="G1465">
        <v>1</v>
      </c>
      <c r="H1465" t="s">
        <v>5996</v>
      </c>
      <c r="I1465" t="s">
        <v>5997</v>
      </c>
      <c r="J1465" t="s">
        <v>5998</v>
      </c>
      <c r="K1465" t="s">
        <v>5999</v>
      </c>
      <c r="L1465" t="s">
        <v>5605</v>
      </c>
      <c r="M1465" s="1" t="str">
        <f t="shared" si="155"/>
        <v>21R235</v>
      </c>
      <c r="N1465" s="1" t="str">
        <f t="shared" si="156"/>
        <v>C/O</v>
      </c>
      <c r="O1465" s="1" t="str">
        <f t="shared" si="157"/>
        <v>Hoist/Pulldown Cylinder</v>
      </c>
      <c r="P1465" s="1" t="str">
        <f t="shared" si="158"/>
        <v>DT20</v>
      </c>
      <c r="Q1465" s="2" t="str">
        <f t="shared" si="159"/>
        <v>DT20Hoist/Pulldown Cylinder</v>
      </c>
      <c r="R1465" s="2" t="str">
        <f>New_Xref[[#This Row],[Serial Prefix]]&amp;IF(New_Xref[[#This Row],[Func Loc]]&lt;&gt;"",New_Xref[[#This Row],[Func Loc]],"NO MATCH")</f>
        <v>DT20MYHD .CYLI.HOPU</v>
      </c>
      <c r="S1465" s="3" t="str">
        <f t="shared" si="154"/>
        <v>DT201060256XHoist/Pulldown Cylinder</v>
      </c>
      <c r="T1465" t="s">
        <v>5606</v>
      </c>
      <c r="U1465" t="s">
        <v>108</v>
      </c>
      <c r="V1465" t="str">
        <f t="shared" si="160"/>
        <v>79NZLT</v>
      </c>
    </row>
    <row r="1466" spans="1:22">
      <c r="A1466" t="s">
        <v>5890</v>
      </c>
      <c r="B1466" t="s">
        <v>5905</v>
      </c>
      <c r="C1466" t="s">
        <v>6000</v>
      </c>
      <c r="D1466" t="s">
        <v>6001</v>
      </c>
      <c r="E1466" t="s">
        <v>6002</v>
      </c>
      <c r="F1466" t="s">
        <v>27</v>
      </c>
      <c r="G1466">
        <v>2</v>
      </c>
      <c r="H1466" t="s">
        <v>6003</v>
      </c>
      <c r="I1466" t="s">
        <v>5966</v>
      </c>
      <c r="J1466" t="s">
        <v>6004</v>
      </c>
      <c r="K1466" t="s">
        <v>6005</v>
      </c>
      <c r="L1466" t="s">
        <v>83</v>
      </c>
      <c r="M1466" s="1" t="str">
        <f t="shared" si="155"/>
        <v>21D08</v>
      </c>
      <c r="N1466" s="1" t="str">
        <f t="shared" si="156"/>
        <v>C/O</v>
      </c>
      <c r="O1466" s="1" t="str">
        <f t="shared" si="157"/>
        <v>Pulldown Cables</v>
      </c>
      <c r="P1466" s="1" t="str">
        <f t="shared" si="158"/>
        <v>DT20</v>
      </c>
      <c r="Q1466" s="2" t="str">
        <f t="shared" si="159"/>
        <v>DT20Pulldown Cables</v>
      </c>
      <c r="R1466" s="2" t="str">
        <f>New_Xref[[#This Row],[Serial Prefix]]&amp;IF(New_Xref[[#This Row],[Func Loc]]&lt;&gt;"",New_Xref[[#This Row],[Func Loc]],"NO MATCH")</f>
        <v>DT20NO MATCH</v>
      </c>
      <c r="S1466" s="3" t="str">
        <f t="shared" si="154"/>
        <v>DT204540993Pulldown Cables</v>
      </c>
      <c r="T1466" s="3" t="s">
        <v>5625</v>
      </c>
      <c r="U1466" s="3" t="s">
        <v>108</v>
      </c>
      <c r="V1466" t="str">
        <f t="shared" si="160"/>
        <v>89AFLT</v>
      </c>
    </row>
    <row r="1467" spans="1:22">
      <c r="A1467" t="s">
        <v>5890</v>
      </c>
      <c r="B1467" t="s">
        <v>5905</v>
      </c>
      <c r="H1467" t="s">
        <v>6003</v>
      </c>
      <c r="I1467" t="s">
        <v>6006</v>
      </c>
      <c r="J1467" t="s">
        <v>6004</v>
      </c>
      <c r="K1467" t="s">
        <v>6007</v>
      </c>
      <c r="L1467" t="s">
        <v>5631</v>
      </c>
      <c r="M1467" s="1" t="str">
        <f t="shared" si="155"/>
        <v>21D08</v>
      </c>
      <c r="N1467" s="1" t="str">
        <f t="shared" si="156"/>
        <v>C/O</v>
      </c>
      <c r="O1467" s="1" t="str">
        <f t="shared" si="157"/>
        <v>Mast Pulldown Cables</v>
      </c>
      <c r="P1467" s="1" t="str">
        <f t="shared" si="158"/>
        <v>DT20</v>
      </c>
      <c r="Q1467" s="2" t="str">
        <f t="shared" si="159"/>
        <v>DT20Mast Pulldown Cables</v>
      </c>
      <c r="R1467" s="2" t="str">
        <f>New_Xref[[#This Row],[Serial Prefix]]&amp;IF(New_Xref[[#This Row],[Func Loc]]&lt;&gt;"",New_Xref[[#This Row],[Func Loc]],"NO MATCH")</f>
        <v>DT20MAST .CABL.CAB2</v>
      </c>
      <c r="S1467" s="3" t="str">
        <f t="shared" si="154"/>
        <v>DT20Mast Pulldown Cables</v>
      </c>
      <c r="T1467" s="3" t="s">
        <v>5625</v>
      </c>
      <c r="U1467" s="3" t="s">
        <v>108</v>
      </c>
      <c r="V1467" t="str">
        <f t="shared" si="160"/>
        <v>89AFLT</v>
      </c>
    </row>
    <row r="1468" spans="1:22">
      <c r="A1468" t="s">
        <v>5890</v>
      </c>
      <c r="B1468" t="s">
        <v>5899</v>
      </c>
      <c r="C1468" t="s">
        <v>6008</v>
      </c>
      <c r="D1468" t="s">
        <v>6009</v>
      </c>
      <c r="E1468" t="s">
        <v>6010</v>
      </c>
      <c r="F1468" t="s">
        <v>27</v>
      </c>
      <c r="G1468">
        <v>2</v>
      </c>
      <c r="H1468" t="s">
        <v>6011</v>
      </c>
      <c r="I1468" t="s">
        <v>6012</v>
      </c>
      <c r="J1468" t="s">
        <v>6013</v>
      </c>
      <c r="K1468" t="s">
        <v>6012</v>
      </c>
      <c r="L1468" t="s">
        <v>83</v>
      </c>
      <c r="M1468" s="1" t="str">
        <f t="shared" si="155"/>
        <v>21H219</v>
      </c>
      <c r="N1468" s="1" t="str">
        <f t="shared" si="156"/>
        <v>C/O</v>
      </c>
      <c r="O1468" s="1" t="str">
        <f t="shared" si="157"/>
        <v>Hoist Cables</v>
      </c>
      <c r="P1468" s="1" t="str">
        <f t="shared" si="158"/>
        <v>DT20</v>
      </c>
      <c r="Q1468" s="2" t="str">
        <f t="shared" si="159"/>
        <v>DT20Hoist Cables</v>
      </c>
      <c r="R1468" s="2" t="str">
        <f>New_Xref[[#This Row],[Serial Prefix]]&amp;IF(New_Xref[[#This Row],[Func Loc]]&lt;&gt;"",New_Xref[[#This Row],[Func Loc]],"NO MATCH")</f>
        <v>DT20NO MATCH</v>
      </c>
      <c r="S1468" s="3" t="str">
        <f t="shared" si="154"/>
        <v>DT204506524Hoist Cables</v>
      </c>
      <c r="T1468" s="3" t="s">
        <v>5637</v>
      </c>
      <c r="U1468" s="3" t="s">
        <v>108</v>
      </c>
      <c r="V1468" t="str">
        <f t="shared" si="160"/>
        <v>89AGLT</v>
      </c>
    </row>
    <row r="1469" spans="1:22">
      <c r="A1469" t="s">
        <v>5890</v>
      </c>
      <c r="B1469" t="s">
        <v>5905</v>
      </c>
      <c r="H1469" t="s">
        <v>6011</v>
      </c>
      <c r="I1469" t="s">
        <v>5966</v>
      </c>
      <c r="J1469" t="s">
        <v>6014</v>
      </c>
      <c r="K1469" t="s">
        <v>6015</v>
      </c>
      <c r="L1469" t="s">
        <v>5636</v>
      </c>
      <c r="M1469" s="1" t="str">
        <f t="shared" si="155"/>
        <v>21D08</v>
      </c>
      <c r="N1469" s="1" t="str">
        <f t="shared" si="156"/>
        <v>C/O</v>
      </c>
      <c r="O1469" s="1" t="str">
        <f t="shared" si="157"/>
        <v>Mast Hoist Cables</v>
      </c>
      <c r="P1469" s="1" t="str">
        <f t="shared" si="158"/>
        <v>DT20</v>
      </c>
      <c r="Q1469" s="2" t="str">
        <f t="shared" si="159"/>
        <v>DT20Mast Hoist Cables</v>
      </c>
      <c r="R1469" s="2" t="str">
        <f>New_Xref[[#This Row],[Serial Prefix]]&amp;IF(New_Xref[[#This Row],[Func Loc]]&lt;&gt;"",New_Xref[[#This Row],[Func Loc]],"NO MATCH")</f>
        <v>DT20MAST .CABL.CAB1</v>
      </c>
      <c r="S1469" s="3" t="str">
        <f t="shared" si="154"/>
        <v>DT20Mast Hoist Cables</v>
      </c>
      <c r="T1469" s="3" t="s">
        <v>5637</v>
      </c>
      <c r="U1469" s="3" t="s">
        <v>108</v>
      </c>
      <c r="V1469" t="str">
        <f t="shared" si="160"/>
        <v>89AGLT</v>
      </c>
    </row>
    <row r="1470" spans="1:22">
      <c r="A1470" t="s">
        <v>3333</v>
      </c>
      <c r="B1470" t="s">
        <v>3334</v>
      </c>
      <c r="C1470" t="s">
        <v>6016</v>
      </c>
      <c r="D1470" t="s">
        <v>6017</v>
      </c>
      <c r="E1470" t="s">
        <v>6018</v>
      </c>
      <c r="F1470" t="s">
        <v>27</v>
      </c>
      <c r="G1470">
        <v>1</v>
      </c>
      <c r="H1470" t="s">
        <v>6019</v>
      </c>
      <c r="I1470" t="s">
        <v>6020</v>
      </c>
      <c r="J1470" t="s">
        <v>3488</v>
      </c>
      <c r="K1470" t="s">
        <v>6021</v>
      </c>
      <c r="L1470" t="s">
        <v>83</v>
      </c>
      <c r="M1470" s="1" t="str">
        <f t="shared" si="155"/>
        <v>06B352</v>
      </c>
      <c r="N1470" s="1" t="str">
        <f t="shared" si="156"/>
        <v>C/O</v>
      </c>
      <c r="O1470" s="1" t="str">
        <f t="shared" si="157"/>
        <v>Corner Group RHF</v>
      </c>
      <c r="P1470" s="1" t="str">
        <f t="shared" si="158"/>
        <v>RBT0</v>
      </c>
      <c r="Q1470" s="2" t="str">
        <f t="shared" si="159"/>
        <v>RBT0Corner Group RHF</v>
      </c>
      <c r="R1470" s="2" t="str">
        <f>New_Xref[[#This Row],[Serial Prefix]]&amp;IF(New_Xref[[#This Row],[Func Loc]]&lt;&gt;"",New_Xref[[#This Row],[Func Loc]],"NO MATCH")</f>
        <v>RBT0NO MATCH</v>
      </c>
      <c r="S1470" s="3" t="str">
        <f t="shared" si="154"/>
        <v>RBT03377950XFSR-SHORTCorner Group RHF</v>
      </c>
      <c r="T1470" t="s">
        <v>2441</v>
      </c>
      <c r="U1470" t="s">
        <v>92</v>
      </c>
      <c r="V1470" t="str">
        <f t="shared" si="160"/>
        <v>4016RF</v>
      </c>
    </row>
    <row r="1471" spans="1:22">
      <c r="A1471" t="s">
        <v>5197</v>
      </c>
      <c r="B1471" t="s">
        <v>5198</v>
      </c>
      <c r="C1471" s="4" t="s">
        <v>6022</v>
      </c>
      <c r="D1471" t="s">
        <v>6023</v>
      </c>
      <c r="E1471" t="s">
        <v>6024</v>
      </c>
      <c r="F1471" t="s">
        <v>27</v>
      </c>
      <c r="G1471">
        <v>1</v>
      </c>
      <c r="H1471" t="s">
        <v>5202</v>
      </c>
      <c r="I1471" t="s">
        <v>5203</v>
      </c>
      <c r="J1471" t="s">
        <v>5204</v>
      </c>
      <c r="K1471" t="s">
        <v>5205</v>
      </c>
      <c r="L1471" t="s">
        <v>32</v>
      </c>
      <c r="M1471" s="1" t="str">
        <f t="shared" si="155"/>
        <v>08H119</v>
      </c>
      <c r="N1471" s="1" t="str">
        <f t="shared" si="156"/>
        <v>C/O</v>
      </c>
      <c r="O1471" s="1" t="str">
        <f t="shared" si="157"/>
        <v>Engine</v>
      </c>
      <c r="P1471" s="1" t="str">
        <f t="shared" si="158"/>
        <v>AMA0</v>
      </c>
      <c r="Q1471" s="2" t="str">
        <f t="shared" si="159"/>
        <v>AMA0Engine</v>
      </c>
      <c r="R1471" s="2" t="str">
        <f>New_Xref[[#This Row],[Serial Prefix]]&amp;IF(New_Xref[[#This Row],[Func Loc]]&lt;&gt;"",New_Xref[[#This Row],[Func Loc]],"NO MATCH")</f>
        <v>AMA0ENGD</v>
      </c>
      <c r="S1471" s="3" t="str">
        <f t="shared" si="154"/>
        <v>AMA020R2507Engine</v>
      </c>
      <c r="T1471" s="3" t="s">
        <v>33</v>
      </c>
      <c r="U1471" s="3" t="s">
        <v>34</v>
      </c>
      <c r="V1471" t="str">
        <f t="shared" si="160"/>
        <v>100000</v>
      </c>
    </row>
    <row r="1472" spans="1:22">
      <c r="A1472" t="s">
        <v>5197</v>
      </c>
      <c r="B1472" t="s">
        <v>5230</v>
      </c>
      <c r="C1472" t="s">
        <v>5020</v>
      </c>
      <c r="D1472" t="s">
        <v>5021</v>
      </c>
      <c r="E1472" t="s">
        <v>6025</v>
      </c>
      <c r="F1472" t="s">
        <v>27</v>
      </c>
      <c r="G1472">
        <v>1</v>
      </c>
      <c r="H1472" t="s">
        <v>6026</v>
      </c>
      <c r="I1472" t="s">
        <v>6027</v>
      </c>
      <c r="J1472" t="s">
        <v>5350</v>
      </c>
      <c r="K1472" t="s">
        <v>5349</v>
      </c>
      <c r="L1472" t="s">
        <v>4615</v>
      </c>
      <c r="M1472" s="1" t="str">
        <f t="shared" si="155"/>
        <v>08D06</v>
      </c>
      <c r="N1472" s="1" t="str">
        <f t="shared" si="156"/>
        <v>C/O</v>
      </c>
      <c r="O1472" s="1" t="str">
        <f t="shared" si="157"/>
        <v>Steering Clutch &amp; Brake LH</v>
      </c>
      <c r="P1472" s="1" t="str">
        <f t="shared" si="158"/>
        <v>AMA0</v>
      </c>
      <c r="Q1472" s="2" t="str">
        <f t="shared" si="159"/>
        <v>AMA0Steering Clutch &amp; Brake LH</v>
      </c>
      <c r="R1472" s="2" t="str">
        <f>New_Xref[[#This Row],[Serial Prefix]]&amp;IF(New_Xref[[#This Row],[Func Loc]]&lt;&gt;"",New_Xref[[#This Row],[Func Loc]],"NO MATCH")</f>
        <v>AMA0BRSS .SCBA.SCLH</v>
      </c>
      <c r="S1472" s="3" t="str">
        <f t="shared" si="154"/>
        <v>AMA05085837XSteering Clutch &amp; Brake LH</v>
      </c>
      <c r="T1472" t="s">
        <v>4616</v>
      </c>
      <c r="U1472" t="s">
        <v>108</v>
      </c>
      <c r="V1472" t="str">
        <f t="shared" si="160"/>
        <v>4100LT</v>
      </c>
    </row>
    <row r="1473" spans="1:22">
      <c r="A1473" t="s">
        <v>5654</v>
      </c>
      <c r="B1473" t="s">
        <v>5684</v>
      </c>
      <c r="C1473" t="s">
        <v>5753</v>
      </c>
      <c r="D1473" t="s">
        <v>5754</v>
      </c>
      <c r="E1473" t="s">
        <v>6028</v>
      </c>
      <c r="F1473" t="s">
        <v>27</v>
      </c>
      <c r="G1473">
        <v>3</v>
      </c>
      <c r="H1473" t="s">
        <v>6029</v>
      </c>
      <c r="I1473" t="s">
        <v>6030</v>
      </c>
      <c r="J1473" t="s">
        <v>6031</v>
      </c>
      <c r="K1473" t="s">
        <v>6032</v>
      </c>
      <c r="L1473" t="s">
        <v>6033</v>
      </c>
      <c r="M1473" s="1" t="str">
        <f t="shared" si="155"/>
        <v>21R300</v>
      </c>
      <c r="N1473" s="1" t="str">
        <f t="shared" si="156"/>
        <v>C/O</v>
      </c>
      <c r="O1473" s="1" t="str">
        <f t="shared" si="157"/>
        <v>Carrier Rollers CS</v>
      </c>
      <c r="P1473" s="1" t="str">
        <f t="shared" si="158"/>
        <v>DLK0</v>
      </c>
      <c r="Q1473" s="2" t="str">
        <f t="shared" si="159"/>
        <v>DLK0Carrier Rollers CS</v>
      </c>
      <c r="R1473" s="2" t="str">
        <f>New_Xref[[#This Row],[Serial Prefix]]&amp;IF(New_Xref[[#This Row],[Func Loc]]&lt;&gt;"",New_Xref[[#This Row],[Func Loc]],"NO MATCH")</f>
        <v>DLK0STRU .TRFC.CARO</v>
      </c>
      <c r="S1473" s="3" t="str">
        <f t="shared" si="154"/>
        <v>DLK05282933Carrier Rollers CS</v>
      </c>
      <c r="T1473" t="s">
        <v>919</v>
      </c>
      <c r="U1473" s="2" t="s">
        <v>5760</v>
      </c>
      <c r="V1473" t="str">
        <f>LEFT(T1473,FIND(" -",T1473,1)-1)&amp;LEFT(U1473,FIND(" -",U1473,1)-1)</f>
        <v>4154ALL</v>
      </c>
    </row>
    <row r="1474" spans="1:22">
      <c r="A1474" t="s">
        <v>5654</v>
      </c>
      <c r="B1474" t="s">
        <v>5684</v>
      </c>
      <c r="C1474" t="s">
        <v>5753</v>
      </c>
      <c r="D1474" t="s">
        <v>5754</v>
      </c>
      <c r="E1474" t="s">
        <v>6028</v>
      </c>
      <c r="F1474" t="s">
        <v>27</v>
      </c>
      <c r="G1474">
        <v>3</v>
      </c>
      <c r="H1474" t="s">
        <v>6029</v>
      </c>
      <c r="I1474" t="s">
        <v>6034</v>
      </c>
      <c r="J1474" t="s">
        <v>6035</v>
      </c>
      <c r="K1474" t="s">
        <v>6036</v>
      </c>
      <c r="L1474" t="s">
        <v>6037</v>
      </c>
      <c r="M1474" s="1" t="str">
        <f t="shared" si="155"/>
        <v>21R300</v>
      </c>
      <c r="N1474" s="1" t="str">
        <f t="shared" si="156"/>
        <v>C/O</v>
      </c>
      <c r="O1474" s="1" t="str">
        <f t="shared" si="157"/>
        <v>Carrier Rollers NCS</v>
      </c>
      <c r="P1474" s="1" t="str">
        <f t="shared" si="158"/>
        <v>DLK0</v>
      </c>
      <c r="Q1474" s="2" t="str">
        <f t="shared" si="159"/>
        <v>DLK0Carrier Rollers NCS</v>
      </c>
      <c r="R1474" s="2" t="str">
        <f>New_Xref[[#This Row],[Serial Prefix]]&amp;IF(New_Xref[[#This Row],[Func Loc]]&lt;&gt;"",New_Xref[[#This Row],[Func Loc]],"NO MATCH")</f>
        <v>DLK0STRU .TRFN.CARO</v>
      </c>
      <c r="S1474" s="3" t="str">
        <f t="shared" si="154"/>
        <v>DLK05282933Carrier Rollers NCS</v>
      </c>
      <c r="T1474" t="s">
        <v>919</v>
      </c>
      <c r="U1474" s="2" t="s">
        <v>5760</v>
      </c>
      <c r="V1474" t="str">
        <f t="shared" ref="V1474:V1537" si="161">LEFT(T1474,FIND(" -",T1474,1)-1)&amp;LEFT(U1474,FIND(" -",U1474,1)-1)</f>
        <v>4154ALL</v>
      </c>
    </row>
    <row r="1475" spans="1:22">
      <c r="A1475" t="s">
        <v>2866</v>
      </c>
      <c r="B1475" t="s">
        <v>2875</v>
      </c>
      <c r="C1475" t="s">
        <v>2542</v>
      </c>
      <c r="D1475" t="s">
        <v>2543</v>
      </c>
      <c r="E1475" t="s">
        <v>2544</v>
      </c>
      <c r="F1475" t="s">
        <v>27</v>
      </c>
      <c r="G1475">
        <v>1</v>
      </c>
      <c r="H1475" t="s">
        <v>2924</v>
      </c>
      <c r="I1475" t="s">
        <v>2927</v>
      </c>
      <c r="J1475" t="s">
        <v>2928</v>
      </c>
      <c r="K1475" t="s">
        <v>6038</v>
      </c>
      <c r="L1475" t="s">
        <v>2170</v>
      </c>
      <c r="M1475" s="1" t="str">
        <f t="shared" si="155"/>
        <v>06R39</v>
      </c>
      <c r="N1475" s="1" t="str">
        <f t="shared" si="156"/>
        <v>C/O</v>
      </c>
      <c r="O1475" s="1" t="str">
        <f t="shared" si="157"/>
        <v>Main Pump Drive Transmission</v>
      </c>
      <c r="P1475" s="1" t="str">
        <f t="shared" si="158"/>
        <v>2BW7</v>
      </c>
      <c r="Q1475" s="2" t="str">
        <f t="shared" si="159"/>
        <v>2BW7Main Pump Drive Transmission</v>
      </c>
      <c r="R1475" s="2" t="str">
        <f>New_Xref[[#This Row],[Serial Prefix]]&amp;IF(New_Xref[[#This Row],[Func Loc]]&lt;&gt;"",New_Xref[[#This Row],[Func Loc]],"NO MATCH")</f>
        <v>2BW7TRAN .MPDT</v>
      </c>
      <c r="S1475" s="3" t="str">
        <f t="shared" ref="S1475:S1538" si="162">P1475&amp;D1475&amp;O1475</f>
        <v>2BW72A6546XMain Pump Drive Transmission</v>
      </c>
      <c r="T1475" t="s">
        <v>1234</v>
      </c>
      <c r="U1475" t="s">
        <v>34</v>
      </c>
      <c r="V1475" t="str">
        <f t="shared" si="161"/>
        <v>310800</v>
      </c>
    </row>
    <row r="1476" spans="1:22">
      <c r="A1476" t="s">
        <v>3199</v>
      </c>
      <c r="B1476" t="s">
        <v>3208</v>
      </c>
      <c r="C1476" t="s">
        <v>3261</v>
      </c>
      <c r="D1476" t="s">
        <v>3262</v>
      </c>
      <c r="E1476" t="s">
        <v>3263</v>
      </c>
      <c r="F1476" t="s">
        <v>27</v>
      </c>
      <c r="G1476">
        <v>1</v>
      </c>
      <c r="H1476" t="s">
        <v>3264</v>
      </c>
      <c r="I1476" t="s">
        <v>3267</v>
      </c>
      <c r="J1476" t="s">
        <v>3268</v>
      </c>
      <c r="K1476" t="s">
        <v>6039</v>
      </c>
      <c r="L1476" t="s">
        <v>2170</v>
      </c>
      <c r="M1476" s="1" t="str">
        <f t="shared" ref="M1476:M1539" si="163">LEFT(K1476,FIND(" ",K1476,1)-1)</f>
        <v>11H1083</v>
      </c>
      <c r="N1476" s="1" t="str">
        <f t="shared" ref="N1476:N1539" si="164">MID(K1476,LEN(M1476)+2,FIND(" ",K1476,LEN(M1476)+2)-LEN(M1476)-2)</f>
        <v>C/O</v>
      </c>
      <c r="O1476" s="1" t="str">
        <f t="shared" ref="O1476:O1539" si="165">MID(K1476,FIND(N1476,K1476,1)+LEN(N1476)+1, 150)</f>
        <v>Main Pump Drive Transmission</v>
      </c>
      <c r="P1476" s="1" t="str">
        <f t="shared" ref="P1476:P1539" si="166">LEFT(B1476,4)</f>
        <v>FDB0</v>
      </c>
      <c r="Q1476" s="2" t="str">
        <f t="shared" ref="Q1476:Q1539" si="167">P1476&amp;O1476</f>
        <v>FDB0Main Pump Drive Transmission</v>
      </c>
      <c r="R1476" s="2" t="str">
        <f>New_Xref[[#This Row],[Serial Prefix]]&amp;IF(New_Xref[[#This Row],[Func Loc]]&lt;&gt;"",New_Xref[[#This Row],[Func Loc]],"NO MATCH")</f>
        <v>FDB0TRAN .MPDT</v>
      </c>
      <c r="S1476" s="3" t="str">
        <f t="shared" si="162"/>
        <v>FDB03864902XMain Pump Drive Transmission</v>
      </c>
      <c r="T1476" t="s">
        <v>1234</v>
      </c>
      <c r="U1476" t="s">
        <v>34</v>
      </c>
      <c r="V1476" t="str">
        <f t="shared" si="161"/>
        <v>310800</v>
      </c>
    </row>
    <row r="1477" spans="1:22">
      <c r="A1477" t="s">
        <v>3199</v>
      </c>
      <c r="B1477" t="s">
        <v>3221</v>
      </c>
      <c r="C1477" t="s">
        <v>3270</v>
      </c>
      <c r="D1477" t="s">
        <v>3262</v>
      </c>
      <c r="E1477" t="s">
        <v>3271</v>
      </c>
      <c r="F1477" t="s">
        <v>27</v>
      </c>
      <c r="G1477">
        <v>1</v>
      </c>
      <c r="H1477" t="s">
        <v>3264</v>
      </c>
      <c r="I1477" t="s">
        <v>3272</v>
      </c>
      <c r="J1477" t="s">
        <v>3273</v>
      </c>
      <c r="K1477" t="s">
        <v>6040</v>
      </c>
      <c r="L1477" t="s">
        <v>2170</v>
      </c>
      <c r="M1477" s="1" t="str">
        <f t="shared" si="163"/>
        <v>11H1082</v>
      </c>
      <c r="N1477" s="1" t="str">
        <f t="shared" si="164"/>
        <v>C/O</v>
      </c>
      <c r="O1477" s="1" t="str">
        <f t="shared" si="165"/>
        <v>Main Pump Drive Transmission</v>
      </c>
      <c r="P1477" s="1" t="str">
        <f t="shared" si="166"/>
        <v>FDB0</v>
      </c>
      <c r="Q1477" s="2" t="str">
        <f t="shared" si="167"/>
        <v>FDB0Main Pump Drive Transmission</v>
      </c>
      <c r="R1477" s="2" t="str">
        <f>New_Xref[[#This Row],[Serial Prefix]]&amp;IF(New_Xref[[#This Row],[Func Loc]]&lt;&gt;"",New_Xref[[#This Row],[Func Loc]],"NO MATCH")</f>
        <v>FDB0TRAN .MPDT</v>
      </c>
      <c r="S1477" s="3" t="str">
        <f t="shared" si="162"/>
        <v>FDB03864902XMain Pump Drive Transmission</v>
      </c>
      <c r="T1477" t="s">
        <v>1234</v>
      </c>
      <c r="U1477" t="s">
        <v>34</v>
      </c>
      <c r="V1477" t="str">
        <f t="shared" si="161"/>
        <v>310800</v>
      </c>
    </row>
    <row r="1478" spans="1:22">
      <c r="A1478" t="s">
        <v>3333</v>
      </c>
      <c r="B1478" t="s">
        <v>3382</v>
      </c>
      <c r="C1478" t="s">
        <v>3270</v>
      </c>
      <c r="D1478" t="s">
        <v>3262</v>
      </c>
      <c r="E1478" t="s">
        <v>3271</v>
      </c>
      <c r="F1478" t="s">
        <v>27</v>
      </c>
      <c r="G1478">
        <v>1</v>
      </c>
      <c r="H1478" t="s">
        <v>3414</v>
      </c>
      <c r="I1478" t="s">
        <v>3415</v>
      </c>
      <c r="J1478" t="s">
        <v>3416</v>
      </c>
      <c r="K1478" t="s">
        <v>6041</v>
      </c>
      <c r="L1478" t="s">
        <v>2170</v>
      </c>
      <c r="M1478" s="1" t="str">
        <f t="shared" si="163"/>
        <v>06H111</v>
      </c>
      <c r="N1478" s="1" t="str">
        <f t="shared" si="164"/>
        <v>C/O</v>
      </c>
      <c r="O1478" s="1" t="str">
        <f t="shared" si="165"/>
        <v>Main Pump Drive Transmission</v>
      </c>
      <c r="P1478" s="1" t="str">
        <f t="shared" si="166"/>
        <v>RBT0</v>
      </c>
      <c r="Q1478" s="2" t="str">
        <f t="shared" si="167"/>
        <v>RBT0Main Pump Drive Transmission</v>
      </c>
      <c r="R1478" s="2" t="str">
        <f>New_Xref[[#This Row],[Serial Prefix]]&amp;IF(New_Xref[[#This Row],[Func Loc]]&lt;&gt;"",New_Xref[[#This Row],[Func Loc]],"NO MATCH")</f>
        <v>RBT0TRAN .MPDT</v>
      </c>
      <c r="S1478" s="3" t="str">
        <f t="shared" si="162"/>
        <v>RBT03864902XMain Pump Drive Transmission</v>
      </c>
      <c r="T1478" t="s">
        <v>1234</v>
      </c>
      <c r="U1478" t="s">
        <v>34</v>
      </c>
      <c r="V1478" t="str">
        <f t="shared" si="161"/>
        <v>310800</v>
      </c>
    </row>
    <row r="1479" spans="1:22">
      <c r="A1479" t="s">
        <v>3333</v>
      </c>
      <c r="B1479" t="s">
        <v>3377</v>
      </c>
      <c r="C1479" t="s">
        <v>3270</v>
      </c>
      <c r="D1479" t="s">
        <v>3262</v>
      </c>
      <c r="E1479" t="s">
        <v>3271</v>
      </c>
      <c r="F1479" t="s">
        <v>27</v>
      </c>
      <c r="G1479">
        <v>1</v>
      </c>
      <c r="H1479" t="s">
        <v>3420</v>
      </c>
      <c r="I1479" t="s">
        <v>3421</v>
      </c>
      <c r="J1479" t="s">
        <v>3422</v>
      </c>
      <c r="K1479" t="s">
        <v>6042</v>
      </c>
      <c r="L1479" t="s">
        <v>2170</v>
      </c>
      <c r="M1479" s="1" t="str">
        <f t="shared" si="163"/>
        <v>06H262</v>
      </c>
      <c r="N1479" s="1" t="str">
        <f t="shared" si="164"/>
        <v>C/O</v>
      </c>
      <c r="O1479" s="1" t="str">
        <f t="shared" si="165"/>
        <v>Main Pump Drive Transmission</v>
      </c>
      <c r="P1479" s="1" t="str">
        <f t="shared" si="166"/>
        <v>SSP0</v>
      </c>
      <c r="Q1479" s="2" t="str">
        <f t="shared" si="167"/>
        <v>SSP0Main Pump Drive Transmission</v>
      </c>
      <c r="R1479" s="2" t="str">
        <f>New_Xref[[#This Row],[Serial Prefix]]&amp;IF(New_Xref[[#This Row],[Func Loc]]&lt;&gt;"",New_Xref[[#This Row],[Func Loc]],"NO MATCH")</f>
        <v>SSP0TRAN .MPDT</v>
      </c>
      <c r="S1479" s="3" t="str">
        <f t="shared" si="162"/>
        <v>SSP03864902XMain Pump Drive Transmission</v>
      </c>
      <c r="T1479" t="s">
        <v>1234</v>
      </c>
      <c r="U1479" t="s">
        <v>34</v>
      </c>
      <c r="V1479" t="str">
        <f t="shared" si="161"/>
        <v>310800</v>
      </c>
    </row>
    <row r="1480" spans="1:22">
      <c r="A1480" t="s">
        <v>5654</v>
      </c>
      <c r="B1480" t="s">
        <v>5684</v>
      </c>
      <c r="C1480" t="s">
        <v>5722</v>
      </c>
      <c r="D1480" t="s">
        <v>5723</v>
      </c>
      <c r="E1480" t="s">
        <v>5724</v>
      </c>
      <c r="F1480" t="s">
        <v>27</v>
      </c>
      <c r="G1480">
        <v>1</v>
      </c>
      <c r="H1480" t="s">
        <v>5725</v>
      </c>
      <c r="I1480" t="s">
        <v>5728</v>
      </c>
      <c r="J1480" t="s">
        <v>5729</v>
      </c>
      <c r="K1480" t="s">
        <v>5728</v>
      </c>
      <c r="L1480" t="s">
        <v>2170</v>
      </c>
      <c r="M1480" s="1" t="str">
        <f t="shared" si="163"/>
        <v>21R300</v>
      </c>
      <c r="N1480" s="1" t="str">
        <f t="shared" si="164"/>
        <v>C/O</v>
      </c>
      <c r="O1480" s="1" t="str">
        <f t="shared" si="165"/>
        <v>Main Pump Drive Transmission</v>
      </c>
      <c r="P1480" s="1" t="str">
        <f t="shared" si="166"/>
        <v>DLK0</v>
      </c>
      <c r="Q1480" s="2" t="str">
        <f t="shared" si="167"/>
        <v>DLK0Main Pump Drive Transmission</v>
      </c>
      <c r="R1480" s="2" t="str">
        <f>New_Xref[[#This Row],[Serial Prefix]]&amp;IF(New_Xref[[#This Row],[Func Loc]]&lt;&gt;"",New_Xref[[#This Row],[Func Loc]],"NO MATCH")</f>
        <v>DLK0TRAN .MPDT</v>
      </c>
      <c r="S1480" s="3" t="str">
        <f t="shared" si="162"/>
        <v>DLK05037615XMain Pump Drive Transmission</v>
      </c>
      <c r="T1480" t="s">
        <v>1234</v>
      </c>
      <c r="U1480" t="s">
        <v>34</v>
      </c>
      <c r="V1480" t="str">
        <f t="shared" si="161"/>
        <v>310800</v>
      </c>
    </row>
    <row r="1481" spans="1:22">
      <c r="A1481" t="s">
        <v>6043</v>
      </c>
      <c r="B1481" t="s">
        <v>6044</v>
      </c>
      <c r="D1481" t="s">
        <v>3262</v>
      </c>
      <c r="E1481" t="s">
        <v>3271</v>
      </c>
      <c r="F1481" t="s">
        <v>27</v>
      </c>
      <c r="G1481">
        <v>1</v>
      </c>
      <c r="K1481" t="s">
        <v>6045</v>
      </c>
      <c r="L1481" t="s">
        <v>83</v>
      </c>
      <c r="M1481" s="1" t="str">
        <f t="shared" si="163"/>
        <v>793-TWN</v>
      </c>
      <c r="N1481" s="1" t="str">
        <f t="shared" si="164"/>
        <v>C/O</v>
      </c>
      <c r="O1481" s="1" t="str">
        <f t="shared" si="165"/>
        <v>Main P/Drive Transmission</v>
      </c>
      <c r="P1481" s="1" t="str">
        <f t="shared" si="166"/>
        <v>TWN0</v>
      </c>
      <c r="Q1481" s="2" t="str">
        <f t="shared" si="167"/>
        <v>TWN0Main P/Drive Transmission</v>
      </c>
      <c r="R1481" s="2" t="str">
        <f>New_Xref[[#This Row],[Serial Prefix]]&amp;IF(New_Xref[[#This Row],[Func Loc]]&lt;&gt;"",New_Xref[[#This Row],[Func Loc]],"NO MATCH")</f>
        <v>TWN0NO MATCH</v>
      </c>
      <c r="S1481" s="3" t="str">
        <f t="shared" si="162"/>
        <v>TWN03864902XMain P/Drive Transmission</v>
      </c>
      <c r="T1481" t="s">
        <v>1234</v>
      </c>
      <c r="U1481" t="s">
        <v>34</v>
      </c>
      <c r="V1481" t="str">
        <f t="shared" si="161"/>
        <v>310800</v>
      </c>
    </row>
    <row r="1482" spans="1:22">
      <c r="A1482" t="s">
        <v>6043</v>
      </c>
      <c r="B1482" t="s">
        <v>6044</v>
      </c>
      <c r="D1482" t="s">
        <v>3262</v>
      </c>
      <c r="E1482" t="s">
        <v>3271</v>
      </c>
      <c r="F1482" t="s">
        <v>27</v>
      </c>
      <c r="G1482">
        <v>1</v>
      </c>
      <c r="K1482" t="s">
        <v>6046</v>
      </c>
      <c r="L1482" t="s">
        <v>2170</v>
      </c>
      <c r="M1482" s="1" t="str">
        <f t="shared" si="163"/>
        <v>793-TWN</v>
      </c>
      <c r="N1482" s="1" t="str">
        <f t="shared" si="164"/>
        <v>C/O</v>
      </c>
      <c r="O1482" s="1" t="str">
        <f t="shared" si="165"/>
        <v>Main Pump Drive Transmission</v>
      </c>
      <c r="P1482" s="1" t="str">
        <f t="shared" si="166"/>
        <v>TWN0</v>
      </c>
      <c r="Q1482" s="2" t="str">
        <f t="shared" si="167"/>
        <v>TWN0Main Pump Drive Transmission</v>
      </c>
      <c r="R1482" s="2" t="str">
        <f>New_Xref[[#This Row],[Serial Prefix]]&amp;IF(New_Xref[[#This Row],[Func Loc]]&lt;&gt;"",New_Xref[[#This Row],[Func Loc]],"NO MATCH")</f>
        <v>TWN0TRAN .MPDT</v>
      </c>
      <c r="S1482" s="3" t="str">
        <f t="shared" si="162"/>
        <v>TWN03864902XMain Pump Drive Transmission</v>
      </c>
      <c r="T1482" t="s">
        <v>1234</v>
      </c>
      <c r="U1482" t="s">
        <v>34</v>
      </c>
      <c r="V1482" t="str">
        <f t="shared" si="161"/>
        <v>310800</v>
      </c>
    </row>
    <row r="1483" spans="1:22">
      <c r="A1483" t="s">
        <v>252</v>
      </c>
      <c r="B1483" t="s">
        <v>6047</v>
      </c>
      <c r="H1483" t="s">
        <v>6048</v>
      </c>
      <c r="I1483" t="s">
        <v>6049</v>
      </c>
      <c r="J1483" t="s">
        <v>6050</v>
      </c>
      <c r="K1483" t="s">
        <v>6051</v>
      </c>
      <c r="L1483" t="s">
        <v>129</v>
      </c>
      <c r="M1483" s="1" t="str">
        <f t="shared" si="163"/>
        <v>12H563</v>
      </c>
      <c r="N1483" s="1" t="str">
        <f t="shared" si="164"/>
        <v>C/O</v>
      </c>
      <c r="O1483" s="1" t="str">
        <f t="shared" si="165"/>
        <v>Blade Lift Cylinder LH</v>
      </c>
      <c r="P1483" s="1" t="str">
        <f t="shared" si="166"/>
        <v>E9Z0</v>
      </c>
      <c r="Q1483" s="2" t="str">
        <f t="shared" si="167"/>
        <v>E9Z0Blade Lift Cylinder LH</v>
      </c>
      <c r="R1483" s="2" t="str">
        <f>New_Xref[[#This Row],[Serial Prefix]]&amp;IF(New_Xref[[#This Row],[Func Loc]]&lt;&gt;"",New_Xref[[#This Row],[Func Loc]],"NO MATCH")</f>
        <v>E9Z0MYHD .CYLI.BLLL</v>
      </c>
      <c r="S1483" s="3" t="str">
        <f t="shared" si="162"/>
        <v>E9Z0Blade Lift Cylinder LH</v>
      </c>
      <c r="T1483" t="s">
        <v>130</v>
      </c>
      <c r="U1483" t="s">
        <v>108</v>
      </c>
      <c r="V1483" t="str">
        <f t="shared" si="161"/>
        <v>5102LT</v>
      </c>
    </row>
    <row r="1484" spans="1:22">
      <c r="A1484" t="s">
        <v>252</v>
      </c>
      <c r="B1484" t="s">
        <v>6047</v>
      </c>
      <c r="H1484" t="s">
        <v>6048</v>
      </c>
      <c r="I1484" t="s">
        <v>6052</v>
      </c>
      <c r="J1484" t="s">
        <v>6053</v>
      </c>
      <c r="K1484" t="s">
        <v>6054</v>
      </c>
      <c r="L1484" t="s">
        <v>133</v>
      </c>
      <c r="M1484" s="1" t="str">
        <f t="shared" si="163"/>
        <v>12H563</v>
      </c>
      <c r="N1484" s="1" t="str">
        <f t="shared" si="164"/>
        <v>C/O</v>
      </c>
      <c r="O1484" s="1" t="str">
        <f t="shared" si="165"/>
        <v>Blade Lift Cylinder RH</v>
      </c>
      <c r="P1484" s="1" t="str">
        <f t="shared" si="166"/>
        <v>E9Z0</v>
      </c>
      <c r="Q1484" s="2" t="str">
        <f t="shared" si="167"/>
        <v>E9Z0Blade Lift Cylinder RH</v>
      </c>
      <c r="R1484" s="2" t="str">
        <f>New_Xref[[#This Row],[Serial Prefix]]&amp;IF(New_Xref[[#This Row],[Func Loc]]&lt;&gt;"",New_Xref[[#This Row],[Func Loc]],"NO MATCH")</f>
        <v>E9Z0MYHD .CYLI.BLLR</v>
      </c>
      <c r="S1484" s="3" t="str">
        <f t="shared" si="162"/>
        <v>E9Z0Blade Lift Cylinder RH</v>
      </c>
      <c r="T1484" t="s">
        <v>130</v>
      </c>
      <c r="U1484" t="s">
        <v>115</v>
      </c>
      <c r="V1484" t="str">
        <f t="shared" si="161"/>
        <v>5102RI</v>
      </c>
    </row>
    <row r="1485" spans="1:22">
      <c r="A1485" t="s">
        <v>252</v>
      </c>
      <c r="B1485" t="s">
        <v>6055</v>
      </c>
      <c r="H1485" t="s">
        <v>6056</v>
      </c>
      <c r="I1485" t="s">
        <v>6057</v>
      </c>
      <c r="J1485" t="s">
        <v>6058</v>
      </c>
      <c r="K1485" t="s">
        <v>6059</v>
      </c>
      <c r="L1485" t="s">
        <v>6060</v>
      </c>
      <c r="M1485" s="1" t="str">
        <f t="shared" si="163"/>
        <v>12H565</v>
      </c>
      <c r="N1485" s="1" t="str">
        <f t="shared" si="164"/>
        <v>C/O</v>
      </c>
      <c r="O1485" s="1" t="str">
        <f t="shared" si="165"/>
        <v>Circle Drive Motor LH</v>
      </c>
      <c r="P1485" s="1" t="str">
        <f t="shared" si="166"/>
        <v>E9Z0</v>
      </c>
      <c r="Q1485" s="2" t="str">
        <f t="shared" si="167"/>
        <v>E9Z0Circle Drive Motor LH</v>
      </c>
      <c r="R1485" s="2" t="str">
        <f>New_Xref[[#This Row],[Serial Prefix]]&amp;IF(New_Xref[[#This Row],[Func Loc]]&lt;&gt;"",New_Xref[[#This Row],[Func Loc]],"NO MATCH")</f>
        <v>E9Z0MYHD .MOTO.CDMF</v>
      </c>
      <c r="S1485" s="3" t="str">
        <f t="shared" si="162"/>
        <v>E9Z0Circle Drive Motor LH</v>
      </c>
      <c r="T1485" t="s">
        <v>141</v>
      </c>
      <c r="U1485" t="s">
        <v>108</v>
      </c>
      <c r="V1485" t="str">
        <f t="shared" si="161"/>
        <v>5207LT</v>
      </c>
    </row>
    <row r="1486" spans="1:22">
      <c r="A1486" t="s">
        <v>252</v>
      </c>
      <c r="B1486" t="s">
        <v>6055</v>
      </c>
      <c r="H1486" t="s">
        <v>6056</v>
      </c>
      <c r="I1486" t="s">
        <v>6061</v>
      </c>
      <c r="J1486" t="s">
        <v>6062</v>
      </c>
      <c r="K1486" t="s">
        <v>6063</v>
      </c>
      <c r="L1486" t="s">
        <v>6064</v>
      </c>
      <c r="M1486" s="1" t="str">
        <f t="shared" si="163"/>
        <v>12H565</v>
      </c>
      <c r="N1486" s="1" t="str">
        <f t="shared" si="164"/>
        <v>C/O</v>
      </c>
      <c r="O1486" s="1" t="str">
        <f t="shared" si="165"/>
        <v>Circle Drive Motor RH</v>
      </c>
      <c r="P1486" s="1" t="str">
        <f t="shared" si="166"/>
        <v>E9Z0</v>
      </c>
      <c r="Q1486" s="2" t="str">
        <f t="shared" si="167"/>
        <v>E9Z0Circle Drive Motor RH</v>
      </c>
      <c r="R1486" s="2" t="str">
        <f>New_Xref[[#This Row],[Serial Prefix]]&amp;IF(New_Xref[[#This Row],[Func Loc]]&lt;&gt;"",New_Xref[[#This Row],[Func Loc]],"NO MATCH")</f>
        <v>E9Z0MYHD .MOTO.CDMR</v>
      </c>
      <c r="S1486" s="3" t="str">
        <f t="shared" si="162"/>
        <v>E9Z0Circle Drive Motor RH</v>
      </c>
      <c r="T1486" t="s">
        <v>141</v>
      </c>
      <c r="U1486" t="s">
        <v>115</v>
      </c>
      <c r="V1486" t="str">
        <f t="shared" si="161"/>
        <v>5207RI</v>
      </c>
    </row>
    <row r="1487" spans="1:22">
      <c r="A1487" t="s">
        <v>5465</v>
      </c>
      <c r="B1487" t="s">
        <v>5538</v>
      </c>
      <c r="C1487" t="s">
        <v>5638</v>
      </c>
      <c r="D1487" t="s">
        <v>5639</v>
      </c>
      <c r="E1487" t="s">
        <v>5567</v>
      </c>
      <c r="F1487" t="s">
        <v>27</v>
      </c>
      <c r="G1487">
        <v>1</v>
      </c>
      <c r="H1487" t="s">
        <v>5640</v>
      </c>
      <c r="I1487" t="s">
        <v>5641</v>
      </c>
      <c r="J1487" t="s">
        <v>5642</v>
      </c>
      <c r="K1487" t="s">
        <v>6065</v>
      </c>
      <c r="L1487" t="s">
        <v>6066</v>
      </c>
      <c r="M1487" s="1" t="str">
        <f t="shared" si="163"/>
        <v>21R439</v>
      </c>
      <c r="N1487" s="1" t="str">
        <f t="shared" si="164"/>
        <v>C/O</v>
      </c>
      <c r="O1487" s="1" t="str">
        <f t="shared" si="165"/>
        <v>Cable Tensioning Cylinder Lower CS</v>
      </c>
      <c r="P1487" s="1" t="str">
        <f t="shared" si="166"/>
        <v>DN70</v>
      </c>
      <c r="Q1487" s="2" t="str">
        <f t="shared" si="167"/>
        <v>DN70Cable Tensioning Cylinder Lower CS</v>
      </c>
      <c r="R1487" s="2" t="str">
        <f>New_Xref[[#This Row],[Serial Prefix]]&amp;IF(New_Xref[[#This Row],[Func Loc]]&lt;&gt;"",New_Xref[[#This Row],[Func Loc]],"NO MATCH")</f>
        <v>DN70MYHD .CYLI.CTDC</v>
      </c>
      <c r="S1487" s="3" t="str">
        <f t="shared" si="162"/>
        <v>DN705249002Cable Tensioning Cylinder Lower CS</v>
      </c>
      <c r="T1487" t="s">
        <v>5643</v>
      </c>
      <c r="U1487" t="s">
        <v>5644</v>
      </c>
      <c r="V1487" t="str">
        <f t="shared" si="161"/>
        <v>89BZRLH</v>
      </c>
    </row>
    <row r="1488" spans="1:22">
      <c r="A1488" t="s">
        <v>5465</v>
      </c>
      <c r="B1488" t="s">
        <v>5538</v>
      </c>
      <c r="C1488" t="s">
        <v>5638</v>
      </c>
      <c r="D1488" t="s">
        <v>5639</v>
      </c>
      <c r="E1488" t="s">
        <v>5567</v>
      </c>
      <c r="F1488" t="s">
        <v>27</v>
      </c>
      <c r="G1488">
        <v>1</v>
      </c>
      <c r="H1488" t="s">
        <v>5640</v>
      </c>
      <c r="I1488" t="s">
        <v>5645</v>
      </c>
      <c r="J1488" t="s">
        <v>5646</v>
      </c>
      <c r="K1488" t="s">
        <v>6067</v>
      </c>
      <c r="L1488" t="s">
        <v>6068</v>
      </c>
      <c r="M1488" s="1" t="str">
        <f t="shared" si="163"/>
        <v>21R439</v>
      </c>
      <c r="N1488" s="1" t="str">
        <f t="shared" si="164"/>
        <v>C/O</v>
      </c>
      <c r="O1488" s="1" t="str">
        <f t="shared" si="165"/>
        <v>Cable Tensioning Cylinder Lower NCS</v>
      </c>
      <c r="P1488" s="1" t="str">
        <f t="shared" si="166"/>
        <v>DN70</v>
      </c>
      <c r="Q1488" s="2" t="str">
        <f t="shared" si="167"/>
        <v>DN70Cable Tensioning Cylinder Lower NCS</v>
      </c>
      <c r="R1488" s="2" t="str">
        <f>New_Xref[[#This Row],[Serial Prefix]]&amp;IF(New_Xref[[#This Row],[Func Loc]]&lt;&gt;"",New_Xref[[#This Row],[Func Loc]],"NO MATCH")</f>
        <v>DN70MYHD .CYLI.CTDN</v>
      </c>
      <c r="S1488" s="3" t="str">
        <f t="shared" si="162"/>
        <v>DN705249002Cable Tensioning Cylinder Lower NCS</v>
      </c>
      <c r="T1488" t="s">
        <v>5643</v>
      </c>
      <c r="U1488" t="s">
        <v>5647</v>
      </c>
      <c r="V1488" t="str">
        <f t="shared" si="161"/>
        <v>89BZLLH</v>
      </c>
    </row>
    <row r="1489" spans="1:22">
      <c r="A1489" t="s">
        <v>5465</v>
      </c>
      <c r="B1489" t="s">
        <v>5538</v>
      </c>
      <c r="C1489" t="s">
        <v>5638</v>
      </c>
      <c r="D1489" t="s">
        <v>5639</v>
      </c>
      <c r="E1489" t="s">
        <v>5567</v>
      </c>
      <c r="F1489" t="s">
        <v>27</v>
      </c>
      <c r="G1489">
        <v>1</v>
      </c>
      <c r="H1489" t="s">
        <v>5640</v>
      </c>
      <c r="I1489" t="s">
        <v>5648</v>
      </c>
      <c r="J1489" t="s">
        <v>5649</v>
      </c>
      <c r="K1489" t="s">
        <v>6069</v>
      </c>
      <c r="L1489" t="s">
        <v>6070</v>
      </c>
      <c r="M1489" s="1" t="str">
        <f t="shared" si="163"/>
        <v>21R439</v>
      </c>
      <c r="N1489" s="1" t="str">
        <f t="shared" si="164"/>
        <v>C/O</v>
      </c>
      <c r="O1489" s="1" t="str">
        <f t="shared" si="165"/>
        <v>Cable Tensioning Cylinder Upper CS</v>
      </c>
      <c r="P1489" s="1" t="str">
        <f t="shared" si="166"/>
        <v>DN70</v>
      </c>
      <c r="Q1489" s="2" t="str">
        <f t="shared" si="167"/>
        <v>DN70Cable Tensioning Cylinder Upper CS</v>
      </c>
      <c r="R1489" s="2" t="str">
        <f>New_Xref[[#This Row],[Serial Prefix]]&amp;IF(New_Xref[[#This Row],[Func Loc]]&lt;&gt;"",New_Xref[[#This Row],[Func Loc]],"NO MATCH")</f>
        <v>DN70MYHD .CYLI.CTUC</v>
      </c>
      <c r="S1489" s="3" t="str">
        <f t="shared" si="162"/>
        <v>DN705249002Cable Tensioning Cylinder Upper CS</v>
      </c>
      <c r="T1489" t="s">
        <v>5643</v>
      </c>
      <c r="U1489" t="s">
        <v>5650</v>
      </c>
      <c r="V1489" t="str">
        <f t="shared" si="161"/>
        <v>89BZRUZ</v>
      </c>
    </row>
    <row r="1490" spans="1:22">
      <c r="A1490" t="s">
        <v>5465</v>
      </c>
      <c r="B1490" t="s">
        <v>5538</v>
      </c>
      <c r="C1490" t="s">
        <v>5638</v>
      </c>
      <c r="D1490" t="s">
        <v>5639</v>
      </c>
      <c r="E1490" t="s">
        <v>5567</v>
      </c>
      <c r="F1490" t="s">
        <v>27</v>
      </c>
      <c r="G1490">
        <v>1</v>
      </c>
      <c r="H1490" t="s">
        <v>5640</v>
      </c>
      <c r="I1490" t="s">
        <v>5651</v>
      </c>
      <c r="J1490" t="s">
        <v>5652</v>
      </c>
      <c r="K1490" t="s">
        <v>6071</v>
      </c>
      <c r="L1490" t="s">
        <v>6072</v>
      </c>
      <c r="M1490" s="1" t="str">
        <f t="shared" si="163"/>
        <v>21R439</v>
      </c>
      <c r="N1490" s="1" t="str">
        <f t="shared" si="164"/>
        <v>C/O</v>
      </c>
      <c r="O1490" s="1" t="str">
        <f t="shared" si="165"/>
        <v>Cable Tensioning Cylinder Upper NCS</v>
      </c>
      <c r="P1490" s="1" t="str">
        <f t="shared" si="166"/>
        <v>DN70</v>
      </c>
      <c r="Q1490" s="2" t="str">
        <f t="shared" si="167"/>
        <v>DN70Cable Tensioning Cylinder Upper NCS</v>
      </c>
      <c r="R1490" s="2" t="str">
        <f>New_Xref[[#This Row],[Serial Prefix]]&amp;IF(New_Xref[[#This Row],[Func Loc]]&lt;&gt;"",New_Xref[[#This Row],[Func Loc]],"NO MATCH")</f>
        <v>DN70MYHD .CYLI.CTUN</v>
      </c>
      <c r="S1490" s="3" t="str">
        <f t="shared" si="162"/>
        <v>DN705249002Cable Tensioning Cylinder Upper NCS</v>
      </c>
      <c r="T1490" t="s">
        <v>5643</v>
      </c>
      <c r="U1490" t="s">
        <v>5653</v>
      </c>
      <c r="V1490" t="str">
        <f t="shared" si="161"/>
        <v>89BZLUZ</v>
      </c>
    </row>
    <row r="1491" spans="1:22">
      <c r="A1491" t="s">
        <v>5654</v>
      </c>
      <c r="B1491" t="s">
        <v>5684</v>
      </c>
      <c r="C1491" t="s">
        <v>5638</v>
      </c>
      <c r="D1491" t="s">
        <v>5639</v>
      </c>
      <c r="E1491" t="s">
        <v>5567</v>
      </c>
      <c r="F1491" t="s">
        <v>27</v>
      </c>
      <c r="G1491">
        <v>1</v>
      </c>
      <c r="H1491" t="s">
        <v>5881</v>
      </c>
      <c r="I1491" t="s">
        <v>5882</v>
      </c>
      <c r="J1491" t="s">
        <v>5883</v>
      </c>
      <c r="K1491" t="s">
        <v>6073</v>
      </c>
      <c r="L1491" t="s">
        <v>6066</v>
      </c>
      <c r="M1491" s="1" t="str">
        <f t="shared" si="163"/>
        <v>21R300</v>
      </c>
      <c r="N1491" s="1" t="str">
        <f t="shared" si="164"/>
        <v>C/O</v>
      </c>
      <c r="O1491" s="1" t="str">
        <f t="shared" si="165"/>
        <v>Cable Tensioning Cylinder Lower CS</v>
      </c>
      <c r="P1491" s="1" t="str">
        <f t="shared" si="166"/>
        <v>DLK0</v>
      </c>
      <c r="Q1491" s="2" t="str">
        <f t="shared" si="167"/>
        <v>DLK0Cable Tensioning Cylinder Lower CS</v>
      </c>
      <c r="R1491" s="2" t="str">
        <f>New_Xref[[#This Row],[Serial Prefix]]&amp;IF(New_Xref[[#This Row],[Func Loc]]&lt;&gt;"",New_Xref[[#This Row],[Func Loc]],"NO MATCH")</f>
        <v>DLK0MYHD .CYLI.CTDC</v>
      </c>
      <c r="S1491" s="3" t="str">
        <f t="shared" si="162"/>
        <v>DLK05249002Cable Tensioning Cylinder Lower CS</v>
      </c>
      <c r="T1491" t="s">
        <v>5643</v>
      </c>
      <c r="U1491" t="s">
        <v>5644</v>
      </c>
      <c r="V1491" t="str">
        <f t="shared" si="161"/>
        <v>89BZRLH</v>
      </c>
    </row>
    <row r="1492" spans="1:22">
      <c r="A1492" t="s">
        <v>5654</v>
      </c>
      <c r="B1492" t="s">
        <v>5684</v>
      </c>
      <c r="C1492" t="s">
        <v>5638</v>
      </c>
      <c r="D1492" t="s">
        <v>5639</v>
      </c>
      <c r="E1492" t="s">
        <v>5567</v>
      </c>
      <c r="F1492" t="s">
        <v>27</v>
      </c>
      <c r="G1492">
        <v>1</v>
      </c>
      <c r="H1492" t="s">
        <v>5881</v>
      </c>
      <c r="I1492" t="s">
        <v>5884</v>
      </c>
      <c r="J1492" t="s">
        <v>5885</v>
      </c>
      <c r="K1492" t="s">
        <v>6074</v>
      </c>
      <c r="L1492" t="s">
        <v>6068</v>
      </c>
      <c r="M1492" s="1" t="str">
        <f t="shared" si="163"/>
        <v>21R300</v>
      </c>
      <c r="N1492" s="1" t="str">
        <f t="shared" si="164"/>
        <v>C/O</v>
      </c>
      <c r="O1492" s="1" t="str">
        <f t="shared" si="165"/>
        <v>Cable Tensioning Cylinder Lower NCS</v>
      </c>
      <c r="P1492" s="1" t="str">
        <f t="shared" si="166"/>
        <v>DLK0</v>
      </c>
      <c r="Q1492" s="2" t="str">
        <f t="shared" si="167"/>
        <v>DLK0Cable Tensioning Cylinder Lower NCS</v>
      </c>
      <c r="R1492" s="2" t="str">
        <f>New_Xref[[#This Row],[Serial Prefix]]&amp;IF(New_Xref[[#This Row],[Func Loc]]&lt;&gt;"",New_Xref[[#This Row],[Func Loc]],"NO MATCH")</f>
        <v>DLK0MYHD .CYLI.CTDN</v>
      </c>
      <c r="S1492" s="3" t="str">
        <f t="shared" si="162"/>
        <v>DLK05249002Cable Tensioning Cylinder Lower NCS</v>
      </c>
      <c r="T1492" t="s">
        <v>5643</v>
      </c>
      <c r="U1492" t="s">
        <v>5647</v>
      </c>
      <c r="V1492" t="str">
        <f t="shared" si="161"/>
        <v>89BZLLH</v>
      </c>
    </row>
    <row r="1493" spans="1:22">
      <c r="A1493" t="s">
        <v>5654</v>
      </c>
      <c r="B1493" t="s">
        <v>5684</v>
      </c>
      <c r="C1493" t="s">
        <v>5638</v>
      </c>
      <c r="D1493" t="s">
        <v>5639</v>
      </c>
      <c r="E1493" t="s">
        <v>5567</v>
      </c>
      <c r="F1493" t="s">
        <v>27</v>
      </c>
      <c r="G1493">
        <v>1</v>
      </c>
      <c r="H1493" t="s">
        <v>5881</v>
      </c>
      <c r="I1493" t="s">
        <v>5886</v>
      </c>
      <c r="J1493" t="s">
        <v>5887</v>
      </c>
      <c r="K1493" t="s">
        <v>6075</v>
      </c>
      <c r="L1493" t="s">
        <v>6070</v>
      </c>
      <c r="M1493" s="1" t="str">
        <f t="shared" si="163"/>
        <v>21R300</v>
      </c>
      <c r="N1493" s="1" t="str">
        <f t="shared" si="164"/>
        <v>C/O</v>
      </c>
      <c r="O1493" s="1" t="str">
        <f t="shared" si="165"/>
        <v>Cable Tensioning Cylinder Upper CS</v>
      </c>
      <c r="P1493" s="1" t="str">
        <f t="shared" si="166"/>
        <v>DLK0</v>
      </c>
      <c r="Q1493" s="2" t="str">
        <f t="shared" si="167"/>
        <v>DLK0Cable Tensioning Cylinder Upper CS</v>
      </c>
      <c r="R1493" s="2" t="str">
        <f>New_Xref[[#This Row],[Serial Prefix]]&amp;IF(New_Xref[[#This Row],[Func Loc]]&lt;&gt;"",New_Xref[[#This Row],[Func Loc]],"NO MATCH")</f>
        <v>DLK0MYHD .CYLI.CTUC</v>
      </c>
      <c r="S1493" s="3" t="str">
        <f t="shared" si="162"/>
        <v>DLK05249002Cable Tensioning Cylinder Upper CS</v>
      </c>
      <c r="T1493" t="s">
        <v>5643</v>
      </c>
      <c r="U1493" t="s">
        <v>5650</v>
      </c>
      <c r="V1493" t="str">
        <f t="shared" si="161"/>
        <v>89BZRUZ</v>
      </c>
    </row>
    <row r="1494" spans="1:22">
      <c r="A1494" t="s">
        <v>5654</v>
      </c>
      <c r="B1494" t="s">
        <v>5684</v>
      </c>
      <c r="C1494" t="s">
        <v>5638</v>
      </c>
      <c r="D1494" t="s">
        <v>5639</v>
      </c>
      <c r="E1494" t="s">
        <v>5567</v>
      </c>
      <c r="F1494" t="s">
        <v>27</v>
      </c>
      <c r="G1494">
        <v>1</v>
      </c>
      <c r="H1494" t="s">
        <v>5881</v>
      </c>
      <c r="I1494" t="s">
        <v>5888</v>
      </c>
      <c r="J1494" t="s">
        <v>5889</v>
      </c>
      <c r="K1494" t="s">
        <v>6076</v>
      </c>
      <c r="L1494" t="s">
        <v>6072</v>
      </c>
      <c r="M1494" s="1" t="str">
        <f t="shared" si="163"/>
        <v>21R300</v>
      </c>
      <c r="N1494" s="1" t="str">
        <f t="shared" si="164"/>
        <v>C/O</v>
      </c>
      <c r="O1494" s="1" t="str">
        <f t="shared" si="165"/>
        <v>Cable Tensioning Cylinder Upper NCS</v>
      </c>
      <c r="P1494" s="1" t="str">
        <f t="shared" si="166"/>
        <v>DLK0</v>
      </c>
      <c r="Q1494" s="2" t="str">
        <f t="shared" si="167"/>
        <v>DLK0Cable Tensioning Cylinder Upper NCS</v>
      </c>
      <c r="R1494" s="2" t="str">
        <f>New_Xref[[#This Row],[Serial Prefix]]&amp;IF(New_Xref[[#This Row],[Func Loc]]&lt;&gt;"",New_Xref[[#This Row],[Func Loc]],"NO MATCH")</f>
        <v>DLK0MYHD .CYLI.CTUN</v>
      </c>
      <c r="S1494" s="3" t="str">
        <f t="shared" si="162"/>
        <v>DLK05249002Cable Tensioning Cylinder Upper NCS</v>
      </c>
      <c r="T1494" t="s">
        <v>5643</v>
      </c>
      <c r="U1494" t="s">
        <v>5653</v>
      </c>
      <c r="V1494" t="str">
        <f t="shared" si="161"/>
        <v>89BZLUZ</v>
      </c>
    </row>
    <row r="1495" spans="1:22">
      <c r="A1495" t="s">
        <v>3333</v>
      </c>
      <c r="B1495" t="s">
        <v>3334</v>
      </c>
      <c r="C1495" t="s">
        <v>3354</v>
      </c>
      <c r="D1495" t="s">
        <v>3355</v>
      </c>
      <c r="E1495" t="s">
        <v>3356</v>
      </c>
      <c r="F1495" t="s">
        <v>27</v>
      </c>
      <c r="G1495">
        <v>1</v>
      </c>
      <c r="H1495" t="s">
        <v>3357</v>
      </c>
      <c r="I1495" t="s">
        <v>3339</v>
      </c>
      <c r="J1495" t="s">
        <v>3358</v>
      </c>
      <c r="K1495" t="s">
        <v>6077</v>
      </c>
      <c r="L1495" t="s">
        <v>67</v>
      </c>
      <c r="M1495" s="1" t="str">
        <f t="shared" si="163"/>
        <v>06B352</v>
      </c>
      <c r="N1495" s="1" t="str">
        <f t="shared" si="164"/>
        <v>C/O</v>
      </c>
      <c r="O1495" s="1" t="str">
        <f t="shared" si="165"/>
        <v>Engine Radiator</v>
      </c>
      <c r="P1495" s="1" t="str">
        <f t="shared" si="166"/>
        <v>RBT0</v>
      </c>
      <c r="Q1495" s="2" t="str">
        <f t="shared" si="167"/>
        <v>RBT0Engine Radiator</v>
      </c>
      <c r="R1495" s="2" t="str">
        <f>New_Xref[[#This Row],[Serial Prefix]]&amp;IF(New_Xref[[#This Row],[Func Loc]]&lt;&gt;"",New_Xref[[#This Row],[Func Loc]],"NO MATCH")</f>
        <v>RBT0ENGD .ENCS.RADI</v>
      </c>
      <c r="S1495" s="3" t="str">
        <f t="shared" si="162"/>
        <v>RBT03377882FEngine Radiator</v>
      </c>
      <c r="T1495" s="3" t="s">
        <v>68</v>
      </c>
      <c r="U1495" s="3" t="s">
        <v>34</v>
      </c>
      <c r="V1495" t="str">
        <f t="shared" si="161"/>
        <v>135300</v>
      </c>
    </row>
    <row r="1496" spans="1:22">
      <c r="A1496" t="s">
        <v>3333</v>
      </c>
      <c r="B1496" t="s">
        <v>3342</v>
      </c>
      <c r="C1496" t="s">
        <v>3354</v>
      </c>
      <c r="D1496" t="s">
        <v>3355</v>
      </c>
      <c r="E1496" t="s">
        <v>3360</v>
      </c>
      <c r="F1496" t="s">
        <v>27</v>
      </c>
      <c r="G1496">
        <v>1</v>
      </c>
      <c r="H1496" t="s">
        <v>3361</v>
      </c>
      <c r="I1496" t="s">
        <v>3344</v>
      </c>
      <c r="J1496" t="s">
        <v>3362</v>
      </c>
      <c r="K1496" t="s">
        <v>6078</v>
      </c>
      <c r="L1496" t="s">
        <v>67</v>
      </c>
      <c r="M1496" s="1" t="str">
        <f t="shared" si="163"/>
        <v>06H545</v>
      </c>
      <c r="N1496" s="1" t="str">
        <f t="shared" si="164"/>
        <v>C/O</v>
      </c>
      <c r="O1496" s="1" t="str">
        <f t="shared" si="165"/>
        <v>Engine Radiator</v>
      </c>
      <c r="P1496" s="1" t="str">
        <f t="shared" si="166"/>
        <v>SSP0</v>
      </c>
      <c r="Q1496" s="2" t="str">
        <f t="shared" si="167"/>
        <v>SSP0Engine Radiator</v>
      </c>
      <c r="R1496" s="2" t="str">
        <f>New_Xref[[#This Row],[Serial Prefix]]&amp;IF(New_Xref[[#This Row],[Func Loc]]&lt;&gt;"",New_Xref[[#This Row],[Func Loc]],"NO MATCH")</f>
        <v>SSP0ENGD .ENCS.RADI</v>
      </c>
      <c r="S1496" s="3" t="str">
        <f t="shared" si="162"/>
        <v>SSP03377882FEngine Radiator</v>
      </c>
      <c r="T1496" s="3" t="s">
        <v>68</v>
      </c>
      <c r="U1496" s="3" t="s">
        <v>34</v>
      </c>
      <c r="V1496" t="str">
        <f t="shared" si="161"/>
        <v>135300</v>
      </c>
    </row>
    <row r="1497" spans="1:22">
      <c r="A1497" t="s">
        <v>5465</v>
      </c>
      <c r="B1497" t="s">
        <v>5466</v>
      </c>
      <c r="C1497" t="s">
        <v>5548</v>
      </c>
      <c r="D1497" t="s">
        <v>5549</v>
      </c>
      <c r="E1497" t="s">
        <v>5550</v>
      </c>
      <c r="F1497" t="s">
        <v>27</v>
      </c>
      <c r="G1497">
        <v>1</v>
      </c>
      <c r="H1497" t="s">
        <v>5551</v>
      </c>
      <c r="I1497" t="s">
        <v>5552</v>
      </c>
      <c r="J1497" t="s">
        <v>5553</v>
      </c>
      <c r="K1497" t="s">
        <v>6079</v>
      </c>
      <c r="L1497" t="s">
        <v>6080</v>
      </c>
      <c r="M1497" s="1" t="str">
        <f t="shared" si="163"/>
        <v>21B311</v>
      </c>
      <c r="N1497" s="1" t="str">
        <f t="shared" si="164"/>
        <v>C/O</v>
      </c>
      <c r="O1497" s="1" t="str">
        <f t="shared" si="165"/>
        <v>Jack Leg Cylinder CS DE</v>
      </c>
      <c r="P1497" s="1" t="str">
        <f t="shared" si="166"/>
        <v>DN70</v>
      </c>
      <c r="Q1497" s="2" t="str">
        <f t="shared" si="167"/>
        <v>DN70Jack Leg Cylinder CS DE</v>
      </c>
      <c r="R1497" s="2" t="str">
        <f>New_Xref[[#This Row],[Serial Prefix]]&amp;IF(New_Xref[[#This Row],[Func Loc]]&lt;&gt;"",New_Xref[[#This Row],[Func Loc]],"NO MATCH")</f>
        <v>DN70MYHD .CYLI.JACD</v>
      </c>
      <c r="S1497" s="3" t="str">
        <f t="shared" si="162"/>
        <v>DN7011R1466Jack Leg Cylinder CS DE</v>
      </c>
      <c r="T1497" t="s">
        <v>5554</v>
      </c>
      <c r="U1497" t="s">
        <v>99</v>
      </c>
      <c r="V1497" t="str">
        <f t="shared" si="161"/>
        <v>79NMRR</v>
      </c>
    </row>
    <row r="1498" spans="1:22">
      <c r="A1498" t="s">
        <v>5465</v>
      </c>
      <c r="B1498" t="s">
        <v>5466</v>
      </c>
      <c r="C1498" t="s">
        <v>5548</v>
      </c>
      <c r="D1498" t="s">
        <v>5549</v>
      </c>
      <c r="E1498" t="s">
        <v>5550</v>
      </c>
      <c r="F1498" t="s">
        <v>27</v>
      </c>
      <c r="G1498">
        <v>1</v>
      </c>
      <c r="H1498" t="s">
        <v>5555</v>
      </c>
      <c r="I1498" t="s">
        <v>5556</v>
      </c>
      <c r="J1498" t="s">
        <v>5557</v>
      </c>
      <c r="K1498" t="s">
        <v>6081</v>
      </c>
      <c r="L1498" t="s">
        <v>6082</v>
      </c>
      <c r="M1498" s="1" t="str">
        <f t="shared" si="163"/>
        <v>21B311</v>
      </c>
      <c r="N1498" s="1" t="str">
        <f t="shared" si="164"/>
        <v>C/O</v>
      </c>
      <c r="O1498" s="1" t="str">
        <f t="shared" si="165"/>
        <v>Jack Leg Cylinder CS NDE</v>
      </c>
      <c r="P1498" s="1" t="str">
        <f t="shared" si="166"/>
        <v>DN70</v>
      </c>
      <c r="Q1498" s="2" t="str">
        <f t="shared" si="167"/>
        <v>DN70Jack Leg Cylinder CS NDE</v>
      </c>
      <c r="R1498" s="2" t="str">
        <f>New_Xref[[#This Row],[Serial Prefix]]&amp;IF(New_Xref[[#This Row],[Func Loc]]&lt;&gt;"",New_Xref[[#This Row],[Func Loc]],"NO MATCH")</f>
        <v>DN70MYHD .CYLI.JACN</v>
      </c>
      <c r="S1498" s="3" t="str">
        <f t="shared" si="162"/>
        <v>DN7011R1466Jack Leg Cylinder CS NDE</v>
      </c>
      <c r="T1498" t="s">
        <v>5554</v>
      </c>
      <c r="U1498" t="s">
        <v>92</v>
      </c>
      <c r="V1498" t="str">
        <f t="shared" si="161"/>
        <v>79NMRF</v>
      </c>
    </row>
    <row r="1499" spans="1:22">
      <c r="A1499" t="s">
        <v>5465</v>
      </c>
      <c r="B1499" t="s">
        <v>5466</v>
      </c>
      <c r="C1499" t="s">
        <v>5548</v>
      </c>
      <c r="D1499" t="s">
        <v>5549</v>
      </c>
      <c r="E1499" t="s">
        <v>5550</v>
      </c>
      <c r="F1499" t="s">
        <v>27</v>
      </c>
      <c r="G1499">
        <v>1</v>
      </c>
      <c r="H1499" t="s">
        <v>5551</v>
      </c>
      <c r="I1499" t="s">
        <v>5558</v>
      </c>
      <c r="J1499" t="s">
        <v>5559</v>
      </c>
      <c r="K1499" t="s">
        <v>6083</v>
      </c>
      <c r="L1499" t="s">
        <v>6084</v>
      </c>
      <c r="M1499" s="1" t="str">
        <f t="shared" si="163"/>
        <v>21B311</v>
      </c>
      <c r="N1499" s="1" t="str">
        <f t="shared" si="164"/>
        <v>C/O</v>
      </c>
      <c r="O1499" s="1" t="str">
        <f t="shared" si="165"/>
        <v>Jack Leg Cylinder NCS DE</v>
      </c>
      <c r="P1499" s="1" t="str">
        <f t="shared" si="166"/>
        <v>DN70</v>
      </c>
      <c r="Q1499" s="2" t="str">
        <f t="shared" si="167"/>
        <v>DN70Jack Leg Cylinder NCS DE</v>
      </c>
      <c r="R1499" s="2" t="str">
        <f>New_Xref[[#This Row],[Serial Prefix]]&amp;IF(New_Xref[[#This Row],[Func Loc]]&lt;&gt;"",New_Xref[[#This Row],[Func Loc]],"NO MATCH")</f>
        <v>DN70MYHD .CYLI.JADN</v>
      </c>
      <c r="S1499" s="3" t="str">
        <f t="shared" si="162"/>
        <v>DN7011R1466Jack Leg Cylinder NCS DE</v>
      </c>
      <c r="T1499" t="s">
        <v>5554</v>
      </c>
      <c r="U1499" t="s">
        <v>96</v>
      </c>
      <c r="V1499" t="str">
        <f t="shared" si="161"/>
        <v>79NMLR</v>
      </c>
    </row>
    <row r="1500" spans="1:22">
      <c r="A1500" t="s">
        <v>5465</v>
      </c>
      <c r="B1500" t="s">
        <v>5466</v>
      </c>
      <c r="C1500" t="s">
        <v>5548</v>
      </c>
      <c r="D1500" t="s">
        <v>5549</v>
      </c>
      <c r="E1500" t="s">
        <v>5550</v>
      </c>
      <c r="F1500" t="s">
        <v>27</v>
      </c>
      <c r="G1500">
        <v>1</v>
      </c>
      <c r="H1500" t="s">
        <v>5555</v>
      </c>
      <c r="I1500" t="s">
        <v>5560</v>
      </c>
      <c r="J1500" t="s">
        <v>5561</v>
      </c>
      <c r="K1500" t="s">
        <v>6085</v>
      </c>
      <c r="L1500" t="s">
        <v>6086</v>
      </c>
      <c r="M1500" s="1" t="str">
        <f t="shared" si="163"/>
        <v>21B311</v>
      </c>
      <c r="N1500" s="1" t="str">
        <f t="shared" si="164"/>
        <v>C/O</v>
      </c>
      <c r="O1500" s="1" t="str">
        <f t="shared" si="165"/>
        <v>Jack Leg Cylinder NCS NDE</v>
      </c>
      <c r="P1500" s="1" t="str">
        <f t="shared" si="166"/>
        <v>DN70</v>
      </c>
      <c r="Q1500" s="2" t="str">
        <f t="shared" si="167"/>
        <v>DN70Jack Leg Cylinder NCS NDE</v>
      </c>
      <c r="R1500" s="2" t="str">
        <f>New_Xref[[#This Row],[Serial Prefix]]&amp;IF(New_Xref[[#This Row],[Func Loc]]&lt;&gt;"",New_Xref[[#This Row],[Func Loc]],"NO MATCH")</f>
        <v>DN70MYHD .CYLI.JANN</v>
      </c>
      <c r="S1500" s="3" t="str">
        <f t="shared" si="162"/>
        <v>DN7011R1466Jack Leg Cylinder NCS NDE</v>
      </c>
      <c r="T1500" t="s">
        <v>5554</v>
      </c>
      <c r="U1500" t="s">
        <v>89</v>
      </c>
      <c r="V1500" t="str">
        <f t="shared" si="161"/>
        <v>79NMLF</v>
      </c>
    </row>
    <row r="1501" spans="1:22">
      <c r="A1501" t="s">
        <v>5654</v>
      </c>
      <c r="B1501" t="s">
        <v>5655</v>
      </c>
      <c r="C1501" t="s">
        <v>5548</v>
      </c>
      <c r="D1501" t="s">
        <v>5549</v>
      </c>
      <c r="E1501" t="s">
        <v>5550</v>
      </c>
      <c r="F1501" t="s">
        <v>27</v>
      </c>
      <c r="G1501">
        <v>1</v>
      </c>
      <c r="H1501" t="s">
        <v>5821</v>
      </c>
      <c r="I1501" t="s">
        <v>5822</v>
      </c>
      <c r="J1501" t="s">
        <v>5823</v>
      </c>
      <c r="K1501" t="s">
        <v>6087</v>
      </c>
      <c r="L1501" t="s">
        <v>6082</v>
      </c>
      <c r="M1501" s="1" t="str">
        <f t="shared" si="163"/>
        <v>21B290</v>
      </c>
      <c r="N1501" s="1" t="str">
        <f t="shared" si="164"/>
        <v>C/O</v>
      </c>
      <c r="O1501" s="1" t="str">
        <f t="shared" si="165"/>
        <v>Jack Leg Cylinder CS NDE</v>
      </c>
      <c r="P1501" s="1" t="str">
        <f t="shared" si="166"/>
        <v>DLK0</v>
      </c>
      <c r="Q1501" s="2" t="str">
        <f t="shared" si="167"/>
        <v>DLK0Jack Leg Cylinder CS NDE</v>
      </c>
      <c r="R1501" s="2" t="str">
        <f>New_Xref[[#This Row],[Serial Prefix]]&amp;IF(New_Xref[[#This Row],[Func Loc]]&lt;&gt;"",New_Xref[[#This Row],[Func Loc]],"NO MATCH")</f>
        <v>DLK0MYHD .CYLI.JACN</v>
      </c>
      <c r="S1501" s="3" t="str">
        <f t="shared" si="162"/>
        <v>DLK011R1466Jack Leg Cylinder CS NDE</v>
      </c>
      <c r="T1501" t="s">
        <v>5554</v>
      </c>
      <c r="U1501" t="s">
        <v>92</v>
      </c>
      <c r="V1501" t="str">
        <f t="shared" si="161"/>
        <v>79NMRF</v>
      </c>
    </row>
    <row r="1502" spans="1:22">
      <c r="A1502" t="s">
        <v>5654</v>
      </c>
      <c r="B1502" t="s">
        <v>5655</v>
      </c>
      <c r="C1502" t="s">
        <v>5548</v>
      </c>
      <c r="D1502" t="s">
        <v>5549</v>
      </c>
      <c r="E1502" t="s">
        <v>5550</v>
      </c>
      <c r="F1502" t="s">
        <v>27</v>
      </c>
      <c r="G1502">
        <v>1</v>
      </c>
      <c r="H1502" t="s">
        <v>5821</v>
      </c>
      <c r="I1502" t="s">
        <v>5824</v>
      </c>
      <c r="J1502" t="s">
        <v>5825</v>
      </c>
      <c r="K1502" t="s">
        <v>6088</v>
      </c>
      <c r="L1502" t="s">
        <v>6086</v>
      </c>
      <c r="M1502" s="1" t="str">
        <f t="shared" si="163"/>
        <v>21B290</v>
      </c>
      <c r="N1502" s="1" t="str">
        <f t="shared" si="164"/>
        <v>C/O</v>
      </c>
      <c r="O1502" s="1" t="str">
        <f t="shared" si="165"/>
        <v>Jack Leg Cylinder NCS NDE</v>
      </c>
      <c r="P1502" s="1" t="str">
        <f t="shared" si="166"/>
        <v>DLK0</v>
      </c>
      <c r="Q1502" s="2" t="str">
        <f t="shared" si="167"/>
        <v>DLK0Jack Leg Cylinder NCS NDE</v>
      </c>
      <c r="R1502" s="2" t="str">
        <f>New_Xref[[#This Row],[Serial Prefix]]&amp;IF(New_Xref[[#This Row],[Func Loc]]&lt;&gt;"",New_Xref[[#This Row],[Func Loc]],"NO MATCH")</f>
        <v>DLK0MYHD .CYLI.JANN</v>
      </c>
      <c r="S1502" s="3" t="str">
        <f t="shared" si="162"/>
        <v>DLK011R1466Jack Leg Cylinder NCS NDE</v>
      </c>
      <c r="T1502" t="s">
        <v>5554</v>
      </c>
      <c r="U1502" t="s">
        <v>89</v>
      </c>
      <c r="V1502" t="str">
        <f t="shared" si="161"/>
        <v>79NMLF</v>
      </c>
    </row>
    <row r="1503" spans="1:22">
      <c r="A1503" t="s">
        <v>5654</v>
      </c>
      <c r="B1503" t="s">
        <v>5655</v>
      </c>
      <c r="C1503" t="s">
        <v>5826</v>
      </c>
      <c r="D1503" t="s">
        <v>5827</v>
      </c>
      <c r="E1503" t="s">
        <v>5828</v>
      </c>
      <c r="F1503" t="s">
        <v>27</v>
      </c>
      <c r="G1503">
        <v>1</v>
      </c>
      <c r="H1503" t="s">
        <v>5829</v>
      </c>
      <c r="I1503" t="s">
        <v>5830</v>
      </c>
      <c r="J1503" t="s">
        <v>5831</v>
      </c>
      <c r="K1503" t="s">
        <v>6089</v>
      </c>
      <c r="L1503" t="s">
        <v>6080</v>
      </c>
      <c r="M1503" s="1" t="str">
        <f t="shared" si="163"/>
        <v>21B290</v>
      </c>
      <c r="N1503" s="1" t="str">
        <f t="shared" si="164"/>
        <v>C/O</v>
      </c>
      <c r="O1503" s="1" t="str">
        <f t="shared" si="165"/>
        <v>Jack Leg Cylinder CS DE</v>
      </c>
      <c r="P1503" s="1" t="str">
        <f t="shared" si="166"/>
        <v>DLK0</v>
      </c>
      <c r="Q1503" s="2" t="str">
        <f t="shared" si="167"/>
        <v>DLK0Jack Leg Cylinder CS DE</v>
      </c>
      <c r="R1503" s="2" t="str">
        <f>New_Xref[[#This Row],[Serial Prefix]]&amp;IF(New_Xref[[#This Row],[Func Loc]]&lt;&gt;"",New_Xref[[#This Row],[Func Loc]],"NO MATCH")</f>
        <v>DLK0MYHD .CYLI.JACD</v>
      </c>
      <c r="S1503" s="3" t="str">
        <f t="shared" si="162"/>
        <v>DLK011R1468Jack Leg Cylinder CS DE</v>
      </c>
      <c r="T1503" t="s">
        <v>5554</v>
      </c>
      <c r="U1503" t="s">
        <v>99</v>
      </c>
      <c r="V1503" t="str">
        <f t="shared" si="161"/>
        <v>79NMRR</v>
      </c>
    </row>
    <row r="1504" spans="1:22">
      <c r="A1504" t="s">
        <v>5654</v>
      </c>
      <c r="B1504" t="s">
        <v>5655</v>
      </c>
      <c r="C1504" t="s">
        <v>5826</v>
      </c>
      <c r="D1504" t="s">
        <v>5827</v>
      </c>
      <c r="E1504" t="s">
        <v>5828</v>
      </c>
      <c r="F1504" t="s">
        <v>27</v>
      </c>
      <c r="G1504">
        <v>1</v>
      </c>
      <c r="H1504" t="s">
        <v>5829</v>
      </c>
      <c r="I1504" t="s">
        <v>5832</v>
      </c>
      <c r="J1504" t="s">
        <v>5833</v>
      </c>
      <c r="K1504" t="s">
        <v>6090</v>
      </c>
      <c r="L1504" t="s">
        <v>6084</v>
      </c>
      <c r="M1504" s="1" t="str">
        <f t="shared" si="163"/>
        <v>21B290</v>
      </c>
      <c r="N1504" s="1" t="str">
        <f t="shared" si="164"/>
        <v>C/O</v>
      </c>
      <c r="O1504" s="1" t="str">
        <f t="shared" si="165"/>
        <v>Jack Leg Cylinder NCS DE</v>
      </c>
      <c r="P1504" s="1" t="str">
        <f t="shared" si="166"/>
        <v>DLK0</v>
      </c>
      <c r="Q1504" s="2" t="str">
        <f t="shared" si="167"/>
        <v>DLK0Jack Leg Cylinder NCS DE</v>
      </c>
      <c r="R1504" s="2" t="str">
        <f>New_Xref[[#This Row],[Serial Prefix]]&amp;IF(New_Xref[[#This Row],[Func Loc]]&lt;&gt;"",New_Xref[[#This Row],[Func Loc]],"NO MATCH")</f>
        <v>DLK0MYHD .CYLI.JADN</v>
      </c>
      <c r="S1504" s="3" t="str">
        <f t="shared" si="162"/>
        <v>DLK011R1468Jack Leg Cylinder NCS DE</v>
      </c>
      <c r="T1504" t="s">
        <v>5554</v>
      </c>
      <c r="U1504" t="s">
        <v>96</v>
      </c>
      <c r="V1504" t="str">
        <f t="shared" si="161"/>
        <v>79NMLR</v>
      </c>
    </row>
    <row r="1505" spans="1:22">
      <c r="A1505" t="s">
        <v>5890</v>
      </c>
      <c r="B1505" t="s">
        <v>5899</v>
      </c>
      <c r="C1505" t="s">
        <v>5826</v>
      </c>
      <c r="D1505" t="s">
        <v>5827</v>
      </c>
      <c r="E1505" t="s">
        <v>5828</v>
      </c>
      <c r="F1505" t="s">
        <v>27</v>
      </c>
      <c r="G1505">
        <v>1</v>
      </c>
      <c r="H1505" t="s">
        <v>5973</v>
      </c>
      <c r="I1505" t="s">
        <v>5974</v>
      </c>
      <c r="J1505" t="s">
        <v>5975</v>
      </c>
      <c r="K1505" t="s">
        <v>6091</v>
      </c>
      <c r="L1505" t="s">
        <v>6082</v>
      </c>
      <c r="M1505" s="1" t="str">
        <f t="shared" si="163"/>
        <v>21H219</v>
      </c>
      <c r="N1505" s="1" t="str">
        <f t="shared" si="164"/>
        <v>C/O</v>
      </c>
      <c r="O1505" s="1" t="str">
        <f t="shared" si="165"/>
        <v>Jack Leg Cylinder CS NDE</v>
      </c>
      <c r="P1505" s="1" t="str">
        <f t="shared" si="166"/>
        <v>DT20</v>
      </c>
      <c r="Q1505" s="2" t="str">
        <f t="shared" si="167"/>
        <v>DT20Jack Leg Cylinder CS NDE</v>
      </c>
      <c r="R1505" s="2" t="str">
        <f>New_Xref[[#This Row],[Serial Prefix]]&amp;IF(New_Xref[[#This Row],[Func Loc]]&lt;&gt;"",New_Xref[[#This Row],[Func Loc]],"NO MATCH")</f>
        <v>DT20MYHD .CYLI.JACN</v>
      </c>
      <c r="S1505" s="3" t="str">
        <f t="shared" si="162"/>
        <v>DT2011R1468Jack Leg Cylinder CS NDE</v>
      </c>
      <c r="T1505" t="s">
        <v>5554</v>
      </c>
      <c r="U1505" t="s">
        <v>92</v>
      </c>
      <c r="V1505" t="str">
        <f t="shared" si="161"/>
        <v>79NMRF</v>
      </c>
    </row>
    <row r="1506" spans="1:22">
      <c r="A1506" t="s">
        <v>5890</v>
      </c>
      <c r="B1506" t="s">
        <v>5905</v>
      </c>
      <c r="C1506" t="s">
        <v>5548</v>
      </c>
      <c r="D1506" t="s">
        <v>5549</v>
      </c>
      <c r="E1506" t="s">
        <v>5550</v>
      </c>
      <c r="F1506" t="s">
        <v>27</v>
      </c>
      <c r="G1506">
        <v>1</v>
      </c>
      <c r="H1506" t="s">
        <v>5976</v>
      </c>
      <c r="I1506" t="s">
        <v>5977</v>
      </c>
      <c r="J1506" t="s">
        <v>5978</v>
      </c>
      <c r="K1506" t="s">
        <v>6092</v>
      </c>
      <c r="L1506" t="s">
        <v>6080</v>
      </c>
      <c r="M1506" s="1" t="str">
        <f t="shared" si="163"/>
        <v>21D08</v>
      </c>
      <c r="N1506" s="1" t="str">
        <f t="shared" si="164"/>
        <v>C/O</v>
      </c>
      <c r="O1506" s="1" t="str">
        <f t="shared" si="165"/>
        <v>Jack Leg Cylinder CS DE</v>
      </c>
      <c r="P1506" s="1" t="str">
        <f t="shared" si="166"/>
        <v>DT20</v>
      </c>
      <c r="Q1506" s="2" t="str">
        <f t="shared" si="167"/>
        <v>DT20Jack Leg Cylinder CS DE</v>
      </c>
      <c r="R1506" s="2" t="str">
        <f>New_Xref[[#This Row],[Serial Prefix]]&amp;IF(New_Xref[[#This Row],[Func Loc]]&lt;&gt;"",New_Xref[[#This Row],[Func Loc]],"NO MATCH")</f>
        <v>DT20MYHD .CYLI.JACD</v>
      </c>
      <c r="S1506" s="3" t="str">
        <f t="shared" si="162"/>
        <v>DT2011R1466Jack Leg Cylinder CS DE</v>
      </c>
      <c r="T1506" t="s">
        <v>5554</v>
      </c>
      <c r="U1506" t="s">
        <v>99</v>
      </c>
      <c r="V1506" t="str">
        <f t="shared" si="161"/>
        <v>79NMRR</v>
      </c>
    </row>
    <row r="1507" spans="1:22">
      <c r="A1507" t="s">
        <v>5890</v>
      </c>
      <c r="B1507" t="s">
        <v>5905</v>
      </c>
      <c r="C1507" t="s">
        <v>5548</v>
      </c>
      <c r="D1507" t="s">
        <v>5549</v>
      </c>
      <c r="E1507" t="s">
        <v>5550</v>
      </c>
      <c r="F1507" t="s">
        <v>27</v>
      </c>
      <c r="G1507">
        <v>1</v>
      </c>
      <c r="H1507" t="s">
        <v>5976</v>
      </c>
      <c r="I1507" t="s">
        <v>5979</v>
      </c>
      <c r="J1507" t="s">
        <v>5980</v>
      </c>
      <c r="K1507" t="s">
        <v>6093</v>
      </c>
      <c r="L1507" t="s">
        <v>6084</v>
      </c>
      <c r="M1507" s="1" t="str">
        <f t="shared" si="163"/>
        <v>21D08</v>
      </c>
      <c r="N1507" s="1" t="str">
        <f t="shared" si="164"/>
        <v>C/O</v>
      </c>
      <c r="O1507" s="1" t="str">
        <f t="shared" si="165"/>
        <v>Jack Leg Cylinder NCS DE</v>
      </c>
      <c r="P1507" s="1" t="str">
        <f t="shared" si="166"/>
        <v>DT20</v>
      </c>
      <c r="Q1507" s="2" t="str">
        <f t="shared" si="167"/>
        <v>DT20Jack Leg Cylinder NCS DE</v>
      </c>
      <c r="R1507" s="2" t="str">
        <f>New_Xref[[#This Row],[Serial Prefix]]&amp;IF(New_Xref[[#This Row],[Func Loc]]&lt;&gt;"",New_Xref[[#This Row],[Func Loc]],"NO MATCH")</f>
        <v>DT20MYHD .CYLI.JADN</v>
      </c>
      <c r="S1507" s="3" t="str">
        <f t="shared" si="162"/>
        <v>DT2011R1466Jack Leg Cylinder NCS DE</v>
      </c>
      <c r="T1507" t="s">
        <v>5554</v>
      </c>
      <c r="U1507" t="s">
        <v>96</v>
      </c>
      <c r="V1507" t="str">
        <f t="shared" si="161"/>
        <v>79NMLR</v>
      </c>
    </row>
    <row r="1508" spans="1:22">
      <c r="A1508" t="s">
        <v>5890</v>
      </c>
      <c r="B1508" t="s">
        <v>5891</v>
      </c>
      <c r="C1508" t="s">
        <v>5826</v>
      </c>
      <c r="D1508" t="s">
        <v>5827</v>
      </c>
      <c r="E1508" t="s">
        <v>5828</v>
      </c>
      <c r="F1508" t="s">
        <v>27</v>
      </c>
      <c r="G1508">
        <v>1</v>
      </c>
      <c r="H1508" t="s">
        <v>5973</v>
      </c>
      <c r="I1508" t="s">
        <v>5982</v>
      </c>
      <c r="J1508" t="s">
        <v>5983</v>
      </c>
      <c r="K1508" t="s">
        <v>6094</v>
      </c>
      <c r="L1508" t="s">
        <v>6086</v>
      </c>
      <c r="M1508" s="1" t="str">
        <f t="shared" si="163"/>
        <v>21R235</v>
      </c>
      <c r="N1508" s="1" t="str">
        <f t="shared" si="164"/>
        <v>C/O</v>
      </c>
      <c r="O1508" s="1" t="str">
        <f t="shared" si="165"/>
        <v>Jack Leg Cylinder NCS NDE</v>
      </c>
      <c r="P1508" s="1" t="str">
        <f t="shared" si="166"/>
        <v>DT20</v>
      </c>
      <c r="Q1508" s="2" t="str">
        <f t="shared" si="167"/>
        <v>DT20Jack Leg Cylinder NCS NDE</v>
      </c>
      <c r="R1508" s="2" t="str">
        <f>New_Xref[[#This Row],[Serial Prefix]]&amp;IF(New_Xref[[#This Row],[Func Loc]]&lt;&gt;"",New_Xref[[#This Row],[Func Loc]],"NO MATCH")</f>
        <v>DT20MYHD .CYLI.JANN</v>
      </c>
      <c r="S1508" s="3" t="str">
        <f t="shared" si="162"/>
        <v>DT2011R1468Jack Leg Cylinder NCS NDE</v>
      </c>
      <c r="T1508" t="s">
        <v>5554</v>
      </c>
      <c r="U1508" t="s">
        <v>89</v>
      </c>
      <c r="V1508" t="str">
        <f t="shared" si="161"/>
        <v>79NMLF</v>
      </c>
    </row>
    <row r="1509" spans="1:22">
      <c r="A1509" t="s">
        <v>3333</v>
      </c>
      <c r="B1509" t="s">
        <v>3334</v>
      </c>
      <c r="I1509" t="s">
        <v>6095</v>
      </c>
      <c r="K1509" t="s">
        <v>6095</v>
      </c>
      <c r="L1509" t="s">
        <v>510</v>
      </c>
      <c r="M1509" s="1" t="str">
        <f t="shared" si="163"/>
        <v>06B352</v>
      </c>
      <c r="N1509" s="1" t="str">
        <f t="shared" si="164"/>
        <v>C/O</v>
      </c>
      <c r="O1509" s="1" t="str">
        <f t="shared" si="165"/>
        <v>Suspension LHF</v>
      </c>
      <c r="P1509" s="1" t="str">
        <f t="shared" si="166"/>
        <v>RBT0</v>
      </c>
      <c r="Q1509" s="2" t="str">
        <f t="shared" si="167"/>
        <v>RBT0Suspension LHF</v>
      </c>
      <c r="R1509" s="2" t="str">
        <f>New_Xref[[#This Row],[Serial Prefix]]&amp;IF(New_Xref[[#This Row],[Func Loc]]&lt;&gt;"",New_Xref[[#This Row],[Func Loc]],"NO MATCH")</f>
        <v>RBT0STRU .SUGR.SULF</v>
      </c>
      <c r="S1509" s="3" t="str">
        <f t="shared" si="162"/>
        <v>RBT0Suspension LHF</v>
      </c>
      <c r="T1509" t="s">
        <v>511</v>
      </c>
      <c r="U1509" t="s">
        <v>89</v>
      </c>
      <c r="V1509" t="str">
        <f t="shared" si="161"/>
        <v>7201LF</v>
      </c>
    </row>
    <row r="1510" spans="1:22">
      <c r="A1510" t="s">
        <v>3333</v>
      </c>
      <c r="B1510" t="s">
        <v>3334</v>
      </c>
      <c r="I1510" t="s">
        <v>6096</v>
      </c>
      <c r="K1510" t="s">
        <v>6096</v>
      </c>
      <c r="L1510" t="s">
        <v>514</v>
      </c>
      <c r="M1510" s="1" t="str">
        <f t="shared" si="163"/>
        <v>06B352</v>
      </c>
      <c r="N1510" s="1" t="str">
        <f t="shared" si="164"/>
        <v>C/O</v>
      </c>
      <c r="O1510" s="1" t="str">
        <f t="shared" si="165"/>
        <v>Suspension RHF</v>
      </c>
      <c r="P1510" s="1" t="str">
        <f t="shared" si="166"/>
        <v>RBT0</v>
      </c>
      <c r="Q1510" s="2" t="str">
        <f t="shared" si="167"/>
        <v>RBT0Suspension RHF</v>
      </c>
      <c r="R1510" s="2" t="str">
        <f>New_Xref[[#This Row],[Serial Prefix]]&amp;IF(New_Xref[[#This Row],[Func Loc]]&lt;&gt;"",New_Xref[[#This Row],[Func Loc]],"NO MATCH")</f>
        <v>RBT0STRU .SUGR.SURF</v>
      </c>
      <c r="S1510" s="3" t="str">
        <f t="shared" si="162"/>
        <v>RBT0Suspension RHF</v>
      </c>
      <c r="T1510" t="s">
        <v>511</v>
      </c>
      <c r="U1510" t="s">
        <v>92</v>
      </c>
      <c r="V1510" t="str">
        <f t="shared" si="161"/>
        <v>7201RF</v>
      </c>
    </row>
    <row r="1511" spans="1:22">
      <c r="A1511" t="s">
        <v>3333</v>
      </c>
      <c r="B1511" t="s">
        <v>6097</v>
      </c>
      <c r="I1511" t="s">
        <v>6098</v>
      </c>
      <c r="K1511" t="s">
        <v>6098</v>
      </c>
      <c r="L1511" t="s">
        <v>520</v>
      </c>
      <c r="M1511" s="1" t="str">
        <f t="shared" si="163"/>
        <v>06H542</v>
      </c>
      <c r="N1511" s="1" t="str">
        <f t="shared" si="164"/>
        <v>C/O</v>
      </c>
      <c r="O1511" s="1" t="str">
        <f t="shared" si="165"/>
        <v>Suspension LHR</v>
      </c>
      <c r="P1511" s="1" t="str">
        <f t="shared" si="166"/>
        <v>SSP0</v>
      </c>
      <c r="Q1511" s="2" t="str">
        <f t="shared" si="167"/>
        <v>SSP0Suspension LHR</v>
      </c>
      <c r="R1511" s="2" t="str">
        <f>New_Xref[[#This Row],[Serial Prefix]]&amp;IF(New_Xref[[#This Row],[Func Loc]]&lt;&gt;"",New_Xref[[#This Row],[Func Loc]],"NO MATCH")</f>
        <v>SSP0STRU .SUGR.SULB</v>
      </c>
      <c r="S1511" s="3" t="str">
        <f t="shared" si="162"/>
        <v>SSP0Suspension LHR</v>
      </c>
      <c r="T1511" t="s">
        <v>521</v>
      </c>
      <c r="U1511" t="s">
        <v>96</v>
      </c>
      <c r="V1511" t="str">
        <f t="shared" si="161"/>
        <v>7213LR</v>
      </c>
    </row>
    <row r="1512" spans="1:22">
      <c r="A1512" t="s">
        <v>3333</v>
      </c>
      <c r="B1512" t="s">
        <v>6097</v>
      </c>
      <c r="I1512" t="s">
        <v>6099</v>
      </c>
      <c r="K1512" t="s">
        <v>6099</v>
      </c>
      <c r="L1512" t="s">
        <v>525</v>
      </c>
      <c r="M1512" s="1" t="str">
        <f t="shared" si="163"/>
        <v>06H542</v>
      </c>
      <c r="N1512" s="1" t="str">
        <f t="shared" si="164"/>
        <v>C/O</v>
      </c>
      <c r="O1512" s="1" t="str">
        <f t="shared" si="165"/>
        <v>Suspension RHR</v>
      </c>
      <c r="P1512" s="1" t="str">
        <f t="shared" si="166"/>
        <v>SSP0</v>
      </c>
      <c r="Q1512" s="2" t="str">
        <f t="shared" si="167"/>
        <v>SSP0Suspension RHR</v>
      </c>
      <c r="R1512" s="2" t="str">
        <f>New_Xref[[#This Row],[Serial Prefix]]&amp;IF(New_Xref[[#This Row],[Func Loc]]&lt;&gt;"",New_Xref[[#This Row],[Func Loc]],"NO MATCH")</f>
        <v>SSP0STRU .SUGR.SURB</v>
      </c>
      <c r="S1512" s="3" t="str">
        <f t="shared" si="162"/>
        <v>SSP0Suspension RHR</v>
      </c>
      <c r="T1512" t="s">
        <v>521</v>
      </c>
      <c r="U1512" t="s">
        <v>99</v>
      </c>
      <c r="V1512" t="str">
        <f t="shared" si="161"/>
        <v>7213RR</v>
      </c>
    </row>
    <row r="1513" spans="1:22">
      <c r="A1513" t="s">
        <v>3333</v>
      </c>
      <c r="B1513" t="s">
        <v>6097</v>
      </c>
      <c r="I1513" t="s">
        <v>6100</v>
      </c>
      <c r="K1513" t="s">
        <v>6100</v>
      </c>
      <c r="L1513" t="s">
        <v>510</v>
      </c>
      <c r="M1513" s="1" t="str">
        <f t="shared" si="163"/>
        <v>06H542</v>
      </c>
      <c r="N1513" s="1" t="str">
        <f t="shared" si="164"/>
        <v>C/O</v>
      </c>
      <c r="O1513" s="1" t="str">
        <f t="shared" si="165"/>
        <v>Suspension LHF</v>
      </c>
      <c r="P1513" s="1" t="str">
        <f t="shared" si="166"/>
        <v>SSP0</v>
      </c>
      <c r="Q1513" s="2" t="str">
        <f t="shared" si="167"/>
        <v>SSP0Suspension LHF</v>
      </c>
      <c r="R1513" s="2" t="str">
        <f>New_Xref[[#This Row],[Serial Prefix]]&amp;IF(New_Xref[[#This Row],[Func Loc]]&lt;&gt;"",New_Xref[[#This Row],[Func Loc]],"NO MATCH")</f>
        <v>SSP0STRU .SUGR.SULF</v>
      </c>
      <c r="S1513" s="3" t="str">
        <f t="shared" si="162"/>
        <v>SSP0Suspension LHF</v>
      </c>
      <c r="T1513" t="s">
        <v>511</v>
      </c>
      <c r="U1513" t="s">
        <v>89</v>
      </c>
      <c r="V1513" t="str">
        <f t="shared" si="161"/>
        <v>7201LF</v>
      </c>
    </row>
    <row r="1514" spans="1:22">
      <c r="A1514" t="s">
        <v>3333</v>
      </c>
      <c r="B1514" t="s">
        <v>6097</v>
      </c>
      <c r="I1514" t="s">
        <v>6101</v>
      </c>
      <c r="K1514" t="s">
        <v>6101</v>
      </c>
      <c r="L1514" t="s">
        <v>514</v>
      </c>
      <c r="M1514" s="1" t="str">
        <f t="shared" si="163"/>
        <v>06H542</v>
      </c>
      <c r="N1514" s="1" t="str">
        <f t="shared" si="164"/>
        <v>C/O</v>
      </c>
      <c r="O1514" s="1" t="str">
        <f t="shared" si="165"/>
        <v>Suspension RHF</v>
      </c>
      <c r="P1514" s="1" t="str">
        <f t="shared" si="166"/>
        <v>SSP0</v>
      </c>
      <c r="Q1514" s="2" t="str">
        <f t="shared" si="167"/>
        <v>SSP0Suspension RHF</v>
      </c>
      <c r="R1514" s="2" t="str">
        <f>New_Xref[[#This Row],[Serial Prefix]]&amp;IF(New_Xref[[#This Row],[Func Loc]]&lt;&gt;"",New_Xref[[#This Row],[Func Loc]],"NO MATCH")</f>
        <v>SSP0STRU .SUGR.SURF</v>
      </c>
      <c r="S1514" s="3" t="str">
        <f t="shared" si="162"/>
        <v>SSP0Suspension RHF</v>
      </c>
      <c r="T1514" t="s">
        <v>511</v>
      </c>
      <c r="U1514" t="s">
        <v>92</v>
      </c>
      <c r="V1514" t="str">
        <f t="shared" si="161"/>
        <v>7201RF</v>
      </c>
    </row>
    <row r="1515" spans="1:22">
      <c r="A1515" t="s">
        <v>6043</v>
      </c>
      <c r="B1515" t="s">
        <v>6044</v>
      </c>
      <c r="I1515" t="s">
        <v>6102</v>
      </c>
      <c r="K1515" t="s">
        <v>6102</v>
      </c>
      <c r="L1515" t="s">
        <v>520</v>
      </c>
      <c r="M1515" s="1" t="str">
        <f t="shared" si="163"/>
        <v>06H463</v>
      </c>
      <c r="N1515" s="1" t="str">
        <f t="shared" si="164"/>
        <v>C/O</v>
      </c>
      <c r="O1515" s="1" t="str">
        <f t="shared" si="165"/>
        <v>Suspension LHR</v>
      </c>
      <c r="P1515" s="1" t="str">
        <f t="shared" si="166"/>
        <v>TWN0</v>
      </c>
      <c r="Q1515" s="2" t="str">
        <f t="shared" si="167"/>
        <v>TWN0Suspension LHR</v>
      </c>
      <c r="R1515" s="2" t="str">
        <f>New_Xref[[#This Row],[Serial Prefix]]&amp;IF(New_Xref[[#This Row],[Func Loc]]&lt;&gt;"",New_Xref[[#This Row],[Func Loc]],"NO MATCH")</f>
        <v>TWN0STRU .SUGR.SULB</v>
      </c>
      <c r="S1515" s="3" t="str">
        <f t="shared" si="162"/>
        <v>TWN0Suspension LHR</v>
      </c>
      <c r="T1515" t="s">
        <v>521</v>
      </c>
      <c r="U1515" t="s">
        <v>96</v>
      </c>
      <c r="V1515" t="str">
        <f t="shared" si="161"/>
        <v>7213LR</v>
      </c>
    </row>
    <row r="1516" spans="1:22">
      <c r="A1516" t="s">
        <v>6043</v>
      </c>
      <c r="B1516" t="s">
        <v>6044</v>
      </c>
      <c r="I1516" t="s">
        <v>6103</v>
      </c>
      <c r="K1516" t="s">
        <v>6103</v>
      </c>
      <c r="L1516" t="s">
        <v>525</v>
      </c>
      <c r="M1516" s="1" t="str">
        <f t="shared" si="163"/>
        <v>06H463</v>
      </c>
      <c r="N1516" s="1" t="str">
        <f t="shared" si="164"/>
        <v>C/O</v>
      </c>
      <c r="O1516" s="1" t="str">
        <f t="shared" si="165"/>
        <v>Suspension RHR</v>
      </c>
      <c r="P1516" s="1" t="str">
        <f t="shared" si="166"/>
        <v>TWN0</v>
      </c>
      <c r="Q1516" s="2" t="str">
        <f t="shared" si="167"/>
        <v>TWN0Suspension RHR</v>
      </c>
      <c r="R1516" s="2" t="str">
        <f>New_Xref[[#This Row],[Serial Prefix]]&amp;IF(New_Xref[[#This Row],[Func Loc]]&lt;&gt;"",New_Xref[[#This Row],[Func Loc]],"NO MATCH")</f>
        <v>TWN0STRU .SUGR.SURB</v>
      </c>
      <c r="S1516" s="3" t="str">
        <f t="shared" si="162"/>
        <v>TWN0Suspension RHR</v>
      </c>
      <c r="T1516" t="s">
        <v>521</v>
      </c>
      <c r="U1516" t="s">
        <v>99</v>
      </c>
      <c r="V1516" t="str">
        <f t="shared" si="161"/>
        <v>7213RR</v>
      </c>
    </row>
    <row r="1517" spans="1:22">
      <c r="A1517" t="s">
        <v>6043</v>
      </c>
      <c r="B1517" t="s">
        <v>6044</v>
      </c>
      <c r="I1517" t="s">
        <v>6104</v>
      </c>
      <c r="K1517" t="s">
        <v>6104</v>
      </c>
      <c r="L1517" t="s">
        <v>510</v>
      </c>
      <c r="M1517" s="1" t="str">
        <f t="shared" si="163"/>
        <v>06H463</v>
      </c>
      <c r="N1517" s="1" t="str">
        <f t="shared" si="164"/>
        <v>C/O</v>
      </c>
      <c r="O1517" s="1" t="str">
        <f t="shared" si="165"/>
        <v>Suspension LHF</v>
      </c>
      <c r="P1517" s="1" t="str">
        <f t="shared" si="166"/>
        <v>TWN0</v>
      </c>
      <c r="Q1517" s="2" t="str">
        <f t="shared" si="167"/>
        <v>TWN0Suspension LHF</v>
      </c>
      <c r="R1517" s="2" t="str">
        <f>New_Xref[[#This Row],[Serial Prefix]]&amp;IF(New_Xref[[#This Row],[Func Loc]]&lt;&gt;"",New_Xref[[#This Row],[Func Loc]],"NO MATCH")</f>
        <v>TWN0STRU .SUGR.SULF</v>
      </c>
      <c r="S1517" s="3" t="str">
        <f t="shared" si="162"/>
        <v>TWN0Suspension LHF</v>
      </c>
      <c r="T1517" t="s">
        <v>511</v>
      </c>
      <c r="U1517" t="s">
        <v>89</v>
      </c>
      <c r="V1517" t="str">
        <f t="shared" si="161"/>
        <v>7201LF</v>
      </c>
    </row>
    <row r="1518" spans="1:22">
      <c r="A1518" t="s">
        <v>6043</v>
      </c>
      <c r="B1518" t="s">
        <v>6044</v>
      </c>
      <c r="I1518" t="s">
        <v>6105</v>
      </c>
      <c r="K1518" t="s">
        <v>6105</v>
      </c>
      <c r="L1518" t="s">
        <v>514</v>
      </c>
      <c r="M1518" s="1" t="str">
        <f t="shared" si="163"/>
        <v>06H463</v>
      </c>
      <c r="N1518" s="1" t="str">
        <f t="shared" si="164"/>
        <v>C/O</v>
      </c>
      <c r="O1518" s="1" t="str">
        <f t="shared" si="165"/>
        <v>Suspension RHF</v>
      </c>
      <c r="P1518" s="1" t="str">
        <f t="shared" si="166"/>
        <v>TWN0</v>
      </c>
      <c r="Q1518" s="2" t="str">
        <f t="shared" si="167"/>
        <v>TWN0Suspension RHF</v>
      </c>
      <c r="R1518" s="2" t="str">
        <f>New_Xref[[#This Row],[Serial Prefix]]&amp;IF(New_Xref[[#This Row],[Func Loc]]&lt;&gt;"",New_Xref[[#This Row],[Func Loc]],"NO MATCH")</f>
        <v>TWN0STRU .SUGR.SURF</v>
      </c>
      <c r="S1518" s="3" t="str">
        <f t="shared" si="162"/>
        <v>TWN0Suspension RHF</v>
      </c>
      <c r="T1518" t="s">
        <v>511</v>
      </c>
      <c r="U1518" t="s">
        <v>92</v>
      </c>
      <c r="V1518" t="str">
        <f t="shared" si="161"/>
        <v>7201RF</v>
      </c>
    </row>
    <row r="1519" spans="1:22">
      <c r="A1519" t="s">
        <v>708</v>
      </c>
      <c r="B1519" t="s">
        <v>771</v>
      </c>
      <c r="I1519" t="s">
        <v>6106</v>
      </c>
      <c r="K1519" t="s">
        <v>6106</v>
      </c>
      <c r="L1519" t="s">
        <v>6107</v>
      </c>
      <c r="M1519" s="1" t="str">
        <f t="shared" si="163"/>
        <v>06H508</v>
      </c>
      <c r="N1519" s="1" t="str">
        <f t="shared" si="164"/>
        <v>C/O</v>
      </c>
      <c r="O1519" s="1" t="str">
        <f t="shared" si="165"/>
        <v>Final Drive LH Centre</v>
      </c>
      <c r="P1519" s="1" t="str">
        <f t="shared" si="166"/>
        <v>KZ00</v>
      </c>
      <c r="Q1519" s="2" t="str">
        <f t="shared" si="167"/>
        <v>KZ00Final Drive LH Centre</v>
      </c>
      <c r="R1519" s="2" t="str">
        <f>New_Xref[[#This Row],[Serial Prefix]]&amp;IF(New_Xref[[#This Row],[Func Loc]]&lt;&gt;"",New_Xref[[#This Row],[Func Loc]],"NO MATCH")</f>
        <v>KZ00FDRV .AXAC.FDLH</v>
      </c>
      <c r="S1519" s="3" t="str">
        <f t="shared" si="162"/>
        <v>KZ00Final Drive LH Centre</v>
      </c>
      <c r="T1519" t="s">
        <v>2105</v>
      </c>
      <c r="U1519" t="s">
        <v>89</v>
      </c>
      <c r="V1519" t="str">
        <f t="shared" si="161"/>
        <v>4008LF</v>
      </c>
    </row>
    <row r="1520" spans="1:22">
      <c r="A1520" t="s">
        <v>708</v>
      </c>
      <c r="B1520" t="s">
        <v>771</v>
      </c>
      <c r="I1520" t="s">
        <v>6108</v>
      </c>
      <c r="K1520" t="s">
        <v>6108</v>
      </c>
      <c r="L1520" t="s">
        <v>6109</v>
      </c>
      <c r="M1520" s="1" t="str">
        <f t="shared" si="163"/>
        <v>06H508</v>
      </c>
      <c r="N1520" s="1" t="str">
        <f t="shared" si="164"/>
        <v>C/O</v>
      </c>
      <c r="O1520" s="1" t="str">
        <f t="shared" si="165"/>
        <v>Final Drive RH Centre</v>
      </c>
      <c r="P1520" s="1" t="str">
        <f t="shared" si="166"/>
        <v>KZ00</v>
      </c>
      <c r="Q1520" s="2" t="str">
        <f t="shared" si="167"/>
        <v>KZ00Final Drive RH Centre</v>
      </c>
      <c r="R1520" s="2" t="str">
        <f>New_Xref[[#This Row],[Serial Prefix]]&amp;IF(New_Xref[[#This Row],[Func Loc]]&lt;&gt;"",New_Xref[[#This Row],[Func Loc]],"NO MATCH")</f>
        <v>KZ00FDRV .AXAC.FDRH</v>
      </c>
      <c r="S1520" s="3" t="str">
        <f t="shared" si="162"/>
        <v>KZ00Final Drive RH Centre</v>
      </c>
      <c r="T1520" t="s">
        <v>2105</v>
      </c>
      <c r="U1520" t="s">
        <v>92</v>
      </c>
      <c r="V1520" t="str">
        <f t="shared" si="161"/>
        <v>4008RF</v>
      </c>
    </row>
    <row r="1521" spans="1:22">
      <c r="A1521" t="s">
        <v>708</v>
      </c>
      <c r="B1521" t="s">
        <v>771</v>
      </c>
      <c r="I1521" t="s">
        <v>6110</v>
      </c>
      <c r="K1521" t="s">
        <v>6110</v>
      </c>
      <c r="L1521" t="s">
        <v>1608</v>
      </c>
      <c r="M1521" s="1" t="str">
        <f t="shared" si="163"/>
        <v>06H508</v>
      </c>
      <c r="N1521" s="1" t="str">
        <f t="shared" si="164"/>
        <v>C/O</v>
      </c>
      <c r="O1521" s="1" t="str">
        <f t="shared" si="165"/>
        <v>Final Drive RHR</v>
      </c>
      <c r="P1521" s="1" t="str">
        <f t="shared" si="166"/>
        <v>KZ00</v>
      </c>
      <c r="Q1521" s="2" t="str">
        <f t="shared" si="167"/>
        <v>KZ00Final Drive RHR</v>
      </c>
      <c r="R1521" s="2" t="str">
        <f>New_Xref[[#This Row],[Serial Prefix]]&amp;IF(New_Xref[[#This Row],[Func Loc]]&lt;&gt;"",New_Xref[[#This Row],[Func Loc]],"NO MATCH")</f>
        <v>KZ00FDRV .AXAR.FDRH</v>
      </c>
      <c r="S1521" s="3" t="str">
        <f t="shared" si="162"/>
        <v>KZ00Final Drive RHR</v>
      </c>
      <c r="T1521" t="s">
        <v>2105</v>
      </c>
      <c r="U1521" t="s">
        <v>99</v>
      </c>
      <c r="V1521" t="str">
        <f t="shared" si="161"/>
        <v>4008RR</v>
      </c>
    </row>
    <row r="1522" spans="1:22">
      <c r="A1522" t="s">
        <v>708</v>
      </c>
      <c r="B1522" t="s">
        <v>795</v>
      </c>
      <c r="I1522" t="s">
        <v>6111</v>
      </c>
      <c r="K1522" t="s">
        <v>6111</v>
      </c>
      <c r="L1522" t="s">
        <v>1605</v>
      </c>
      <c r="M1522" s="1" t="str">
        <f t="shared" si="163"/>
        <v>06H508</v>
      </c>
      <c r="N1522" s="1" t="str">
        <f t="shared" si="164"/>
        <v>C/O</v>
      </c>
      <c r="O1522" s="1" t="str">
        <f t="shared" si="165"/>
        <v>Final Drive LHR</v>
      </c>
      <c r="P1522" s="1" t="str">
        <f t="shared" si="166"/>
        <v>KZ00</v>
      </c>
      <c r="Q1522" s="2" t="str">
        <f t="shared" si="167"/>
        <v>KZ00Final Drive LHR</v>
      </c>
      <c r="R1522" s="2" t="str">
        <f>New_Xref[[#This Row],[Serial Prefix]]&amp;IF(New_Xref[[#This Row],[Func Loc]]&lt;&gt;"",New_Xref[[#This Row],[Func Loc]],"NO MATCH")</f>
        <v>KZ00FDRV .AXAR.FDLH</v>
      </c>
      <c r="S1522" s="3" t="str">
        <f t="shared" si="162"/>
        <v>KZ00Final Drive LHR</v>
      </c>
      <c r="T1522" t="s">
        <v>2105</v>
      </c>
      <c r="U1522" t="s">
        <v>96</v>
      </c>
      <c r="V1522" t="str">
        <f t="shared" si="161"/>
        <v>4008LR</v>
      </c>
    </row>
    <row r="1523" spans="1:22">
      <c r="A1523" t="s">
        <v>643</v>
      </c>
      <c r="B1523" t="s">
        <v>644</v>
      </c>
      <c r="I1523" t="s">
        <v>6112</v>
      </c>
      <c r="K1523" t="s">
        <v>6112</v>
      </c>
      <c r="L1523" t="s">
        <v>4462</v>
      </c>
      <c r="M1523" s="1" t="str">
        <f t="shared" si="163"/>
        <v>07B447</v>
      </c>
      <c r="N1523" s="1" t="str">
        <f t="shared" si="164"/>
        <v>C/O</v>
      </c>
      <c r="O1523" s="1" t="str">
        <f t="shared" si="165"/>
        <v>Final Drive LHF</v>
      </c>
      <c r="P1523" s="1" t="str">
        <f t="shared" si="166"/>
        <v>AP70</v>
      </c>
      <c r="Q1523" s="2" t="str">
        <f t="shared" si="167"/>
        <v>AP70Final Drive LHF</v>
      </c>
      <c r="R1523" s="2" t="str">
        <f>New_Xref[[#This Row],[Serial Prefix]]&amp;IF(New_Xref[[#This Row],[Func Loc]]&lt;&gt;"",New_Xref[[#This Row],[Func Loc]],"NO MATCH")</f>
        <v>AP70FDRV .AXAF.FDLH</v>
      </c>
      <c r="S1523" s="3" t="str">
        <f t="shared" si="162"/>
        <v>AP70Final Drive LHF</v>
      </c>
      <c r="T1523" t="s">
        <v>908</v>
      </c>
      <c r="U1523" t="s">
        <v>89</v>
      </c>
      <c r="V1523" t="str">
        <f t="shared" si="161"/>
        <v>4050LF</v>
      </c>
    </row>
    <row r="1524" spans="1:22">
      <c r="A1524" t="s">
        <v>643</v>
      </c>
      <c r="B1524" t="s">
        <v>644</v>
      </c>
      <c r="I1524" t="s">
        <v>6113</v>
      </c>
      <c r="K1524" t="s">
        <v>6113</v>
      </c>
      <c r="L1524" t="s">
        <v>4467</v>
      </c>
      <c r="M1524" s="1" t="str">
        <f t="shared" si="163"/>
        <v>07B447</v>
      </c>
      <c r="N1524" s="1" t="str">
        <f t="shared" si="164"/>
        <v>C/O</v>
      </c>
      <c r="O1524" s="1" t="str">
        <f t="shared" si="165"/>
        <v>Final Drive RHF</v>
      </c>
      <c r="P1524" s="1" t="str">
        <f t="shared" si="166"/>
        <v>AP70</v>
      </c>
      <c r="Q1524" s="2" t="str">
        <f t="shared" si="167"/>
        <v>AP70Final Drive RHF</v>
      </c>
      <c r="R1524" s="2" t="str">
        <f>New_Xref[[#This Row],[Serial Prefix]]&amp;IF(New_Xref[[#This Row],[Func Loc]]&lt;&gt;"",New_Xref[[#This Row],[Func Loc]],"NO MATCH")</f>
        <v>AP70FDRV .AXAF.FDRH</v>
      </c>
      <c r="S1524" s="3" t="str">
        <f t="shared" si="162"/>
        <v>AP70Final Drive RHF</v>
      </c>
      <c r="T1524" t="s">
        <v>908</v>
      </c>
      <c r="U1524" t="s">
        <v>92</v>
      </c>
      <c r="V1524" t="str">
        <f t="shared" si="161"/>
        <v>4050RF</v>
      </c>
    </row>
    <row r="1525" spans="1:22">
      <c r="A1525" t="s">
        <v>643</v>
      </c>
      <c r="B1525" t="s">
        <v>644</v>
      </c>
      <c r="I1525" t="s">
        <v>6114</v>
      </c>
      <c r="K1525" t="s">
        <v>6114</v>
      </c>
      <c r="L1525" t="s">
        <v>1605</v>
      </c>
      <c r="M1525" s="1" t="str">
        <f t="shared" si="163"/>
        <v>07B447</v>
      </c>
      <c r="N1525" s="1" t="str">
        <f t="shared" si="164"/>
        <v>C/O</v>
      </c>
      <c r="O1525" s="1" t="str">
        <f t="shared" si="165"/>
        <v>Final Drive LHR</v>
      </c>
      <c r="P1525" s="1" t="str">
        <f t="shared" si="166"/>
        <v>AP70</v>
      </c>
      <c r="Q1525" s="2" t="str">
        <f t="shared" si="167"/>
        <v>AP70Final Drive LHR</v>
      </c>
      <c r="R1525" s="2" t="str">
        <f>New_Xref[[#This Row],[Serial Prefix]]&amp;IF(New_Xref[[#This Row],[Func Loc]]&lt;&gt;"",New_Xref[[#This Row],[Func Loc]],"NO MATCH")</f>
        <v>AP70FDRV .AXAR.FDLH</v>
      </c>
      <c r="S1525" s="3" t="str">
        <f t="shared" si="162"/>
        <v>AP70Final Drive LHR</v>
      </c>
      <c r="T1525" t="s">
        <v>908</v>
      </c>
      <c r="U1525" t="s">
        <v>96</v>
      </c>
      <c r="V1525" t="str">
        <f t="shared" si="161"/>
        <v>4050LR</v>
      </c>
    </row>
    <row r="1526" spans="1:22">
      <c r="A1526" t="s">
        <v>643</v>
      </c>
      <c r="B1526" t="s">
        <v>644</v>
      </c>
      <c r="I1526" t="s">
        <v>6115</v>
      </c>
      <c r="K1526" t="s">
        <v>6115</v>
      </c>
      <c r="L1526" t="s">
        <v>1608</v>
      </c>
      <c r="M1526" s="1" t="str">
        <f t="shared" si="163"/>
        <v>07B447</v>
      </c>
      <c r="N1526" s="1" t="str">
        <f t="shared" si="164"/>
        <v>C/O</v>
      </c>
      <c r="O1526" s="1" t="str">
        <f t="shared" si="165"/>
        <v>Final Drive RHR</v>
      </c>
      <c r="P1526" s="1" t="str">
        <f t="shared" si="166"/>
        <v>AP70</v>
      </c>
      <c r="Q1526" s="2" t="str">
        <f t="shared" si="167"/>
        <v>AP70Final Drive RHR</v>
      </c>
      <c r="R1526" s="2" t="str">
        <f>New_Xref[[#This Row],[Serial Prefix]]&amp;IF(New_Xref[[#This Row],[Func Loc]]&lt;&gt;"",New_Xref[[#This Row],[Func Loc]],"NO MATCH")</f>
        <v>AP70FDRV .AXAR.FDRH</v>
      </c>
      <c r="S1526" s="3" t="str">
        <f t="shared" si="162"/>
        <v>AP70Final Drive RHR</v>
      </c>
      <c r="T1526" t="s">
        <v>908</v>
      </c>
      <c r="U1526" t="s">
        <v>99</v>
      </c>
      <c r="V1526" t="str">
        <f t="shared" si="161"/>
        <v>4050RR</v>
      </c>
    </row>
    <row r="1527" spans="1:22">
      <c r="A1527" t="s">
        <v>643</v>
      </c>
      <c r="B1527" t="s">
        <v>644</v>
      </c>
      <c r="I1527" t="s">
        <v>6116</v>
      </c>
      <c r="K1527" t="s">
        <v>6116</v>
      </c>
      <c r="L1527" t="s">
        <v>3305</v>
      </c>
      <c r="M1527" s="1" t="str">
        <f t="shared" si="163"/>
        <v>07B447</v>
      </c>
      <c r="N1527" s="1" t="str">
        <f t="shared" si="164"/>
        <v>C/O</v>
      </c>
      <c r="O1527" s="1" t="str">
        <f t="shared" si="165"/>
        <v>Brake LHF</v>
      </c>
      <c r="P1527" s="1" t="str">
        <f t="shared" si="166"/>
        <v>AP70</v>
      </c>
      <c r="Q1527" s="2" t="str">
        <f t="shared" si="167"/>
        <v>AP70Brake LHF</v>
      </c>
      <c r="R1527" s="2" t="str">
        <f>New_Xref[[#This Row],[Serial Prefix]]&amp;IF(New_Xref[[#This Row],[Func Loc]]&lt;&gt;"",New_Xref[[#This Row],[Func Loc]],"NO MATCH")</f>
        <v>AP70BRAK .SEBR.SBLF</v>
      </c>
      <c r="S1527" s="3" t="str">
        <f t="shared" si="162"/>
        <v>AP70Brake LHF</v>
      </c>
      <c r="T1527" t="s">
        <v>205</v>
      </c>
      <c r="U1527" t="s">
        <v>89</v>
      </c>
      <c r="V1527" t="str">
        <f t="shared" si="161"/>
        <v>4251LF</v>
      </c>
    </row>
    <row r="1528" spans="1:22">
      <c r="A1528" t="s">
        <v>643</v>
      </c>
      <c r="B1528" t="s">
        <v>644</v>
      </c>
      <c r="I1528" t="s">
        <v>6117</v>
      </c>
      <c r="K1528" t="s">
        <v>6117</v>
      </c>
      <c r="L1528" t="s">
        <v>3308</v>
      </c>
      <c r="M1528" s="1" t="str">
        <f t="shared" si="163"/>
        <v>07B447</v>
      </c>
      <c r="N1528" s="1" t="str">
        <f t="shared" si="164"/>
        <v>C/O</v>
      </c>
      <c r="O1528" s="1" t="str">
        <f t="shared" si="165"/>
        <v>Brake RHF</v>
      </c>
      <c r="P1528" s="1" t="str">
        <f t="shared" si="166"/>
        <v>AP70</v>
      </c>
      <c r="Q1528" s="2" t="str">
        <f t="shared" si="167"/>
        <v>AP70Brake RHF</v>
      </c>
      <c r="R1528" s="2" t="str">
        <f>New_Xref[[#This Row],[Serial Prefix]]&amp;IF(New_Xref[[#This Row],[Func Loc]]&lt;&gt;"",New_Xref[[#This Row],[Func Loc]],"NO MATCH")</f>
        <v>AP70BRAK .SEBR.SBRF</v>
      </c>
      <c r="S1528" s="3" t="str">
        <f t="shared" si="162"/>
        <v>AP70Brake RHF</v>
      </c>
      <c r="T1528" t="s">
        <v>205</v>
      </c>
      <c r="U1528" t="s">
        <v>92</v>
      </c>
      <c r="V1528" t="str">
        <f t="shared" si="161"/>
        <v>4251RF</v>
      </c>
    </row>
    <row r="1529" spans="1:22">
      <c r="A1529" t="s">
        <v>643</v>
      </c>
      <c r="B1529" t="s">
        <v>644</v>
      </c>
      <c r="I1529" t="s">
        <v>6118</v>
      </c>
      <c r="K1529" t="s">
        <v>6118</v>
      </c>
      <c r="L1529" t="s">
        <v>6119</v>
      </c>
      <c r="M1529" s="1" t="str">
        <f t="shared" si="163"/>
        <v>07B447</v>
      </c>
      <c r="N1529" s="1" t="str">
        <f t="shared" si="164"/>
        <v>C/O</v>
      </c>
      <c r="O1529" s="1" t="str">
        <f t="shared" si="165"/>
        <v>Brake LHR</v>
      </c>
      <c r="P1529" s="1" t="str">
        <f t="shared" si="166"/>
        <v>AP70</v>
      </c>
      <c r="Q1529" s="2" t="str">
        <f t="shared" si="167"/>
        <v>AP70Brake LHR</v>
      </c>
      <c r="R1529" s="2" t="str">
        <f>New_Xref[[#This Row],[Serial Prefix]]&amp;IF(New_Xref[[#This Row],[Func Loc]]&lt;&gt;"",New_Xref[[#This Row],[Func Loc]],"NO MATCH")</f>
        <v>AP70BRAK .SEBR.SBLR</v>
      </c>
      <c r="S1529" s="3" t="str">
        <f t="shared" si="162"/>
        <v>AP70Brake LHR</v>
      </c>
      <c r="T1529" t="s">
        <v>205</v>
      </c>
      <c r="U1529" t="s">
        <v>96</v>
      </c>
      <c r="V1529" t="str">
        <f t="shared" si="161"/>
        <v>4251LR</v>
      </c>
    </row>
    <row r="1530" spans="1:22">
      <c r="A1530" t="s">
        <v>643</v>
      </c>
      <c r="B1530" t="s">
        <v>644</v>
      </c>
      <c r="I1530" t="s">
        <v>6120</v>
      </c>
      <c r="K1530" t="s">
        <v>6120</v>
      </c>
      <c r="L1530" t="s">
        <v>6121</v>
      </c>
      <c r="M1530" s="1" t="str">
        <f t="shared" si="163"/>
        <v>07B447</v>
      </c>
      <c r="N1530" s="1" t="str">
        <f t="shared" si="164"/>
        <v>C/O</v>
      </c>
      <c r="O1530" s="1" t="str">
        <f t="shared" si="165"/>
        <v>Brake RHR</v>
      </c>
      <c r="P1530" s="1" t="str">
        <f t="shared" si="166"/>
        <v>AP70</v>
      </c>
      <c r="Q1530" s="2" t="str">
        <f t="shared" si="167"/>
        <v>AP70Brake RHR</v>
      </c>
      <c r="R1530" s="2" t="str">
        <f>New_Xref[[#This Row],[Serial Prefix]]&amp;IF(New_Xref[[#This Row],[Func Loc]]&lt;&gt;"",New_Xref[[#This Row],[Func Loc]],"NO MATCH")</f>
        <v>AP70BRAK .SEBR.SBRR</v>
      </c>
      <c r="S1530" s="3" t="str">
        <f t="shared" si="162"/>
        <v>AP70Brake RHR</v>
      </c>
      <c r="T1530" t="s">
        <v>205</v>
      </c>
      <c r="U1530" t="s">
        <v>99</v>
      </c>
      <c r="V1530" t="str">
        <f t="shared" si="161"/>
        <v>4251RR</v>
      </c>
    </row>
    <row r="1531" spans="1:22">
      <c r="A1531" t="s">
        <v>5197</v>
      </c>
      <c r="B1531" t="s">
        <v>6122</v>
      </c>
      <c r="C1531" t="s">
        <v>6123</v>
      </c>
      <c r="D1531" t="s">
        <v>6124</v>
      </c>
      <c r="E1531" t="s">
        <v>6125</v>
      </c>
      <c r="F1531" t="s">
        <v>27</v>
      </c>
      <c r="G1531">
        <v>1</v>
      </c>
      <c r="H1531" t="s">
        <v>6126</v>
      </c>
      <c r="I1531" t="s">
        <v>6127</v>
      </c>
      <c r="J1531" t="s">
        <v>6128</v>
      </c>
      <c r="K1531" t="s">
        <v>6129</v>
      </c>
      <c r="L1531" t="s">
        <v>67</v>
      </c>
      <c r="M1531" s="1" t="str">
        <f t="shared" si="163"/>
        <v>08R212</v>
      </c>
      <c r="N1531" s="1" t="str">
        <f t="shared" si="164"/>
        <v>C/O</v>
      </c>
      <c r="O1531" s="1" t="str">
        <f t="shared" si="165"/>
        <v>Engine Radiator</v>
      </c>
      <c r="P1531" s="1" t="str">
        <f t="shared" si="166"/>
        <v>AMA0</v>
      </c>
      <c r="Q1531" s="2" t="str">
        <f t="shared" si="167"/>
        <v>AMA0Engine Radiator</v>
      </c>
      <c r="R1531" s="2" t="str">
        <f>New_Xref[[#This Row],[Serial Prefix]]&amp;IF(New_Xref[[#This Row],[Func Loc]]&lt;&gt;"",New_Xref[[#This Row],[Func Loc]],"NO MATCH")</f>
        <v>AMA0ENGD .ENCS.RADI</v>
      </c>
      <c r="S1531" s="3" t="str">
        <f t="shared" si="162"/>
        <v>AMA0120960FEngine Radiator</v>
      </c>
      <c r="T1531" t="s">
        <v>68</v>
      </c>
      <c r="U1531" t="s">
        <v>34</v>
      </c>
      <c r="V1531" t="str">
        <f t="shared" si="161"/>
        <v>135300</v>
      </c>
    </row>
    <row r="1532" spans="1:22">
      <c r="A1532" t="s">
        <v>4689</v>
      </c>
      <c r="B1532" t="s">
        <v>4747</v>
      </c>
      <c r="C1532" t="s">
        <v>4608</v>
      </c>
      <c r="D1532" t="s">
        <v>4609</v>
      </c>
      <c r="E1532" t="s">
        <v>4610</v>
      </c>
      <c r="F1532" t="s">
        <v>27</v>
      </c>
      <c r="G1532">
        <v>1</v>
      </c>
      <c r="H1532" t="s">
        <v>6130</v>
      </c>
      <c r="I1532" t="s">
        <v>6131</v>
      </c>
      <c r="J1532" t="s">
        <v>6132</v>
      </c>
      <c r="K1532" t="s">
        <v>6133</v>
      </c>
      <c r="L1532" t="s">
        <v>4620</v>
      </c>
      <c r="M1532" s="1" t="str">
        <f t="shared" si="163"/>
        <v>08D5</v>
      </c>
      <c r="N1532" s="1" t="str">
        <f t="shared" si="164"/>
        <v>C/O</v>
      </c>
      <c r="O1532" s="1" t="str">
        <f t="shared" si="165"/>
        <v>Steering Clutch &amp; Brake RH</v>
      </c>
      <c r="P1532" s="1" t="str">
        <f t="shared" si="166"/>
        <v>RJG0</v>
      </c>
      <c r="Q1532" s="2" t="str">
        <f t="shared" si="167"/>
        <v>RJG0Steering Clutch &amp; Brake RH</v>
      </c>
      <c r="R1532" s="2" t="str">
        <f>New_Xref[[#This Row],[Serial Prefix]]&amp;IF(New_Xref[[#This Row],[Func Loc]]&lt;&gt;"",New_Xref[[#This Row],[Func Loc]],"NO MATCH")</f>
        <v>RJG0BRSS .SCBA.SCRH</v>
      </c>
      <c r="S1532" s="3" t="str">
        <f t="shared" si="162"/>
        <v>RJG05710489XSteering Clutch &amp; Brake RH</v>
      </c>
      <c r="T1532" t="s">
        <v>4616</v>
      </c>
      <c r="U1532" t="s">
        <v>115</v>
      </c>
      <c r="V1532" t="str">
        <f t="shared" si="161"/>
        <v>4100RI</v>
      </c>
    </row>
    <row r="1533" spans="1:22">
      <c r="A1533" t="s">
        <v>4798</v>
      </c>
      <c r="B1533" t="s">
        <v>6134</v>
      </c>
      <c r="C1533" t="s">
        <v>4608</v>
      </c>
      <c r="D1533" t="s">
        <v>4609</v>
      </c>
      <c r="E1533" t="s">
        <v>4610</v>
      </c>
      <c r="F1533" t="s">
        <v>27</v>
      </c>
      <c r="G1533">
        <v>1</v>
      </c>
      <c r="H1533" t="s">
        <v>6135</v>
      </c>
      <c r="I1533" t="s">
        <v>6136</v>
      </c>
      <c r="J1533" t="s">
        <v>6137</v>
      </c>
      <c r="K1533" t="s">
        <v>6138</v>
      </c>
      <c r="L1533" t="s">
        <v>4620</v>
      </c>
      <c r="M1533" s="1" t="str">
        <f t="shared" si="163"/>
        <v>08R333</v>
      </c>
      <c r="N1533" s="1" t="str">
        <f t="shared" si="164"/>
        <v>C/O</v>
      </c>
      <c r="O1533" s="1" t="str">
        <f t="shared" si="165"/>
        <v>Steering Clutch &amp; Brake RH</v>
      </c>
      <c r="P1533" s="1" t="str">
        <f t="shared" si="166"/>
        <v>RAB0</v>
      </c>
      <c r="Q1533" s="2" t="str">
        <f t="shared" si="167"/>
        <v>RAB0Steering Clutch &amp; Brake RH</v>
      </c>
      <c r="R1533" s="2" t="str">
        <f>New_Xref[[#This Row],[Serial Prefix]]&amp;IF(New_Xref[[#This Row],[Func Loc]]&lt;&gt;"",New_Xref[[#This Row],[Func Loc]],"NO MATCH")</f>
        <v>RAB0BRSS .SCBA.SCRH</v>
      </c>
      <c r="S1533" s="3" t="str">
        <f t="shared" si="162"/>
        <v>RAB05710489XSteering Clutch &amp; Brake RH</v>
      </c>
      <c r="T1533" t="s">
        <v>4616</v>
      </c>
      <c r="U1533" t="s">
        <v>115</v>
      </c>
      <c r="V1533" t="str">
        <f t="shared" si="161"/>
        <v>4100RI</v>
      </c>
    </row>
    <row r="1534" spans="1:22">
      <c r="A1534" t="s">
        <v>410</v>
      </c>
      <c r="B1534" t="s">
        <v>411</v>
      </c>
      <c r="I1534" t="s">
        <v>6139</v>
      </c>
      <c r="K1534" t="s">
        <v>6139</v>
      </c>
      <c r="L1534" t="s">
        <v>1605</v>
      </c>
      <c r="M1534" s="1" t="str">
        <f t="shared" si="163"/>
        <v>06H673</v>
      </c>
      <c r="N1534" s="1" t="str">
        <f t="shared" si="164"/>
        <v>C/O</v>
      </c>
      <c r="O1534" s="1" t="str">
        <f t="shared" si="165"/>
        <v>Final Drive LH</v>
      </c>
      <c r="P1534" s="1" t="str">
        <f t="shared" si="166"/>
        <v>7M60</v>
      </c>
      <c r="Q1534" s="2" t="str">
        <f t="shared" si="167"/>
        <v>7M60Final Drive LH</v>
      </c>
      <c r="R1534" s="2" t="str">
        <f>New_Xref[[#This Row],[Serial Prefix]]&amp;IF(New_Xref[[#This Row],[Func Loc]]&lt;&gt;"",New_Xref[[#This Row],[Func Loc]],"NO MATCH")</f>
        <v>7M60FDRV .AXAR.FDLH</v>
      </c>
      <c r="S1534" s="3" t="str">
        <f t="shared" si="162"/>
        <v>7M60Final Drive LH</v>
      </c>
      <c r="T1534" t="s">
        <v>2105</v>
      </c>
      <c r="U1534" t="s">
        <v>96</v>
      </c>
      <c r="V1534" t="str">
        <f t="shared" si="161"/>
        <v>4008LR</v>
      </c>
    </row>
    <row r="1535" spans="1:22">
      <c r="A1535" t="s">
        <v>410</v>
      </c>
      <c r="B1535" t="s">
        <v>411</v>
      </c>
      <c r="I1535" t="s">
        <v>6140</v>
      </c>
      <c r="K1535" t="s">
        <v>6140</v>
      </c>
      <c r="L1535" t="s">
        <v>1608</v>
      </c>
      <c r="M1535" s="1" t="str">
        <f t="shared" si="163"/>
        <v>06H673</v>
      </c>
      <c r="N1535" s="1" t="str">
        <f t="shared" si="164"/>
        <v>C/O</v>
      </c>
      <c r="O1535" s="1" t="str">
        <f t="shared" si="165"/>
        <v>Final Drive RH</v>
      </c>
      <c r="P1535" s="1" t="str">
        <f t="shared" si="166"/>
        <v>7M60</v>
      </c>
      <c r="Q1535" s="2" t="str">
        <f t="shared" si="167"/>
        <v>7M60Final Drive RH</v>
      </c>
      <c r="R1535" s="2" t="str">
        <f>New_Xref[[#This Row],[Serial Prefix]]&amp;IF(New_Xref[[#This Row],[Func Loc]]&lt;&gt;"",New_Xref[[#This Row],[Func Loc]],"NO MATCH")</f>
        <v>7M60FDRV .AXAR.FDRH</v>
      </c>
      <c r="S1535" s="3" t="str">
        <f t="shared" si="162"/>
        <v>7M60Final Drive RH</v>
      </c>
      <c r="T1535" t="s">
        <v>2105</v>
      </c>
      <c r="U1535" t="s">
        <v>99</v>
      </c>
      <c r="V1535" t="str">
        <f t="shared" si="161"/>
        <v>4008RR</v>
      </c>
    </row>
    <row r="1536" spans="1:22">
      <c r="A1536" t="s">
        <v>2385</v>
      </c>
      <c r="B1536" t="s">
        <v>2386</v>
      </c>
      <c r="C1536" t="s">
        <v>2427</v>
      </c>
      <c r="D1536" t="s">
        <v>2428</v>
      </c>
      <c r="E1536" t="s">
        <v>2429</v>
      </c>
      <c r="F1536" t="s">
        <v>27</v>
      </c>
      <c r="G1536">
        <v>1</v>
      </c>
      <c r="H1536" t="s">
        <v>2430</v>
      </c>
      <c r="I1536" t="s">
        <v>6141</v>
      </c>
      <c r="J1536" t="s">
        <v>2432</v>
      </c>
      <c r="K1536" t="s">
        <v>6141</v>
      </c>
      <c r="L1536" t="s">
        <v>1605</v>
      </c>
      <c r="M1536" s="1" t="str">
        <f t="shared" si="163"/>
        <v>06D58</v>
      </c>
      <c r="N1536" s="1" t="str">
        <f t="shared" si="164"/>
        <v>C/O</v>
      </c>
      <c r="O1536" s="1" t="str">
        <f t="shared" si="165"/>
        <v>Final Drive LH</v>
      </c>
      <c r="P1536" s="1" t="str">
        <f t="shared" si="166"/>
        <v>T4Y0</v>
      </c>
      <c r="Q1536" s="2" t="str">
        <f t="shared" si="167"/>
        <v>T4Y0Final Drive LH</v>
      </c>
      <c r="R1536" s="2" t="str">
        <f>New_Xref[[#This Row],[Serial Prefix]]&amp;IF(New_Xref[[#This Row],[Func Loc]]&lt;&gt;"",New_Xref[[#This Row],[Func Loc]],"NO MATCH")</f>
        <v>T4Y0FDRV .AXAR.FDLH</v>
      </c>
      <c r="S1536" s="3" t="str">
        <f t="shared" si="162"/>
        <v>T4Y03569840XFinal Drive LH</v>
      </c>
      <c r="T1536" t="s">
        <v>2105</v>
      </c>
      <c r="U1536" t="s">
        <v>96</v>
      </c>
      <c r="V1536" t="str">
        <f t="shared" si="161"/>
        <v>4008LR</v>
      </c>
    </row>
    <row r="1537" spans="1:22">
      <c r="A1537" t="s">
        <v>2385</v>
      </c>
      <c r="B1537" t="s">
        <v>2386</v>
      </c>
      <c r="C1537" t="s">
        <v>2427</v>
      </c>
      <c r="D1537" t="s">
        <v>2428</v>
      </c>
      <c r="E1537" t="s">
        <v>2429</v>
      </c>
      <c r="F1537" t="s">
        <v>27</v>
      </c>
      <c r="G1537">
        <v>1</v>
      </c>
      <c r="H1537" t="s">
        <v>2430</v>
      </c>
      <c r="I1537" t="s">
        <v>6142</v>
      </c>
      <c r="J1537" t="s">
        <v>2434</v>
      </c>
      <c r="K1537" t="s">
        <v>6142</v>
      </c>
      <c r="L1537" t="s">
        <v>1608</v>
      </c>
      <c r="M1537" s="1" t="str">
        <f t="shared" si="163"/>
        <v>06D58</v>
      </c>
      <c r="N1537" s="1" t="str">
        <f t="shared" si="164"/>
        <v>C/O</v>
      </c>
      <c r="O1537" s="1" t="str">
        <f t="shared" si="165"/>
        <v>Final Drive RH</v>
      </c>
      <c r="P1537" s="1" t="str">
        <f t="shared" si="166"/>
        <v>T4Y0</v>
      </c>
      <c r="Q1537" s="2" t="str">
        <f t="shared" si="167"/>
        <v>T4Y0Final Drive RH</v>
      </c>
      <c r="R1537" s="2" t="str">
        <f>New_Xref[[#This Row],[Serial Prefix]]&amp;IF(New_Xref[[#This Row],[Func Loc]]&lt;&gt;"",New_Xref[[#This Row],[Func Loc]],"NO MATCH")</f>
        <v>T4Y0FDRV .AXAR.FDRH</v>
      </c>
      <c r="S1537" s="3" t="str">
        <f t="shared" si="162"/>
        <v>T4Y03569840XFinal Drive RH</v>
      </c>
      <c r="T1537" t="s">
        <v>2105</v>
      </c>
      <c r="U1537" t="s">
        <v>99</v>
      </c>
      <c r="V1537" t="str">
        <f t="shared" si="161"/>
        <v>4008RR</v>
      </c>
    </row>
    <row r="1538" spans="1:22">
      <c r="A1538" t="s">
        <v>410</v>
      </c>
      <c r="B1538" t="s">
        <v>411</v>
      </c>
      <c r="I1538" t="s">
        <v>6143</v>
      </c>
      <c r="K1538" t="s">
        <v>6143</v>
      </c>
      <c r="L1538" t="s">
        <v>761</v>
      </c>
      <c r="M1538" s="1" t="str">
        <f t="shared" si="163"/>
        <v>06H673</v>
      </c>
      <c r="N1538" s="1" t="str">
        <f t="shared" si="164"/>
        <v>C/O</v>
      </c>
      <c r="O1538" s="1" t="str">
        <f t="shared" si="165"/>
        <v>Hub. Brake &amp; Spindle LH</v>
      </c>
      <c r="P1538" s="1" t="str">
        <f t="shared" si="166"/>
        <v>7M60</v>
      </c>
      <c r="Q1538" s="2" t="str">
        <f t="shared" si="167"/>
        <v>7M60Hub. Brake &amp; Spindle LH</v>
      </c>
      <c r="R1538" s="2" t="str">
        <f>New_Xref[[#This Row],[Serial Prefix]]&amp;IF(New_Xref[[#This Row],[Func Loc]]&lt;&gt;"",New_Xref[[#This Row],[Func Loc]],"NO MATCH")</f>
        <v>7M60FDRV .AXAF.HASL</v>
      </c>
      <c r="S1538" s="3" t="str">
        <f t="shared" si="162"/>
        <v>7M60Hub. Brake &amp; Spindle LH</v>
      </c>
      <c r="T1538" t="s">
        <v>2441</v>
      </c>
      <c r="U1538" t="s">
        <v>89</v>
      </c>
      <c r="V1538" t="str">
        <f t="shared" ref="V1538:V1601" si="168">LEFT(T1538,FIND(" -",T1538,1)-1)&amp;LEFT(U1538,FIND(" -",U1538,1)-1)</f>
        <v>4016LF</v>
      </c>
    </row>
    <row r="1539" spans="1:22">
      <c r="A1539" t="s">
        <v>410</v>
      </c>
      <c r="B1539" t="s">
        <v>411</v>
      </c>
      <c r="I1539" t="s">
        <v>6144</v>
      </c>
      <c r="K1539" t="s">
        <v>6144</v>
      </c>
      <c r="L1539" t="s">
        <v>757</v>
      </c>
      <c r="M1539" s="1" t="str">
        <f t="shared" si="163"/>
        <v>06H673</v>
      </c>
      <c r="N1539" s="1" t="str">
        <f t="shared" si="164"/>
        <v>C/O</v>
      </c>
      <c r="O1539" s="1" t="str">
        <f t="shared" si="165"/>
        <v>Hub. Brake &amp; Spindle RH</v>
      </c>
      <c r="P1539" s="1" t="str">
        <f t="shared" si="166"/>
        <v>7M60</v>
      </c>
      <c r="Q1539" s="2" t="str">
        <f t="shared" si="167"/>
        <v>7M60Hub. Brake &amp; Spindle RH</v>
      </c>
      <c r="R1539" s="2" t="str">
        <f>New_Xref[[#This Row],[Serial Prefix]]&amp;IF(New_Xref[[#This Row],[Func Loc]]&lt;&gt;"",New_Xref[[#This Row],[Func Loc]],"NO MATCH")</f>
        <v>7M60FDRV .AXAF.HASR</v>
      </c>
      <c r="S1539" s="3" t="str">
        <f t="shared" ref="S1539:S1602" si="169">P1539&amp;D1539&amp;O1539</f>
        <v>7M60Hub. Brake &amp; Spindle RH</v>
      </c>
      <c r="T1539" t="s">
        <v>2441</v>
      </c>
      <c r="U1539" t="s">
        <v>92</v>
      </c>
      <c r="V1539" t="str">
        <f t="shared" si="168"/>
        <v>4016RF</v>
      </c>
    </row>
    <row r="1540" spans="1:22">
      <c r="A1540" t="s">
        <v>1928</v>
      </c>
      <c r="B1540" t="s">
        <v>2047</v>
      </c>
      <c r="I1540" t="s">
        <v>6145</v>
      </c>
      <c r="K1540" t="s">
        <v>6145</v>
      </c>
      <c r="L1540" t="s">
        <v>129</v>
      </c>
      <c r="M1540" s="1" t="str">
        <f t="shared" ref="M1540:M1603" si="170">LEFT(K1540,FIND(" ",K1540,1)-1)</f>
        <v>12H422</v>
      </c>
      <c r="N1540" s="1" t="str">
        <f t="shared" ref="N1540:N1603" si="171">MID(K1540,LEN(M1540)+2,FIND(" ",K1540,LEN(M1540)+2)-LEN(M1540)-2)</f>
        <v>C/O</v>
      </c>
      <c r="O1540" s="1" t="str">
        <f t="shared" ref="O1540:O1603" si="172">MID(K1540,FIND(N1540,K1540,1)+LEN(N1540)+1, 150)</f>
        <v>Blade Lift Cylinder LH</v>
      </c>
      <c r="P1540" s="1" t="str">
        <f t="shared" ref="P1540:P1603" si="173">LEFT(B1540,4)</f>
        <v>B9K0</v>
      </c>
      <c r="Q1540" s="2" t="str">
        <f t="shared" ref="Q1540:Q1603" si="174">P1540&amp;O1540</f>
        <v>B9K0Blade Lift Cylinder LH</v>
      </c>
      <c r="R1540" s="2" t="str">
        <f>New_Xref[[#This Row],[Serial Prefix]]&amp;IF(New_Xref[[#This Row],[Func Loc]]&lt;&gt;"",New_Xref[[#This Row],[Func Loc]],"NO MATCH")</f>
        <v>B9K0MYHD .CYLI.BLLL</v>
      </c>
      <c r="S1540" s="3" t="str">
        <f t="shared" si="169"/>
        <v>B9K0Blade Lift Cylinder LH</v>
      </c>
      <c r="T1540" t="s">
        <v>130</v>
      </c>
      <c r="U1540" t="s">
        <v>108</v>
      </c>
      <c r="V1540" t="str">
        <f t="shared" si="168"/>
        <v>5102LT</v>
      </c>
    </row>
    <row r="1541" spans="1:22">
      <c r="A1541" t="s">
        <v>1928</v>
      </c>
      <c r="B1541" t="s">
        <v>2047</v>
      </c>
      <c r="I1541" t="s">
        <v>6146</v>
      </c>
      <c r="K1541" t="s">
        <v>6146</v>
      </c>
      <c r="L1541" t="s">
        <v>133</v>
      </c>
      <c r="M1541" s="1" t="str">
        <f t="shared" si="170"/>
        <v>12H422</v>
      </c>
      <c r="N1541" s="1" t="str">
        <f t="shared" si="171"/>
        <v>C/O</v>
      </c>
      <c r="O1541" s="1" t="str">
        <f t="shared" si="172"/>
        <v>Blade Lift Cylinder RH</v>
      </c>
      <c r="P1541" s="1" t="str">
        <f t="shared" si="173"/>
        <v>B9K0</v>
      </c>
      <c r="Q1541" s="2" t="str">
        <f t="shared" si="174"/>
        <v>B9K0Blade Lift Cylinder RH</v>
      </c>
      <c r="R1541" s="2" t="str">
        <f>New_Xref[[#This Row],[Serial Prefix]]&amp;IF(New_Xref[[#This Row],[Func Loc]]&lt;&gt;"",New_Xref[[#This Row],[Func Loc]],"NO MATCH")</f>
        <v>B9K0MYHD .CYLI.BLLR</v>
      </c>
      <c r="S1541" s="3" t="str">
        <f t="shared" si="169"/>
        <v>B9K0Blade Lift Cylinder RH</v>
      </c>
      <c r="T1541" t="s">
        <v>130</v>
      </c>
      <c r="U1541" t="s">
        <v>115</v>
      </c>
      <c r="V1541" t="str">
        <f t="shared" si="168"/>
        <v>5102RI</v>
      </c>
    </row>
    <row r="1542" spans="1:22">
      <c r="A1542" t="s">
        <v>1928</v>
      </c>
      <c r="B1542" t="s">
        <v>2047</v>
      </c>
      <c r="I1542" t="s">
        <v>6147</v>
      </c>
      <c r="K1542" t="s">
        <v>6147</v>
      </c>
      <c r="L1542" t="s">
        <v>767</v>
      </c>
      <c r="M1542" s="1" t="str">
        <f t="shared" si="170"/>
        <v>12H422</v>
      </c>
      <c r="N1542" s="1" t="str">
        <f t="shared" si="171"/>
        <v>C/O</v>
      </c>
      <c r="O1542" s="1" t="str">
        <f t="shared" si="172"/>
        <v>Steering Cylinder LH</v>
      </c>
      <c r="P1542" s="1" t="str">
        <f t="shared" si="173"/>
        <v>B9K0</v>
      </c>
      <c r="Q1542" s="2" t="str">
        <f t="shared" si="174"/>
        <v>B9K0Steering Cylinder LH</v>
      </c>
      <c r="R1542" s="2" t="str">
        <f>New_Xref[[#This Row],[Serial Prefix]]&amp;IF(New_Xref[[#This Row],[Func Loc]]&lt;&gt;"",New_Xref[[#This Row],[Func Loc]],"NO MATCH")</f>
        <v>B9K0STRG .CYLI.SC01</v>
      </c>
      <c r="S1542" s="3" t="str">
        <f t="shared" si="169"/>
        <v>B9K0Steering Cylinder LH</v>
      </c>
      <c r="T1542" t="s">
        <v>107</v>
      </c>
      <c r="U1542" t="s">
        <v>108</v>
      </c>
      <c r="V1542" t="str">
        <f t="shared" si="168"/>
        <v>4303LT</v>
      </c>
    </row>
    <row r="1543" spans="1:22">
      <c r="A1543" t="s">
        <v>1928</v>
      </c>
      <c r="B1543" t="s">
        <v>2047</v>
      </c>
      <c r="I1543" t="s">
        <v>6148</v>
      </c>
      <c r="K1543" t="s">
        <v>6148</v>
      </c>
      <c r="L1543" t="s">
        <v>770</v>
      </c>
      <c r="M1543" s="1" t="str">
        <f t="shared" si="170"/>
        <v>12H422</v>
      </c>
      <c r="N1543" s="1" t="str">
        <f t="shared" si="171"/>
        <v>C/O</v>
      </c>
      <c r="O1543" s="1" t="str">
        <f t="shared" si="172"/>
        <v>Steering Cylinder RH</v>
      </c>
      <c r="P1543" s="1" t="str">
        <f t="shared" si="173"/>
        <v>B9K0</v>
      </c>
      <c r="Q1543" s="2" t="str">
        <f t="shared" si="174"/>
        <v>B9K0Steering Cylinder RH</v>
      </c>
      <c r="R1543" s="2" t="str">
        <f>New_Xref[[#This Row],[Serial Prefix]]&amp;IF(New_Xref[[#This Row],[Func Loc]]&lt;&gt;"",New_Xref[[#This Row],[Func Loc]],"NO MATCH")</f>
        <v>B9K0STRG .CYLI.SC02</v>
      </c>
      <c r="S1543" s="3" t="str">
        <f t="shared" si="169"/>
        <v>B9K0Steering Cylinder RH</v>
      </c>
      <c r="T1543" t="s">
        <v>107</v>
      </c>
      <c r="U1543" t="s">
        <v>115</v>
      </c>
      <c r="V1543" t="str">
        <f t="shared" si="168"/>
        <v>4303RI</v>
      </c>
    </row>
    <row r="1544" spans="1:22">
      <c r="A1544" t="s">
        <v>1928</v>
      </c>
      <c r="B1544" t="s">
        <v>2047</v>
      </c>
      <c r="I1544" t="s">
        <v>6149</v>
      </c>
      <c r="K1544" t="s">
        <v>6149</v>
      </c>
      <c r="L1544" t="s">
        <v>1911</v>
      </c>
      <c r="M1544" s="1" t="str">
        <f t="shared" si="170"/>
        <v>12H422</v>
      </c>
      <c r="N1544" s="1" t="str">
        <f t="shared" si="171"/>
        <v>C/O</v>
      </c>
      <c r="O1544" s="1" t="str">
        <f t="shared" si="172"/>
        <v>Wheel Lean Cylinder LH</v>
      </c>
      <c r="P1544" s="1" t="str">
        <f t="shared" si="173"/>
        <v>B9K0</v>
      </c>
      <c r="Q1544" s="2" t="str">
        <f t="shared" si="174"/>
        <v>B9K0Wheel Lean Cylinder LH</v>
      </c>
      <c r="R1544" s="2" t="str">
        <f>New_Xref[[#This Row],[Serial Prefix]]&amp;IF(New_Xref[[#This Row],[Func Loc]]&lt;&gt;"",New_Xref[[#This Row],[Func Loc]],"NO MATCH")</f>
        <v>B9K0MYHD .CYLI.WHLL</v>
      </c>
      <c r="S1544" s="3" t="str">
        <f t="shared" si="169"/>
        <v>B9K0Wheel Lean Cylinder LH</v>
      </c>
      <c r="T1544" t="s">
        <v>1639</v>
      </c>
      <c r="U1544" t="s">
        <v>108</v>
      </c>
      <c r="V1544" t="str">
        <f t="shared" si="168"/>
        <v>5211LT</v>
      </c>
    </row>
    <row r="1545" spans="1:22">
      <c r="A1545" t="s">
        <v>1928</v>
      </c>
      <c r="B1545" t="s">
        <v>2047</v>
      </c>
      <c r="I1545" t="s">
        <v>6150</v>
      </c>
      <c r="K1545" t="s">
        <v>6150</v>
      </c>
      <c r="L1545" t="s">
        <v>1914</v>
      </c>
      <c r="M1545" s="1" t="str">
        <f t="shared" si="170"/>
        <v>12H422</v>
      </c>
      <c r="N1545" s="1" t="str">
        <f t="shared" si="171"/>
        <v>C/O</v>
      </c>
      <c r="O1545" s="1" t="str">
        <f t="shared" si="172"/>
        <v>Wheel Lean Cylinder RH</v>
      </c>
      <c r="P1545" s="1" t="str">
        <f t="shared" si="173"/>
        <v>B9K0</v>
      </c>
      <c r="Q1545" s="2" t="str">
        <f t="shared" si="174"/>
        <v>B9K0Wheel Lean Cylinder RH</v>
      </c>
      <c r="R1545" s="2" t="str">
        <f>New_Xref[[#This Row],[Serial Prefix]]&amp;IF(New_Xref[[#This Row],[Func Loc]]&lt;&gt;"",New_Xref[[#This Row],[Func Loc]],"NO MATCH")</f>
        <v>B9K0MYHD .CYLI.WHLR</v>
      </c>
      <c r="S1545" s="3" t="str">
        <f t="shared" si="169"/>
        <v>B9K0Wheel Lean Cylinder RH</v>
      </c>
      <c r="T1545" t="s">
        <v>1639</v>
      </c>
      <c r="U1545" t="s">
        <v>115</v>
      </c>
      <c r="V1545" t="str">
        <f t="shared" si="168"/>
        <v>5211RI</v>
      </c>
    </row>
    <row r="1546" spans="1:22">
      <c r="A1546" t="s">
        <v>1928</v>
      </c>
      <c r="B1546" t="s">
        <v>1929</v>
      </c>
      <c r="I1546" t="s">
        <v>6151</v>
      </c>
      <c r="K1546" t="s">
        <v>6151</v>
      </c>
      <c r="L1546" t="s">
        <v>129</v>
      </c>
      <c r="M1546" s="1" t="str">
        <f t="shared" si="170"/>
        <v>12H446</v>
      </c>
      <c r="N1546" s="1" t="str">
        <f t="shared" si="171"/>
        <v>C/O</v>
      </c>
      <c r="O1546" s="1" t="str">
        <f t="shared" si="172"/>
        <v>Blade Lift Cylinder LH</v>
      </c>
      <c r="P1546" s="1" t="str">
        <f t="shared" si="173"/>
        <v>B930</v>
      </c>
      <c r="Q1546" s="2" t="str">
        <f t="shared" si="174"/>
        <v>B930Blade Lift Cylinder LH</v>
      </c>
      <c r="R1546" s="2" t="str">
        <f>New_Xref[[#This Row],[Serial Prefix]]&amp;IF(New_Xref[[#This Row],[Func Loc]]&lt;&gt;"",New_Xref[[#This Row],[Func Loc]],"NO MATCH")</f>
        <v>B930MYHD .CYLI.BLLL</v>
      </c>
      <c r="S1546" s="3" t="str">
        <f t="shared" si="169"/>
        <v>B930Blade Lift Cylinder LH</v>
      </c>
      <c r="T1546" t="s">
        <v>130</v>
      </c>
      <c r="U1546" t="s">
        <v>108</v>
      </c>
      <c r="V1546" t="str">
        <f t="shared" si="168"/>
        <v>5102LT</v>
      </c>
    </row>
    <row r="1547" spans="1:22">
      <c r="A1547" t="s">
        <v>1928</v>
      </c>
      <c r="B1547" t="s">
        <v>1929</v>
      </c>
      <c r="I1547" t="s">
        <v>6152</v>
      </c>
      <c r="K1547" t="s">
        <v>6152</v>
      </c>
      <c r="L1547" t="s">
        <v>133</v>
      </c>
      <c r="M1547" s="1" t="str">
        <f t="shared" si="170"/>
        <v>12H446</v>
      </c>
      <c r="N1547" s="1" t="str">
        <f t="shared" si="171"/>
        <v>C/O</v>
      </c>
      <c r="O1547" s="1" t="str">
        <f t="shared" si="172"/>
        <v>Blade Lift Cylinder RH</v>
      </c>
      <c r="P1547" s="1" t="str">
        <f t="shared" si="173"/>
        <v>B930</v>
      </c>
      <c r="Q1547" s="2" t="str">
        <f t="shared" si="174"/>
        <v>B930Blade Lift Cylinder RH</v>
      </c>
      <c r="R1547" s="2" t="str">
        <f>New_Xref[[#This Row],[Serial Prefix]]&amp;IF(New_Xref[[#This Row],[Func Loc]]&lt;&gt;"",New_Xref[[#This Row],[Func Loc]],"NO MATCH")</f>
        <v>B930MYHD .CYLI.BLLR</v>
      </c>
      <c r="S1547" s="3" t="str">
        <f t="shared" si="169"/>
        <v>B930Blade Lift Cylinder RH</v>
      </c>
      <c r="T1547" t="s">
        <v>130</v>
      </c>
      <c r="U1547" t="s">
        <v>115</v>
      </c>
      <c r="V1547" t="str">
        <f t="shared" si="168"/>
        <v>5102RI</v>
      </c>
    </row>
    <row r="1548" spans="1:22">
      <c r="A1548" t="s">
        <v>1928</v>
      </c>
      <c r="B1548" t="s">
        <v>1929</v>
      </c>
      <c r="I1548" t="s">
        <v>6153</v>
      </c>
      <c r="K1548" t="s">
        <v>6153</v>
      </c>
      <c r="L1548" t="s">
        <v>767</v>
      </c>
      <c r="M1548" s="1" t="str">
        <f t="shared" si="170"/>
        <v>12H446</v>
      </c>
      <c r="N1548" s="1" t="str">
        <f t="shared" si="171"/>
        <v>C/O</v>
      </c>
      <c r="O1548" s="1" t="str">
        <f t="shared" si="172"/>
        <v>Steering Cylinder LH</v>
      </c>
      <c r="P1548" s="1" t="str">
        <f t="shared" si="173"/>
        <v>B930</v>
      </c>
      <c r="Q1548" s="2" t="str">
        <f t="shared" si="174"/>
        <v>B930Steering Cylinder LH</v>
      </c>
      <c r="R1548" s="2" t="str">
        <f>New_Xref[[#This Row],[Serial Prefix]]&amp;IF(New_Xref[[#This Row],[Func Loc]]&lt;&gt;"",New_Xref[[#This Row],[Func Loc]],"NO MATCH")</f>
        <v>B930STRG .CYLI.SC01</v>
      </c>
      <c r="S1548" s="3" t="str">
        <f t="shared" si="169"/>
        <v>B930Steering Cylinder LH</v>
      </c>
      <c r="T1548" t="s">
        <v>107</v>
      </c>
      <c r="U1548" t="s">
        <v>108</v>
      </c>
      <c r="V1548" t="str">
        <f t="shared" si="168"/>
        <v>4303LT</v>
      </c>
    </row>
    <row r="1549" spans="1:22">
      <c r="A1549" t="s">
        <v>1928</v>
      </c>
      <c r="B1549" t="s">
        <v>1929</v>
      </c>
      <c r="I1549" t="s">
        <v>6154</v>
      </c>
      <c r="K1549" t="s">
        <v>6154</v>
      </c>
      <c r="L1549" t="s">
        <v>770</v>
      </c>
      <c r="M1549" s="1" t="str">
        <f t="shared" si="170"/>
        <v>12H446</v>
      </c>
      <c r="N1549" s="1" t="str">
        <f t="shared" si="171"/>
        <v>C/O</v>
      </c>
      <c r="O1549" s="1" t="str">
        <f t="shared" si="172"/>
        <v>Steering Cylinder RH</v>
      </c>
      <c r="P1549" s="1" t="str">
        <f t="shared" si="173"/>
        <v>B930</v>
      </c>
      <c r="Q1549" s="2" t="str">
        <f t="shared" si="174"/>
        <v>B930Steering Cylinder RH</v>
      </c>
      <c r="R1549" s="2" t="str">
        <f>New_Xref[[#This Row],[Serial Prefix]]&amp;IF(New_Xref[[#This Row],[Func Loc]]&lt;&gt;"",New_Xref[[#This Row],[Func Loc]],"NO MATCH")</f>
        <v>B930STRG .CYLI.SC02</v>
      </c>
      <c r="S1549" s="3" t="str">
        <f t="shared" si="169"/>
        <v>B930Steering Cylinder RH</v>
      </c>
      <c r="T1549" t="s">
        <v>107</v>
      </c>
      <c r="U1549" t="s">
        <v>115</v>
      </c>
      <c r="V1549" t="str">
        <f t="shared" si="168"/>
        <v>4303RI</v>
      </c>
    </row>
    <row r="1550" spans="1:22">
      <c r="A1550" t="s">
        <v>1928</v>
      </c>
      <c r="B1550" t="s">
        <v>1929</v>
      </c>
      <c r="I1550" t="s">
        <v>6155</v>
      </c>
      <c r="K1550" t="s">
        <v>6155</v>
      </c>
      <c r="L1550" t="s">
        <v>1911</v>
      </c>
      <c r="M1550" s="1" t="str">
        <f t="shared" si="170"/>
        <v>12H446</v>
      </c>
      <c r="N1550" s="1" t="str">
        <f t="shared" si="171"/>
        <v>C/O</v>
      </c>
      <c r="O1550" s="1" t="str">
        <f t="shared" si="172"/>
        <v>Wheel Lean Cylinder LH</v>
      </c>
      <c r="P1550" s="1" t="str">
        <f t="shared" si="173"/>
        <v>B930</v>
      </c>
      <c r="Q1550" s="2" t="str">
        <f t="shared" si="174"/>
        <v>B930Wheel Lean Cylinder LH</v>
      </c>
      <c r="R1550" s="2" t="str">
        <f>New_Xref[[#This Row],[Serial Prefix]]&amp;IF(New_Xref[[#This Row],[Func Loc]]&lt;&gt;"",New_Xref[[#This Row],[Func Loc]],"NO MATCH")</f>
        <v>B930MYHD .CYLI.WHLL</v>
      </c>
      <c r="S1550" s="3" t="str">
        <f t="shared" si="169"/>
        <v>B930Wheel Lean Cylinder LH</v>
      </c>
      <c r="T1550" t="s">
        <v>1639</v>
      </c>
      <c r="U1550" t="s">
        <v>108</v>
      </c>
      <c r="V1550" t="str">
        <f t="shared" si="168"/>
        <v>5211LT</v>
      </c>
    </row>
    <row r="1551" spans="1:22">
      <c r="A1551" t="s">
        <v>1928</v>
      </c>
      <c r="B1551" t="s">
        <v>1929</v>
      </c>
      <c r="I1551" t="s">
        <v>6156</v>
      </c>
      <c r="K1551" t="s">
        <v>6156</v>
      </c>
      <c r="L1551" t="s">
        <v>1914</v>
      </c>
      <c r="M1551" s="1" t="str">
        <f t="shared" si="170"/>
        <v>12H446</v>
      </c>
      <c r="N1551" s="1" t="str">
        <f t="shared" si="171"/>
        <v>C/O</v>
      </c>
      <c r="O1551" s="1" t="str">
        <f t="shared" si="172"/>
        <v>Wheel Lean Cylinder RH</v>
      </c>
      <c r="P1551" s="1" t="str">
        <f t="shared" si="173"/>
        <v>B930</v>
      </c>
      <c r="Q1551" s="2" t="str">
        <f t="shared" si="174"/>
        <v>B930Wheel Lean Cylinder RH</v>
      </c>
      <c r="R1551" s="2" t="str">
        <f>New_Xref[[#This Row],[Serial Prefix]]&amp;IF(New_Xref[[#This Row],[Func Loc]]&lt;&gt;"",New_Xref[[#This Row],[Func Loc]],"NO MATCH")</f>
        <v>B930MYHD .CYLI.WHLR</v>
      </c>
      <c r="S1551" s="3" t="str">
        <f t="shared" si="169"/>
        <v>B930Wheel Lean Cylinder RH</v>
      </c>
      <c r="T1551" t="s">
        <v>1639</v>
      </c>
      <c r="U1551" t="s">
        <v>115</v>
      </c>
      <c r="V1551" t="str">
        <f t="shared" si="168"/>
        <v>5211RI</v>
      </c>
    </row>
    <row r="1552" spans="1:22">
      <c r="A1552" t="s">
        <v>1928</v>
      </c>
      <c r="B1552" t="s">
        <v>1929</v>
      </c>
      <c r="I1552" t="s">
        <v>6157</v>
      </c>
      <c r="K1552" t="s">
        <v>6157</v>
      </c>
      <c r="L1552" t="s">
        <v>232</v>
      </c>
      <c r="M1552" s="1" t="str">
        <f t="shared" si="170"/>
        <v>12H446</v>
      </c>
      <c r="N1552" s="1" t="str">
        <f t="shared" si="171"/>
        <v>C/O</v>
      </c>
      <c r="O1552" s="1" t="str">
        <f t="shared" si="172"/>
        <v>Centreshift Cylinder</v>
      </c>
      <c r="P1552" s="1" t="str">
        <f t="shared" si="173"/>
        <v>B930</v>
      </c>
      <c r="Q1552" s="2" t="str">
        <f t="shared" si="174"/>
        <v>B930Centreshift Cylinder</v>
      </c>
      <c r="R1552" s="2" t="str">
        <f>New_Xref[[#This Row],[Serial Prefix]]&amp;IF(New_Xref[[#This Row],[Func Loc]]&lt;&gt;"",New_Xref[[#This Row],[Func Loc]],"NO MATCH")</f>
        <v>B930MYHD .CYLI.CENT</v>
      </c>
      <c r="S1552" s="3" t="str">
        <f t="shared" si="169"/>
        <v>B930Centreshift Cylinder</v>
      </c>
      <c r="T1552" t="s">
        <v>233</v>
      </c>
      <c r="U1552" t="s">
        <v>34</v>
      </c>
      <c r="V1552" t="str">
        <f t="shared" si="168"/>
        <v>522300</v>
      </c>
    </row>
    <row r="1553" spans="1:22">
      <c r="A1553" t="s">
        <v>1928</v>
      </c>
      <c r="B1553" t="s">
        <v>1929</v>
      </c>
      <c r="I1553" t="s">
        <v>6158</v>
      </c>
      <c r="K1553" t="s">
        <v>6158</v>
      </c>
      <c r="L1553" t="s">
        <v>2092</v>
      </c>
      <c r="M1553" s="1" t="str">
        <f t="shared" si="170"/>
        <v>12H446</v>
      </c>
      <c r="N1553" s="1" t="str">
        <f t="shared" si="171"/>
        <v>C/O</v>
      </c>
      <c r="O1553" s="1" t="str">
        <f t="shared" si="172"/>
        <v>Ripper Lift Cylinder LH</v>
      </c>
      <c r="P1553" s="1" t="str">
        <f t="shared" si="173"/>
        <v>B930</v>
      </c>
      <c r="Q1553" s="2" t="str">
        <f t="shared" si="174"/>
        <v>B930Ripper Lift Cylinder LH</v>
      </c>
      <c r="R1553" s="2" t="str">
        <f>New_Xref[[#This Row],[Serial Prefix]]&amp;IF(New_Xref[[#This Row],[Func Loc]]&lt;&gt;"",New_Xref[[#This Row],[Func Loc]],"NO MATCH")</f>
        <v>B930MYHD .CYLI.RILL</v>
      </c>
      <c r="S1553" s="3" t="str">
        <f t="shared" si="169"/>
        <v>B930Ripper Lift Cylinder LH</v>
      </c>
      <c r="T1553" t="s">
        <v>246</v>
      </c>
      <c r="U1553" t="s">
        <v>108</v>
      </c>
      <c r="V1553" t="str">
        <f t="shared" si="168"/>
        <v>5352LT</v>
      </c>
    </row>
    <row r="1554" spans="1:22">
      <c r="A1554" t="s">
        <v>1928</v>
      </c>
      <c r="B1554" t="s">
        <v>1929</v>
      </c>
      <c r="I1554" t="s">
        <v>6159</v>
      </c>
      <c r="K1554" t="s">
        <v>6159</v>
      </c>
      <c r="L1554" t="s">
        <v>1923</v>
      </c>
      <c r="M1554" s="1" t="str">
        <f t="shared" si="170"/>
        <v>12H446</v>
      </c>
      <c r="N1554" s="1" t="str">
        <f t="shared" si="171"/>
        <v>C/O</v>
      </c>
      <c r="O1554" s="1" t="str">
        <f t="shared" si="172"/>
        <v>Ripper Lift Cylinder RH</v>
      </c>
      <c r="P1554" s="1" t="str">
        <f t="shared" si="173"/>
        <v>B930</v>
      </c>
      <c r="Q1554" s="2" t="str">
        <f t="shared" si="174"/>
        <v>B930Ripper Lift Cylinder RH</v>
      </c>
      <c r="R1554" s="2" t="str">
        <f>New_Xref[[#This Row],[Serial Prefix]]&amp;IF(New_Xref[[#This Row],[Func Loc]]&lt;&gt;"",New_Xref[[#This Row],[Func Loc]],"NO MATCH")</f>
        <v>B930MYHD .CYLI.RILR</v>
      </c>
      <c r="S1554" s="3" t="str">
        <f t="shared" si="169"/>
        <v>B930Ripper Lift Cylinder RH</v>
      </c>
      <c r="T1554" t="s">
        <v>246</v>
      </c>
      <c r="U1554" t="s">
        <v>115</v>
      </c>
      <c r="V1554" t="str">
        <f t="shared" si="168"/>
        <v>5352RI</v>
      </c>
    </row>
    <row r="1555" spans="1:22">
      <c r="A1555" t="s">
        <v>1853</v>
      </c>
      <c r="B1555" t="s">
        <v>1854</v>
      </c>
      <c r="I1555" t="s">
        <v>6160</v>
      </c>
      <c r="K1555" t="s">
        <v>6160</v>
      </c>
      <c r="L1555" t="s">
        <v>129</v>
      </c>
      <c r="M1555" s="1" t="str">
        <f t="shared" si="170"/>
        <v>12R05</v>
      </c>
      <c r="N1555" s="1" t="str">
        <f t="shared" si="171"/>
        <v>C/O</v>
      </c>
      <c r="O1555" s="1" t="str">
        <f t="shared" si="172"/>
        <v>Blade Lift Cylinder LH</v>
      </c>
      <c r="P1555" s="1" t="str">
        <f t="shared" si="173"/>
        <v>7KK0</v>
      </c>
      <c r="Q1555" s="2" t="str">
        <f t="shared" si="174"/>
        <v>7KK0Blade Lift Cylinder LH</v>
      </c>
      <c r="R1555" s="2" t="str">
        <f>New_Xref[[#This Row],[Serial Prefix]]&amp;IF(New_Xref[[#This Row],[Func Loc]]&lt;&gt;"",New_Xref[[#This Row],[Func Loc]],"NO MATCH")</f>
        <v>7KK0MYHD .CYLI.BLLL</v>
      </c>
      <c r="S1555" s="3" t="str">
        <f t="shared" si="169"/>
        <v>7KK0Blade Lift Cylinder LH</v>
      </c>
      <c r="T1555" t="s">
        <v>130</v>
      </c>
      <c r="U1555" t="s">
        <v>108</v>
      </c>
      <c r="V1555" t="str">
        <f t="shared" si="168"/>
        <v>5102LT</v>
      </c>
    </row>
    <row r="1556" spans="1:22">
      <c r="A1556" t="s">
        <v>1853</v>
      </c>
      <c r="B1556" t="s">
        <v>1854</v>
      </c>
      <c r="I1556" t="s">
        <v>6161</v>
      </c>
      <c r="K1556" t="s">
        <v>6161</v>
      </c>
      <c r="L1556" t="s">
        <v>133</v>
      </c>
      <c r="M1556" s="1" t="str">
        <f t="shared" si="170"/>
        <v>12R05</v>
      </c>
      <c r="N1556" s="1" t="str">
        <f t="shared" si="171"/>
        <v>C/O</v>
      </c>
      <c r="O1556" s="1" t="str">
        <f t="shared" si="172"/>
        <v>Blade Lift Cylinder RH</v>
      </c>
      <c r="P1556" s="1" t="str">
        <f t="shared" si="173"/>
        <v>7KK0</v>
      </c>
      <c r="Q1556" s="2" t="str">
        <f t="shared" si="174"/>
        <v>7KK0Blade Lift Cylinder RH</v>
      </c>
      <c r="R1556" s="2" t="str">
        <f>New_Xref[[#This Row],[Serial Prefix]]&amp;IF(New_Xref[[#This Row],[Func Loc]]&lt;&gt;"",New_Xref[[#This Row],[Func Loc]],"NO MATCH")</f>
        <v>7KK0MYHD .CYLI.BLLR</v>
      </c>
      <c r="S1556" s="3" t="str">
        <f t="shared" si="169"/>
        <v>7KK0Blade Lift Cylinder RH</v>
      </c>
      <c r="T1556" t="s">
        <v>130</v>
      </c>
      <c r="U1556" t="s">
        <v>115</v>
      </c>
      <c r="V1556" t="str">
        <f t="shared" si="168"/>
        <v>5102RI</v>
      </c>
    </row>
    <row r="1557" spans="1:22">
      <c r="A1557" t="s">
        <v>1853</v>
      </c>
      <c r="B1557" t="s">
        <v>1924</v>
      </c>
      <c r="I1557" t="s">
        <v>6162</v>
      </c>
      <c r="K1557" t="s">
        <v>6162</v>
      </c>
      <c r="L1557" t="s">
        <v>232</v>
      </c>
      <c r="M1557" s="1" t="str">
        <f t="shared" si="170"/>
        <v>12H201</v>
      </c>
      <c r="N1557" s="1" t="str">
        <f t="shared" si="171"/>
        <v>C/O</v>
      </c>
      <c r="O1557" s="1" t="str">
        <f t="shared" si="172"/>
        <v>Centreshift Cylinder</v>
      </c>
      <c r="P1557" s="1" t="str">
        <f t="shared" si="173"/>
        <v>7KK0</v>
      </c>
      <c r="Q1557" s="2" t="str">
        <f t="shared" si="174"/>
        <v>7KK0Centreshift Cylinder</v>
      </c>
      <c r="R1557" s="2" t="str">
        <f>New_Xref[[#This Row],[Serial Prefix]]&amp;IF(New_Xref[[#This Row],[Func Loc]]&lt;&gt;"",New_Xref[[#This Row],[Func Loc]],"NO MATCH")</f>
        <v>7KK0MYHD .CYLI.CENT</v>
      </c>
      <c r="S1557" s="3" t="str">
        <f t="shared" si="169"/>
        <v>7KK0Centreshift Cylinder</v>
      </c>
      <c r="T1557" t="s">
        <v>233</v>
      </c>
      <c r="U1557" t="s">
        <v>34</v>
      </c>
      <c r="V1557" t="str">
        <f t="shared" si="168"/>
        <v>522300</v>
      </c>
    </row>
    <row r="1558" spans="1:22">
      <c r="A1558" t="s">
        <v>1853</v>
      </c>
      <c r="B1558" t="s">
        <v>1854</v>
      </c>
      <c r="I1558" t="s">
        <v>6163</v>
      </c>
      <c r="K1558" t="s">
        <v>6163</v>
      </c>
      <c r="L1558" t="s">
        <v>2092</v>
      </c>
      <c r="M1558" s="1" t="str">
        <f t="shared" si="170"/>
        <v>12R05</v>
      </c>
      <c r="N1558" s="1" t="str">
        <f t="shared" si="171"/>
        <v>C/O</v>
      </c>
      <c r="O1558" s="1" t="str">
        <f t="shared" si="172"/>
        <v>Ripper Lift Cylinder LH</v>
      </c>
      <c r="P1558" s="1" t="str">
        <f t="shared" si="173"/>
        <v>7KK0</v>
      </c>
      <c r="Q1558" s="2" t="str">
        <f t="shared" si="174"/>
        <v>7KK0Ripper Lift Cylinder LH</v>
      </c>
      <c r="R1558" s="2" t="str">
        <f>New_Xref[[#This Row],[Serial Prefix]]&amp;IF(New_Xref[[#This Row],[Func Loc]]&lt;&gt;"",New_Xref[[#This Row],[Func Loc]],"NO MATCH")</f>
        <v>7KK0MYHD .CYLI.RILL</v>
      </c>
      <c r="S1558" s="3" t="str">
        <f t="shared" si="169"/>
        <v>7KK0Ripper Lift Cylinder LH</v>
      </c>
      <c r="T1558" t="s">
        <v>246</v>
      </c>
      <c r="U1558" t="s">
        <v>108</v>
      </c>
      <c r="V1558" t="str">
        <f t="shared" si="168"/>
        <v>5352LT</v>
      </c>
    </row>
    <row r="1559" spans="1:22">
      <c r="A1559" t="s">
        <v>1853</v>
      </c>
      <c r="B1559" t="s">
        <v>1854</v>
      </c>
      <c r="I1559" t="s">
        <v>6164</v>
      </c>
      <c r="K1559" t="s">
        <v>6164</v>
      </c>
      <c r="L1559" t="s">
        <v>767</v>
      </c>
      <c r="M1559" s="1" t="str">
        <f t="shared" si="170"/>
        <v>12R05</v>
      </c>
      <c r="N1559" s="1" t="str">
        <f t="shared" si="171"/>
        <v>C/O</v>
      </c>
      <c r="O1559" s="1" t="str">
        <f t="shared" si="172"/>
        <v>Steering Cylinder LH</v>
      </c>
      <c r="P1559" s="1" t="str">
        <f t="shared" si="173"/>
        <v>7KK0</v>
      </c>
      <c r="Q1559" s="2" t="str">
        <f t="shared" si="174"/>
        <v>7KK0Steering Cylinder LH</v>
      </c>
      <c r="R1559" s="2" t="str">
        <f>New_Xref[[#This Row],[Serial Prefix]]&amp;IF(New_Xref[[#This Row],[Func Loc]]&lt;&gt;"",New_Xref[[#This Row],[Func Loc]],"NO MATCH")</f>
        <v>7KK0STRG .CYLI.SC01</v>
      </c>
      <c r="S1559" s="3" t="str">
        <f t="shared" si="169"/>
        <v>7KK0Steering Cylinder LH</v>
      </c>
      <c r="T1559" t="s">
        <v>107</v>
      </c>
      <c r="U1559" t="s">
        <v>108</v>
      </c>
      <c r="V1559" t="str">
        <f t="shared" si="168"/>
        <v>4303LT</v>
      </c>
    </row>
    <row r="1560" spans="1:22">
      <c r="A1560" t="s">
        <v>1853</v>
      </c>
      <c r="B1560" t="s">
        <v>1854</v>
      </c>
      <c r="I1560" t="s">
        <v>6165</v>
      </c>
      <c r="K1560" t="s">
        <v>6165</v>
      </c>
      <c r="L1560" t="s">
        <v>770</v>
      </c>
      <c r="M1560" s="1" t="str">
        <f t="shared" si="170"/>
        <v>12R05</v>
      </c>
      <c r="N1560" s="1" t="str">
        <f t="shared" si="171"/>
        <v>C/O</v>
      </c>
      <c r="O1560" s="1" t="str">
        <f t="shared" si="172"/>
        <v>Steering Cylinder RH</v>
      </c>
      <c r="P1560" s="1" t="str">
        <f t="shared" si="173"/>
        <v>7KK0</v>
      </c>
      <c r="Q1560" s="2" t="str">
        <f t="shared" si="174"/>
        <v>7KK0Steering Cylinder RH</v>
      </c>
      <c r="R1560" s="2" t="str">
        <f>New_Xref[[#This Row],[Serial Prefix]]&amp;IF(New_Xref[[#This Row],[Func Loc]]&lt;&gt;"",New_Xref[[#This Row],[Func Loc]],"NO MATCH")</f>
        <v>7KK0STRG .CYLI.SC02</v>
      </c>
      <c r="S1560" s="3" t="str">
        <f t="shared" si="169"/>
        <v>7KK0Steering Cylinder RH</v>
      </c>
      <c r="T1560" t="s">
        <v>107</v>
      </c>
      <c r="U1560" t="s">
        <v>115</v>
      </c>
      <c r="V1560" t="str">
        <f t="shared" si="168"/>
        <v>4303RI</v>
      </c>
    </row>
    <row r="1561" spans="1:22">
      <c r="A1561" t="s">
        <v>2494</v>
      </c>
      <c r="B1561" t="s">
        <v>2495</v>
      </c>
      <c r="C1561" t="s">
        <v>2542</v>
      </c>
      <c r="D1561" t="s">
        <v>2543</v>
      </c>
      <c r="E1561" t="s">
        <v>2544</v>
      </c>
      <c r="F1561" t="s">
        <v>27</v>
      </c>
      <c r="G1561">
        <v>1</v>
      </c>
      <c r="H1561" t="s">
        <v>2545</v>
      </c>
      <c r="I1561" t="s">
        <v>6166</v>
      </c>
      <c r="J1561" t="s">
        <v>2547</v>
      </c>
      <c r="K1561" t="s">
        <v>6166</v>
      </c>
      <c r="L1561" t="s">
        <v>2170</v>
      </c>
      <c r="M1561" s="1" t="str">
        <f t="shared" si="170"/>
        <v>06D27</v>
      </c>
      <c r="N1561" s="1" t="str">
        <f t="shared" si="171"/>
        <v>C/O</v>
      </c>
      <c r="O1561" s="1" t="str">
        <f t="shared" si="172"/>
        <v>Main Pump Drive Transmission</v>
      </c>
      <c r="P1561" s="1" t="str">
        <f t="shared" si="173"/>
        <v>APX0</v>
      </c>
      <c r="Q1561" s="2" t="str">
        <f t="shared" si="174"/>
        <v>APX0Main Pump Drive Transmission</v>
      </c>
      <c r="R1561" s="2" t="str">
        <f>New_Xref[[#This Row],[Serial Prefix]]&amp;IF(New_Xref[[#This Row],[Func Loc]]&lt;&gt;"",New_Xref[[#This Row],[Func Loc]],"NO MATCH")</f>
        <v>APX0TRAN .MPDT</v>
      </c>
      <c r="S1561" s="3" t="str">
        <f t="shared" si="169"/>
        <v>APX02A6546XMain Pump Drive Transmission</v>
      </c>
      <c r="T1561" t="s">
        <v>1234</v>
      </c>
      <c r="U1561" t="s">
        <v>34</v>
      </c>
      <c r="V1561" t="str">
        <f t="shared" si="168"/>
        <v>310800</v>
      </c>
    </row>
    <row r="1562" spans="1:22">
      <c r="A1562" t="s">
        <v>2628</v>
      </c>
      <c r="B1562" t="s">
        <v>2634</v>
      </c>
      <c r="C1562" t="s">
        <v>2542</v>
      </c>
      <c r="D1562" t="s">
        <v>2543</v>
      </c>
      <c r="E1562" t="s">
        <v>2544</v>
      </c>
      <c r="F1562" t="s">
        <v>27</v>
      </c>
      <c r="G1562">
        <v>1</v>
      </c>
      <c r="H1562" t="s">
        <v>2723</v>
      </c>
      <c r="I1562" t="s">
        <v>6167</v>
      </c>
      <c r="J1562" t="s">
        <v>2725</v>
      </c>
      <c r="K1562" t="s">
        <v>6167</v>
      </c>
      <c r="L1562" t="s">
        <v>2170</v>
      </c>
      <c r="M1562" s="1" t="str">
        <f t="shared" si="170"/>
        <v>06D327</v>
      </c>
      <c r="N1562" s="1" t="str">
        <f t="shared" si="171"/>
        <v>C/O</v>
      </c>
      <c r="O1562" s="1" t="str">
        <f t="shared" si="172"/>
        <v>Main Pump Drive Transmission</v>
      </c>
      <c r="P1562" s="1" t="str">
        <f t="shared" si="173"/>
        <v>DMC0</v>
      </c>
      <c r="Q1562" s="2" t="str">
        <f t="shared" si="174"/>
        <v>DMC0Main Pump Drive Transmission</v>
      </c>
      <c r="R1562" s="2" t="str">
        <f>New_Xref[[#This Row],[Serial Prefix]]&amp;IF(New_Xref[[#This Row],[Func Loc]]&lt;&gt;"",New_Xref[[#This Row],[Func Loc]],"NO MATCH")</f>
        <v>DMC0TRAN .MPDT</v>
      </c>
      <c r="S1562" s="3" t="str">
        <f t="shared" si="169"/>
        <v>DMC02A6546XMain Pump Drive Transmission</v>
      </c>
      <c r="T1562" t="s">
        <v>1234</v>
      </c>
      <c r="U1562" t="s">
        <v>34</v>
      </c>
      <c r="V1562" t="str">
        <f t="shared" si="168"/>
        <v>310800</v>
      </c>
    </row>
    <row r="1563" spans="1:22">
      <c r="A1563" t="s">
        <v>2628</v>
      </c>
      <c r="B1563" t="s">
        <v>2690</v>
      </c>
      <c r="C1563" t="s">
        <v>2542</v>
      </c>
      <c r="D1563" t="s">
        <v>2543</v>
      </c>
      <c r="E1563" t="s">
        <v>2544</v>
      </c>
      <c r="F1563" t="s">
        <v>27</v>
      </c>
      <c r="G1563">
        <v>1</v>
      </c>
      <c r="H1563" t="s">
        <v>2726</v>
      </c>
      <c r="I1563" t="s">
        <v>6168</v>
      </c>
      <c r="J1563" t="s">
        <v>2728</v>
      </c>
      <c r="K1563" t="s">
        <v>6168</v>
      </c>
      <c r="L1563" t="s">
        <v>2170</v>
      </c>
      <c r="M1563" s="1" t="str">
        <f t="shared" si="170"/>
        <v>06R915</v>
      </c>
      <c r="N1563" s="1" t="str">
        <f t="shared" si="171"/>
        <v>C/O</v>
      </c>
      <c r="O1563" s="1" t="str">
        <f t="shared" si="172"/>
        <v>Main Pump Drive Transmission</v>
      </c>
      <c r="P1563" s="1" t="str">
        <f t="shared" si="173"/>
        <v>MSY0</v>
      </c>
      <c r="Q1563" s="2" t="str">
        <f t="shared" si="174"/>
        <v>MSY0Main Pump Drive Transmission</v>
      </c>
      <c r="R1563" s="2" t="str">
        <f>New_Xref[[#This Row],[Serial Prefix]]&amp;IF(New_Xref[[#This Row],[Func Loc]]&lt;&gt;"",New_Xref[[#This Row],[Func Loc]],"NO MATCH")</f>
        <v>MSY0TRAN .MPDT</v>
      </c>
      <c r="S1563" s="3" t="str">
        <f t="shared" si="169"/>
        <v>MSY02A6546XMain Pump Drive Transmission</v>
      </c>
      <c r="T1563" t="s">
        <v>1234</v>
      </c>
      <c r="U1563" t="s">
        <v>34</v>
      </c>
      <c r="V1563" t="str">
        <f t="shared" si="168"/>
        <v>310800</v>
      </c>
    </row>
    <row r="1564" spans="1:22">
      <c r="A1564" t="s">
        <v>3031</v>
      </c>
      <c r="B1564" t="s">
        <v>3032</v>
      </c>
      <c r="C1564" t="s">
        <v>2542</v>
      </c>
      <c r="D1564" t="s">
        <v>2543</v>
      </c>
      <c r="E1564" t="s">
        <v>2544</v>
      </c>
      <c r="F1564" t="s">
        <v>27</v>
      </c>
      <c r="G1564">
        <v>1</v>
      </c>
      <c r="H1564" t="s">
        <v>3102</v>
      </c>
      <c r="I1564" t="s">
        <v>6169</v>
      </c>
      <c r="J1564" t="s">
        <v>3104</v>
      </c>
      <c r="K1564" t="s">
        <v>6169</v>
      </c>
      <c r="L1564" t="s">
        <v>2170</v>
      </c>
      <c r="M1564" s="1" t="str">
        <f t="shared" si="170"/>
        <v>06B234</v>
      </c>
      <c r="N1564" s="1" t="str">
        <f t="shared" si="171"/>
        <v>C/O</v>
      </c>
      <c r="O1564" s="1" t="str">
        <f t="shared" si="172"/>
        <v>Main Pump Drive Transmission</v>
      </c>
      <c r="P1564" s="1" t="str">
        <f t="shared" si="173"/>
        <v>AX70</v>
      </c>
      <c r="Q1564" s="2" t="str">
        <f t="shared" si="174"/>
        <v>AX70Main Pump Drive Transmission</v>
      </c>
      <c r="R1564" s="2" t="str">
        <f>New_Xref[[#This Row],[Serial Prefix]]&amp;IF(New_Xref[[#This Row],[Func Loc]]&lt;&gt;"",New_Xref[[#This Row],[Func Loc]],"NO MATCH")</f>
        <v>AX70TRAN .MPDT</v>
      </c>
      <c r="S1564" s="3" t="str">
        <f t="shared" si="169"/>
        <v>AX702A6546XMain Pump Drive Transmission</v>
      </c>
      <c r="T1564" t="s">
        <v>1234</v>
      </c>
      <c r="U1564" t="s">
        <v>34</v>
      </c>
      <c r="V1564" t="str">
        <f t="shared" si="168"/>
        <v>310800</v>
      </c>
    </row>
    <row r="1565" spans="1:22">
      <c r="A1565" t="s">
        <v>3031</v>
      </c>
      <c r="B1565" t="s">
        <v>3040</v>
      </c>
      <c r="C1565" t="s">
        <v>2542</v>
      </c>
      <c r="D1565" t="s">
        <v>2543</v>
      </c>
      <c r="E1565" t="s">
        <v>2544</v>
      </c>
      <c r="F1565" t="s">
        <v>27</v>
      </c>
      <c r="G1565">
        <v>1</v>
      </c>
      <c r="H1565" t="s">
        <v>3102</v>
      </c>
      <c r="I1565" t="s">
        <v>6170</v>
      </c>
      <c r="J1565" t="s">
        <v>3106</v>
      </c>
      <c r="K1565" t="s">
        <v>6170</v>
      </c>
      <c r="L1565" t="s">
        <v>2170</v>
      </c>
      <c r="M1565" s="1" t="str">
        <f t="shared" si="170"/>
        <v>06B232</v>
      </c>
      <c r="N1565" s="1" t="str">
        <f t="shared" si="171"/>
        <v>C/O</v>
      </c>
      <c r="O1565" s="1" t="str">
        <f t="shared" si="172"/>
        <v>Main Pump Drive Transmission</v>
      </c>
      <c r="P1565" s="1" t="str">
        <f t="shared" si="173"/>
        <v>AX79</v>
      </c>
      <c r="Q1565" s="2" t="str">
        <f t="shared" si="174"/>
        <v>AX79Main Pump Drive Transmission</v>
      </c>
      <c r="R1565" s="2" t="str">
        <f>New_Xref[[#This Row],[Serial Prefix]]&amp;IF(New_Xref[[#This Row],[Func Loc]]&lt;&gt;"",New_Xref[[#This Row],[Func Loc]],"NO MATCH")</f>
        <v>AX79TRAN .MPDT</v>
      </c>
      <c r="S1565" s="3" t="str">
        <f t="shared" si="169"/>
        <v>AX792A6546XMain Pump Drive Transmission</v>
      </c>
      <c r="T1565" t="s">
        <v>1234</v>
      </c>
      <c r="U1565" t="s">
        <v>34</v>
      </c>
      <c r="V1565" t="str">
        <f t="shared" si="168"/>
        <v>310800</v>
      </c>
    </row>
    <row r="1566" spans="1:22">
      <c r="A1566" t="s">
        <v>2494</v>
      </c>
      <c r="B1566" t="s">
        <v>2495</v>
      </c>
      <c r="C1566" t="s">
        <v>2542</v>
      </c>
      <c r="D1566" t="s">
        <v>2543</v>
      </c>
      <c r="E1566" t="s">
        <v>2544</v>
      </c>
      <c r="F1566" t="s">
        <v>27</v>
      </c>
      <c r="G1566">
        <v>1</v>
      </c>
      <c r="H1566" t="s">
        <v>2545</v>
      </c>
      <c r="I1566" t="s">
        <v>6171</v>
      </c>
      <c r="J1566" t="s">
        <v>2547</v>
      </c>
      <c r="K1566" t="s">
        <v>6171</v>
      </c>
      <c r="L1566" t="s">
        <v>2170</v>
      </c>
      <c r="M1566" s="1" t="str">
        <f t="shared" si="170"/>
        <v>06D27</v>
      </c>
      <c r="N1566" s="1" t="str">
        <f t="shared" si="171"/>
        <v>C/O</v>
      </c>
      <c r="O1566" s="1" t="str">
        <f t="shared" si="172"/>
        <v>Main Pump Drive Trans</v>
      </c>
      <c r="P1566" s="1" t="str">
        <f t="shared" si="173"/>
        <v>APX0</v>
      </c>
      <c r="Q1566" s="2" t="str">
        <f t="shared" si="174"/>
        <v>APX0Main Pump Drive Trans</v>
      </c>
      <c r="R1566" s="2" t="str">
        <f>New_Xref[[#This Row],[Serial Prefix]]&amp;IF(New_Xref[[#This Row],[Func Loc]]&lt;&gt;"",New_Xref[[#This Row],[Func Loc]],"NO MATCH")</f>
        <v>APX0TRAN .MPDT</v>
      </c>
      <c r="S1566" s="3" t="str">
        <f t="shared" si="169"/>
        <v>APX02A6546XMain Pump Drive Trans</v>
      </c>
      <c r="T1566" t="s">
        <v>1234</v>
      </c>
      <c r="U1566" t="s">
        <v>34</v>
      </c>
      <c r="V1566" t="str">
        <f t="shared" si="168"/>
        <v>310800</v>
      </c>
    </row>
    <row r="1567" spans="1:22">
      <c r="A1567" t="s">
        <v>2628</v>
      </c>
      <c r="B1567" t="s">
        <v>2754</v>
      </c>
      <c r="C1567" t="s">
        <v>2777</v>
      </c>
      <c r="D1567" t="s">
        <v>2778</v>
      </c>
      <c r="E1567" t="s">
        <v>2779</v>
      </c>
      <c r="F1567" t="s">
        <v>27</v>
      </c>
      <c r="G1567">
        <v>1</v>
      </c>
      <c r="H1567" t="s">
        <v>2780</v>
      </c>
      <c r="I1567" t="s">
        <v>6172</v>
      </c>
      <c r="J1567" t="s">
        <v>2782</v>
      </c>
      <c r="K1567" t="s">
        <v>6172</v>
      </c>
      <c r="L1567" t="s">
        <v>83</v>
      </c>
      <c r="M1567" s="1" t="str">
        <f t="shared" si="170"/>
        <v>06H657</v>
      </c>
      <c r="N1567" s="1" t="str">
        <f t="shared" si="171"/>
        <v>C/O</v>
      </c>
      <c r="O1567" s="1" t="str">
        <f t="shared" si="172"/>
        <v>Final Drive Group RH</v>
      </c>
      <c r="P1567" s="1" t="str">
        <f t="shared" si="173"/>
        <v>DMC0</v>
      </c>
      <c r="Q1567" s="2" t="str">
        <f t="shared" si="174"/>
        <v>DMC0Final Drive Group RH</v>
      </c>
      <c r="R1567" s="2" t="str">
        <f>New_Xref[[#This Row],[Serial Prefix]]&amp;IF(New_Xref[[#This Row],[Func Loc]]&lt;&gt;"",New_Xref[[#This Row],[Func Loc]],"NO MATCH")</f>
        <v>DMC0NO MATCH</v>
      </c>
      <c r="S1567" s="3" t="str">
        <f t="shared" si="169"/>
        <v>DMC06259021XFinal Drive Group RH</v>
      </c>
      <c r="T1567" t="s">
        <v>2105</v>
      </c>
      <c r="U1567" t="s">
        <v>99</v>
      </c>
      <c r="V1567" t="str">
        <f t="shared" si="168"/>
        <v>4008RR</v>
      </c>
    </row>
    <row r="1568" spans="1:22">
      <c r="A1568" t="s">
        <v>2494</v>
      </c>
      <c r="B1568" t="s">
        <v>2495</v>
      </c>
      <c r="C1568" t="s">
        <v>2573</v>
      </c>
      <c r="D1568" t="s">
        <v>2574</v>
      </c>
      <c r="E1568" t="s">
        <v>2575</v>
      </c>
      <c r="F1568" t="s">
        <v>27</v>
      </c>
      <c r="G1568">
        <v>1</v>
      </c>
      <c r="H1568" t="s">
        <v>2576</v>
      </c>
      <c r="I1568" t="s">
        <v>6173</v>
      </c>
      <c r="J1568" t="s">
        <v>2578</v>
      </c>
      <c r="K1568" t="s">
        <v>6173</v>
      </c>
      <c r="L1568" t="s">
        <v>1605</v>
      </c>
      <c r="M1568" s="1" t="str">
        <f t="shared" si="170"/>
        <v>06D27</v>
      </c>
      <c r="N1568" s="1" t="str">
        <f t="shared" si="171"/>
        <v>C/O</v>
      </c>
      <c r="O1568" s="1" t="str">
        <f t="shared" si="172"/>
        <v>Final Drive LH</v>
      </c>
      <c r="P1568" s="1" t="str">
        <f t="shared" si="173"/>
        <v>APX0</v>
      </c>
      <c r="Q1568" s="2" t="str">
        <f t="shared" si="174"/>
        <v>APX0Final Drive LH</v>
      </c>
      <c r="R1568" s="2" t="str">
        <f>New_Xref[[#This Row],[Serial Prefix]]&amp;IF(New_Xref[[#This Row],[Func Loc]]&lt;&gt;"",New_Xref[[#This Row],[Func Loc]],"NO MATCH")</f>
        <v>APX0FDRV .AXAR.FDLH</v>
      </c>
      <c r="S1568" s="3" t="str">
        <f t="shared" si="169"/>
        <v>APX03178378XFinal Drive LH</v>
      </c>
      <c r="T1568" t="s">
        <v>2105</v>
      </c>
      <c r="U1568" t="s">
        <v>96</v>
      </c>
      <c r="V1568" t="str">
        <f t="shared" si="168"/>
        <v>4008LR</v>
      </c>
    </row>
    <row r="1569" spans="1:22">
      <c r="A1569" t="s">
        <v>2494</v>
      </c>
      <c r="B1569" t="s">
        <v>2495</v>
      </c>
      <c r="C1569" t="s">
        <v>2573</v>
      </c>
      <c r="D1569" t="s">
        <v>2574</v>
      </c>
      <c r="E1569" t="s">
        <v>2575</v>
      </c>
      <c r="F1569" t="s">
        <v>27</v>
      </c>
      <c r="G1569">
        <v>1</v>
      </c>
      <c r="H1569" t="s">
        <v>2576</v>
      </c>
      <c r="I1569" t="s">
        <v>6174</v>
      </c>
      <c r="J1569" t="s">
        <v>2580</v>
      </c>
      <c r="K1569" t="s">
        <v>6174</v>
      </c>
      <c r="L1569" t="s">
        <v>1608</v>
      </c>
      <c r="M1569" s="1" t="str">
        <f t="shared" si="170"/>
        <v>06D27</v>
      </c>
      <c r="N1569" s="1" t="str">
        <f t="shared" si="171"/>
        <v>C/O</v>
      </c>
      <c r="O1569" s="1" t="str">
        <f t="shared" si="172"/>
        <v>Final Drive RH</v>
      </c>
      <c r="P1569" s="1" t="str">
        <f t="shared" si="173"/>
        <v>APX0</v>
      </c>
      <c r="Q1569" s="2" t="str">
        <f t="shared" si="174"/>
        <v>APX0Final Drive RH</v>
      </c>
      <c r="R1569" s="2" t="str">
        <f>New_Xref[[#This Row],[Serial Prefix]]&amp;IF(New_Xref[[#This Row],[Func Loc]]&lt;&gt;"",New_Xref[[#This Row],[Func Loc]],"NO MATCH")</f>
        <v>APX0FDRV .AXAR.FDRH</v>
      </c>
      <c r="S1569" s="3" t="str">
        <f t="shared" si="169"/>
        <v>APX03178378XFinal Drive RH</v>
      </c>
      <c r="T1569" t="s">
        <v>2105</v>
      </c>
      <c r="U1569" t="s">
        <v>99</v>
      </c>
      <c r="V1569" t="str">
        <f t="shared" si="168"/>
        <v>4008RR</v>
      </c>
    </row>
    <row r="1570" spans="1:22">
      <c r="A1570" t="s">
        <v>2628</v>
      </c>
      <c r="B1570" t="s">
        <v>2754</v>
      </c>
      <c r="C1570" t="s">
        <v>2777</v>
      </c>
      <c r="D1570" t="s">
        <v>2778</v>
      </c>
      <c r="E1570" t="s">
        <v>2779</v>
      </c>
      <c r="F1570" t="s">
        <v>27</v>
      </c>
      <c r="G1570">
        <v>1</v>
      </c>
      <c r="H1570" t="s">
        <v>2780</v>
      </c>
      <c r="I1570" t="s">
        <v>6175</v>
      </c>
      <c r="J1570" t="s">
        <v>2782</v>
      </c>
      <c r="K1570" t="s">
        <v>6175</v>
      </c>
      <c r="L1570" t="s">
        <v>1605</v>
      </c>
      <c r="M1570" s="1" t="str">
        <f t="shared" si="170"/>
        <v>06H657</v>
      </c>
      <c r="N1570" s="1" t="str">
        <f t="shared" si="171"/>
        <v>C/O</v>
      </c>
      <c r="O1570" s="1" t="str">
        <f t="shared" si="172"/>
        <v>Final Drive LH</v>
      </c>
      <c r="P1570" s="1" t="str">
        <f t="shared" si="173"/>
        <v>DMC0</v>
      </c>
      <c r="Q1570" s="2" t="str">
        <f t="shared" si="174"/>
        <v>DMC0Final Drive LH</v>
      </c>
      <c r="R1570" s="2" t="str">
        <f>New_Xref[[#This Row],[Serial Prefix]]&amp;IF(New_Xref[[#This Row],[Func Loc]]&lt;&gt;"",New_Xref[[#This Row],[Func Loc]],"NO MATCH")</f>
        <v>DMC0FDRV .AXAR.FDLH</v>
      </c>
      <c r="S1570" s="3" t="str">
        <f t="shared" si="169"/>
        <v>DMC06259021XFinal Drive LH</v>
      </c>
      <c r="T1570" t="s">
        <v>2105</v>
      </c>
      <c r="U1570" t="s">
        <v>96</v>
      </c>
      <c r="V1570" t="str">
        <f t="shared" si="168"/>
        <v>4008LR</v>
      </c>
    </row>
    <row r="1571" spans="1:22">
      <c r="A1571" t="s">
        <v>2628</v>
      </c>
      <c r="B1571" t="s">
        <v>2754</v>
      </c>
      <c r="C1571" t="s">
        <v>2777</v>
      </c>
      <c r="D1571" t="s">
        <v>2778</v>
      </c>
      <c r="E1571" t="s">
        <v>2779</v>
      </c>
      <c r="F1571" t="s">
        <v>27</v>
      </c>
      <c r="G1571">
        <v>1</v>
      </c>
      <c r="H1571" t="s">
        <v>2780</v>
      </c>
      <c r="I1571" t="s">
        <v>6176</v>
      </c>
      <c r="J1571" t="s">
        <v>2782</v>
      </c>
      <c r="K1571" t="s">
        <v>6176</v>
      </c>
      <c r="L1571" t="s">
        <v>1608</v>
      </c>
      <c r="M1571" s="1" t="str">
        <f t="shared" si="170"/>
        <v>06H657</v>
      </c>
      <c r="N1571" s="1" t="str">
        <f t="shared" si="171"/>
        <v>C/O</v>
      </c>
      <c r="O1571" s="1" t="str">
        <f t="shared" si="172"/>
        <v>Final Drive RH</v>
      </c>
      <c r="P1571" s="1" t="str">
        <f t="shared" si="173"/>
        <v>DMC0</v>
      </c>
      <c r="Q1571" s="2" t="str">
        <f t="shared" si="174"/>
        <v>DMC0Final Drive RH</v>
      </c>
      <c r="R1571" s="2" t="str">
        <f>New_Xref[[#This Row],[Serial Prefix]]&amp;IF(New_Xref[[#This Row],[Func Loc]]&lt;&gt;"",New_Xref[[#This Row],[Func Loc]],"NO MATCH")</f>
        <v>DMC0FDRV .AXAR.FDRH</v>
      </c>
      <c r="S1571" s="3" t="str">
        <f t="shared" si="169"/>
        <v>DMC06259021XFinal Drive RH</v>
      </c>
      <c r="T1571" t="s">
        <v>2105</v>
      </c>
      <c r="U1571" t="s">
        <v>99</v>
      </c>
      <c r="V1571" t="str">
        <f t="shared" si="168"/>
        <v>4008RR</v>
      </c>
    </row>
    <row r="1572" spans="1:22">
      <c r="A1572" t="s">
        <v>2628</v>
      </c>
      <c r="B1572" t="s">
        <v>2690</v>
      </c>
      <c r="C1572" t="s">
        <v>2573</v>
      </c>
      <c r="D1572" t="s">
        <v>2574</v>
      </c>
      <c r="E1572" t="s">
        <v>2575</v>
      </c>
      <c r="F1572" t="s">
        <v>27</v>
      </c>
      <c r="G1572">
        <v>1</v>
      </c>
      <c r="H1572" t="s">
        <v>2783</v>
      </c>
      <c r="I1572" t="s">
        <v>6177</v>
      </c>
      <c r="J1572" t="s">
        <v>2785</v>
      </c>
      <c r="K1572" t="s">
        <v>6177</v>
      </c>
      <c r="L1572" t="s">
        <v>1608</v>
      </c>
      <c r="M1572" s="1" t="str">
        <f t="shared" si="170"/>
        <v>06H637</v>
      </c>
      <c r="N1572" s="1" t="str">
        <f t="shared" si="171"/>
        <v>C/O</v>
      </c>
      <c r="O1572" s="1" t="str">
        <f t="shared" si="172"/>
        <v>Final Drive RH</v>
      </c>
      <c r="P1572" s="1" t="str">
        <f t="shared" si="173"/>
        <v>MSY0</v>
      </c>
      <c r="Q1572" s="2" t="str">
        <f t="shared" si="174"/>
        <v>MSY0Final Drive RH</v>
      </c>
      <c r="R1572" s="2" t="str">
        <f>New_Xref[[#This Row],[Serial Prefix]]&amp;IF(New_Xref[[#This Row],[Func Loc]]&lt;&gt;"",New_Xref[[#This Row],[Func Loc]],"NO MATCH")</f>
        <v>MSY0FDRV .AXAR.FDRH</v>
      </c>
      <c r="S1572" s="3" t="str">
        <f t="shared" si="169"/>
        <v>MSY03178378XFinal Drive RH</v>
      </c>
      <c r="T1572" t="s">
        <v>2105</v>
      </c>
      <c r="U1572" t="s">
        <v>96</v>
      </c>
      <c r="V1572" t="str">
        <f t="shared" si="168"/>
        <v>4008LR</v>
      </c>
    </row>
    <row r="1573" spans="1:22">
      <c r="A1573" t="s">
        <v>2628</v>
      </c>
      <c r="B1573" t="s">
        <v>2690</v>
      </c>
      <c r="C1573" t="s">
        <v>2573</v>
      </c>
      <c r="D1573" t="s">
        <v>2574</v>
      </c>
      <c r="E1573" t="s">
        <v>2575</v>
      </c>
      <c r="F1573" t="s">
        <v>27</v>
      </c>
      <c r="G1573">
        <v>1</v>
      </c>
      <c r="H1573" t="s">
        <v>2783</v>
      </c>
      <c r="I1573" t="s">
        <v>6178</v>
      </c>
      <c r="J1573" t="s">
        <v>2787</v>
      </c>
      <c r="K1573" t="s">
        <v>6178</v>
      </c>
      <c r="L1573" t="s">
        <v>1605</v>
      </c>
      <c r="M1573" s="1" t="str">
        <f t="shared" si="170"/>
        <v>06R915</v>
      </c>
      <c r="N1573" s="1" t="str">
        <f t="shared" si="171"/>
        <v>C/O</v>
      </c>
      <c r="O1573" s="1" t="str">
        <f t="shared" si="172"/>
        <v>Final Drive LH</v>
      </c>
      <c r="P1573" s="1" t="str">
        <f t="shared" si="173"/>
        <v>MSY0</v>
      </c>
      <c r="Q1573" s="2" t="str">
        <f t="shared" si="174"/>
        <v>MSY0Final Drive LH</v>
      </c>
      <c r="R1573" s="2" t="str">
        <f>New_Xref[[#This Row],[Serial Prefix]]&amp;IF(New_Xref[[#This Row],[Func Loc]]&lt;&gt;"",New_Xref[[#This Row],[Func Loc]],"NO MATCH")</f>
        <v>MSY0FDRV .AXAR.FDLH</v>
      </c>
      <c r="S1573" s="3" t="str">
        <f t="shared" si="169"/>
        <v>MSY03178378XFinal Drive LH</v>
      </c>
      <c r="T1573" t="s">
        <v>2105</v>
      </c>
      <c r="U1573" t="s">
        <v>99</v>
      </c>
      <c r="V1573" t="str">
        <f t="shared" si="168"/>
        <v>4008RR</v>
      </c>
    </row>
    <row r="1574" spans="1:22">
      <c r="A1574" t="s">
        <v>22</v>
      </c>
      <c r="B1574" t="s">
        <v>35</v>
      </c>
      <c r="C1574" t="s">
        <v>77</v>
      </c>
      <c r="D1574" t="s">
        <v>78</v>
      </c>
      <c r="E1574" t="s">
        <v>79</v>
      </c>
      <c r="F1574" t="s">
        <v>27</v>
      </c>
      <c r="G1574">
        <v>1</v>
      </c>
      <c r="H1574" t="s">
        <v>80</v>
      </c>
      <c r="I1574" t="s">
        <v>6179</v>
      </c>
      <c r="J1574" t="s">
        <v>82</v>
      </c>
      <c r="K1574" t="s">
        <v>6179</v>
      </c>
      <c r="L1574" t="s">
        <v>463</v>
      </c>
      <c r="M1574" s="1" t="str">
        <f t="shared" si="170"/>
        <v>12R569</v>
      </c>
      <c r="N1574" s="1" t="str">
        <f t="shared" si="171"/>
        <v>C/O</v>
      </c>
      <c r="O1574" s="1" t="str">
        <f t="shared" si="172"/>
        <v>Differential &amp; Bevel Gear</v>
      </c>
      <c r="P1574" s="1" t="str">
        <f t="shared" si="173"/>
        <v>NN50</v>
      </c>
      <c r="Q1574" s="2" t="str">
        <f t="shared" si="174"/>
        <v>NN50Differential &amp; Bevel Gear</v>
      </c>
      <c r="R1574" s="2" t="str">
        <f>New_Xref[[#This Row],[Serial Prefix]]&amp;IF(New_Xref[[#This Row],[Func Loc]]&lt;&gt;"",New_Xref[[#This Row],[Func Loc]],"NO MATCH")</f>
        <v>NN50FDRV .AXAR.DIFF</v>
      </c>
      <c r="S1574" s="3" t="str">
        <f t="shared" si="169"/>
        <v>NN503799145XDifferential &amp; Bevel Gear</v>
      </c>
      <c r="T1574" t="s">
        <v>84</v>
      </c>
      <c r="U1574" t="s">
        <v>34</v>
      </c>
      <c r="V1574" t="str">
        <f t="shared" si="168"/>
        <v>327800</v>
      </c>
    </row>
    <row r="1575" spans="1:22">
      <c r="A1575" t="s">
        <v>1648</v>
      </c>
      <c r="B1575" t="s">
        <v>1649</v>
      </c>
      <c r="C1575" t="s">
        <v>1725</v>
      </c>
      <c r="D1575" t="s">
        <v>1726</v>
      </c>
      <c r="E1575" t="s">
        <v>1727</v>
      </c>
      <c r="F1575" t="s">
        <v>27</v>
      </c>
      <c r="G1575">
        <v>1</v>
      </c>
      <c r="H1575" t="s">
        <v>1728</v>
      </c>
      <c r="I1575" t="s">
        <v>6179</v>
      </c>
      <c r="J1575" t="s">
        <v>1730</v>
      </c>
      <c r="K1575" t="s">
        <v>6179</v>
      </c>
      <c r="L1575" t="s">
        <v>463</v>
      </c>
      <c r="M1575" s="1" t="str">
        <f t="shared" si="170"/>
        <v>12R569</v>
      </c>
      <c r="N1575" s="1" t="str">
        <f t="shared" si="171"/>
        <v>C/O</v>
      </c>
      <c r="O1575" s="1" t="str">
        <f t="shared" si="172"/>
        <v>Differential &amp; Bevel Gear</v>
      </c>
      <c r="P1575" s="1" t="str">
        <f t="shared" si="173"/>
        <v>B9H0</v>
      </c>
      <c r="Q1575" s="2" t="str">
        <f t="shared" si="174"/>
        <v>B9H0Differential &amp; Bevel Gear</v>
      </c>
      <c r="R1575" s="2" t="str">
        <f>New_Xref[[#This Row],[Serial Prefix]]&amp;IF(New_Xref[[#This Row],[Func Loc]]&lt;&gt;"",New_Xref[[#This Row],[Func Loc]],"NO MATCH")</f>
        <v>B9H0FDRV .AXAR.DIFF</v>
      </c>
      <c r="S1575" s="3" t="str">
        <f t="shared" si="169"/>
        <v>B9H02845026XDifferential &amp; Bevel Gear</v>
      </c>
      <c r="T1575" t="s">
        <v>84</v>
      </c>
      <c r="U1575" t="s">
        <v>34</v>
      </c>
      <c r="V1575" t="str">
        <f t="shared" si="168"/>
        <v>327800</v>
      </c>
    </row>
    <row r="1576" spans="1:22">
      <c r="A1576" t="s">
        <v>1648</v>
      </c>
      <c r="B1576" t="s">
        <v>1657</v>
      </c>
      <c r="C1576" t="s">
        <v>1725</v>
      </c>
      <c r="D1576" t="s">
        <v>1726</v>
      </c>
      <c r="E1576" t="s">
        <v>1731</v>
      </c>
      <c r="F1576" t="s">
        <v>27</v>
      </c>
      <c r="G1576">
        <v>1</v>
      </c>
      <c r="H1576" t="s">
        <v>1732</v>
      </c>
      <c r="I1576" t="s">
        <v>6179</v>
      </c>
      <c r="J1576" t="s">
        <v>1734</v>
      </c>
      <c r="K1576" t="s">
        <v>6179</v>
      </c>
      <c r="L1576" t="s">
        <v>463</v>
      </c>
      <c r="M1576" s="1" t="str">
        <f t="shared" si="170"/>
        <v>12R569</v>
      </c>
      <c r="N1576" s="1" t="str">
        <f t="shared" si="171"/>
        <v>C/O</v>
      </c>
      <c r="O1576" s="1" t="str">
        <f t="shared" si="172"/>
        <v>Differential &amp; Bevel Gear</v>
      </c>
      <c r="P1576" s="1" t="str">
        <f t="shared" si="173"/>
        <v>R9H0</v>
      </c>
      <c r="Q1576" s="2" t="str">
        <f t="shared" si="174"/>
        <v>R9H0Differential &amp; Bevel Gear</v>
      </c>
      <c r="R1576" s="2" t="str">
        <f>New_Xref[[#This Row],[Serial Prefix]]&amp;IF(New_Xref[[#This Row],[Func Loc]]&lt;&gt;"",New_Xref[[#This Row],[Func Loc]],"NO MATCH")</f>
        <v>R9H0FDRV .AXAR.DIFF</v>
      </c>
      <c r="S1576" s="3" t="str">
        <f t="shared" si="169"/>
        <v>R9H02845026XDifferential &amp; Bevel Gear</v>
      </c>
      <c r="T1576" t="s">
        <v>84</v>
      </c>
      <c r="U1576" t="s">
        <v>34</v>
      </c>
      <c r="V1576" t="str">
        <f t="shared" si="168"/>
        <v>327800</v>
      </c>
    </row>
    <row r="1577" spans="1:22">
      <c r="A1577" t="s">
        <v>252</v>
      </c>
      <c r="B1577" t="s">
        <v>253</v>
      </c>
      <c r="C1577" t="s">
        <v>311</v>
      </c>
      <c r="D1577" t="s">
        <v>312</v>
      </c>
      <c r="E1577" t="s">
        <v>313</v>
      </c>
      <c r="F1577" t="s">
        <v>27</v>
      </c>
      <c r="G1577">
        <v>1</v>
      </c>
      <c r="H1577" t="s">
        <v>314</v>
      </c>
      <c r="I1577" t="s">
        <v>6180</v>
      </c>
      <c r="J1577" t="s">
        <v>316</v>
      </c>
      <c r="K1577" t="s">
        <v>6180</v>
      </c>
      <c r="L1577" t="s">
        <v>463</v>
      </c>
      <c r="M1577" s="1" t="str">
        <f t="shared" si="170"/>
        <v>12B564</v>
      </c>
      <c r="N1577" s="1" t="str">
        <f t="shared" si="171"/>
        <v>C/O</v>
      </c>
      <c r="O1577" s="1" t="str">
        <f t="shared" si="172"/>
        <v>Differential &amp; Bevel Gear</v>
      </c>
      <c r="P1577" s="1" t="str">
        <f t="shared" si="173"/>
        <v>E9Z0</v>
      </c>
      <c r="Q1577" s="2" t="str">
        <f t="shared" si="174"/>
        <v>E9Z0Differential &amp; Bevel Gear</v>
      </c>
      <c r="R1577" s="2" t="str">
        <f>New_Xref[[#This Row],[Serial Prefix]]&amp;IF(New_Xref[[#This Row],[Func Loc]]&lt;&gt;"",New_Xref[[#This Row],[Func Loc]],"NO MATCH")</f>
        <v>E9Z0FDRV .AXAR.DIFF</v>
      </c>
      <c r="S1577" s="3" t="str">
        <f t="shared" si="169"/>
        <v>E9Z04420688XDifferential &amp; Bevel Gear</v>
      </c>
      <c r="T1577" t="s">
        <v>84</v>
      </c>
      <c r="U1577" t="s">
        <v>317</v>
      </c>
      <c r="V1577" t="str">
        <f t="shared" si="168"/>
        <v>3278RE</v>
      </c>
    </row>
    <row r="1578" spans="1:22">
      <c r="A1578" t="s">
        <v>708</v>
      </c>
      <c r="B1578" t="s">
        <v>771</v>
      </c>
      <c r="I1578" t="s">
        <v>6181</v>
      </c>
      <c r="K1578" t="s">
        <v>6181</v>
      </c>
      <c r="L1578" t="s">
        <v>6182</v>
      </c>
      <c r="M1578" s="1" t="str">
        <f t="shared" si="170"/>
        <v>06H508</v>
      </c>
      <c r="N1578" s="1" t="str">
        <f t="shared" si="171"/>
        <v>C/O</v>
      </c>
      <c r="O1578" s="1" t="str">
        <f t="shared" si="172"/>
        <v>Differential Centre</v>
      </c>
      <c r="P1578" s="1" t="str">
        <f t="shared" si="173"/>
        <v>KZ00</v>
      </c>
      <c r="Q1578" s="2" t="str">
        <f t="shared" si="174"/>
        <v>KZ00Differential Centre</v>
      </c>
      <c r="R1578" s="2" t="str">
        <f>New_Xref[[#This Row],[Serial Prefix]]&amp;IF(New_Xref[[#This Row],[Func Loc]]&lt;&gt;"",New_Xref[[#This Row],[Func Loc]],"NO MATCH")</f>
        <v>KZ00FDRV .AXAC.DIFF</v>
      </c>
      <c r="S1578" s="3" t="str">
        <f t="shared" si="169"/>
        <v>KZ00Differential Centre</v>
      </c>
      <c r="T1578" t="s">
        <v>464</v>
      </c>
      <c r="U1578" t="s">
        <v>4144</v>
      </c>
      <c r="V1578" t="str">
        <f t="shared" si="168"/>
        <v>3258CE</v>
      </c>
    </row>
    <row r="1579" spans="1:22">
      <c r="A1579" t="s">
        <v>708</v>
      </c>
      <c r="B1579" t="s">
        <v>795</v>
      </c>
      <c r="I1579" t="s">
        <v>6183</v>
      </c>
      <c r="K1579" t="s">
        <v>6183</v>
      </c>
      <c r="L1579" t="s">
        <v>463</v>
      </c>
      <c r="M1579" s="1" t="str">
        <f t="shared" si="170"/>
        <v>06H508</v>
      </c>
      <c r="N1579" s="1" t="str">
        <f t="shared" si="171"/>
        <v>C/O</v>
      </c>
      <c r="O1579" s="1" t="str">
        <f t="shared" si="172"/>
        <v>Differential Rear</v>
      </c>
      <c r="P1579" s="1" t="str">
        <f t="shared" si="173"/>
        <v>KZ00</v>
      </c>
      <c r="Q1579" s="2" t="str">
        <f t="shared" si="174"/>
        <v>KZ00Differential Rear</v>
      </c>
      <c r="R1579" s="2" t="str">
        <f>New_Xref[[#This Row],[Serial Prefix]]&amp;IF(New_Xref[[#This Row],[Func Loc]]&lt;&gt;"",New_Xref[[#This Row],[Func Loc]],"NO MATCH")</f>
        <v>KZ00FDRV .AXAR.DIFF</v>
      </c>
      <c r="S1579" s="3" t="str">
        <f t="shared" si="169"/>
        <v>KZ00Differential Rear</v>
      </c>
      <c r="T1579" t="s">
        <v>464</v>
      </c>
      <c r="U1579" t="s">
        <v>317</v>
      </c>
      <c r="V1579" t="str">
        <f t="shared" si="168"/>
        <v>3258RE</v>
      </c>
    </row>
    <row r="1580" spans="1:22">
      <c r="A1580" t="s">
        <v>1648</v>
      </c>
      <c r="B1580" t="s">
        <v>1649</v>
      </c>
      <c r="C1580" t="s">
        <v>1688</v>
      </c>
      <c r="D1580" t="s">
        <v>1689</v>
      </c>
      <c r="E1580" t="s">
        <v>1690</v>
      </c>
      <c r="F1580" t="s">
        <v>27</v>
      </c>
      <c r="G1580">
        <v>1</v>
      </c>
      <c r="H1580" t="s">
        <v>1691</v>
      </c>
      <c r="I1580" t="s">
        <v>6184</v>
      </c>
      <c r="J1580" t="s">
        <v>1693</v>
      </c>
      <c r="K1580" t="s">
        <v>6184</v>
      </c>
      <c r="L1580" t="s">
        <v>67</v>
      </c>
      <c r="M1580" s="1" t="str">
        <f t="shared" si="170"/>
        <v>12H130</v>
      </c>
      <c r="N1580" s="1" t="str">
        <f t="shared" si="171"/>
        <v>C/O</v>
      </c>
      <c r="O1580" s="1" t="str">
        <f t="shared" si="172"/>
        <v>Engine Radiator</v>
      </c>
      <c r="P1580" s="1" t="str">
        <f t="shared" si="173"/>
        <v>B9H0</v>
      </c>
      <c r="Q1580" s="2" t="str">
        <f t="shared" si="174"/>
        <v>B9H0Engine Radiator</v>
      </c>
      <c r="R1580" s="2" t="str">
        <f>New_Xref[[#This Row],[Serial Prefix]]&amp;IF(New_Xref[[#This Row],[Func Loc]]&lt;&gt;"",New_Xref[[#This Row],[Func Loc]],"NO MATCH")</f>
        <v>B9H0ENGD .ENCS.RADI</v>
      </c>
      <c r="S1580" s="3" t="str">
        <f t="shared" si="169"/>
        <v>B9H02497363FEngine Radiator</v>
      </c>
      <c r="T1580" t="s">
        <v>1694</v>
      </c>
      <c r="U1580" t="s">
        <v>34</v>
      </c>
      <c r="V1580" t="str">
        <f t="shared" si="168"/>
        <v>135000</v>
      </c>
    </row>
    <row r="1581" spans="1:22">
      <c r="A1581" t="s">
        <v>1648</v>
      </c>
      <c r="B1581" t="s">
        <v>1665</v>
      </c>
      <c r="C1581" t="s">
        <v>1688</v>
      </c>
      <c r="D1581" t="s">
        <v>1689</v>
      </c>
      <c r="E1581" t="s">
        <v>1690</v>
      </c>
      <c r="F1581" t="s">
        <v>27</v>
      </c>
      <c r="G1581">
        <v>1</v>
      </c>
      <c r="H1581" t="s">
        <v>1695</v>
      </c>
      <c r="I1581" t="s">
        <v>6185</v>
      </c>
      <c r="J1581" t="s">
        <v>1697</v>
      </c>
      <c r="K1581" t="s">
        <v>6185</v>
      </c>
      <c r="L1581" t="s">
        <v>67</v>
      </c>
      <c r="M1581" s="1" t="str">
        <f t="shared" si="170"/>
        <v>12H423</v>
      </c>
      <c r="N1581" s="1" t="str">
        <f t="shared" si="171"/>
        <v>C/O</v>
      </c>
      <c r="O1581" s="1" t="str">
        <f t="shared" si="172"/>
        <v>Engine Radiator</v>
      </c>
      <c r="P1581" s="1" t="str">
        <f t="shared" si="173"/>
        <v>R9H0</v>
      </c>
      <c r="Q1581" s="2" t="str">
        <f t="shared" si="174"/>
        <v>R9H0Engine Radiator</v>
      </c>
      <c r="R1581" s="2" t="str">
        <f>New_Xref[[#This Row],[Serial Prefix]]&amp;IF(New_Xref[[#This Row],[Func Loc]]&lt;&gt;"",New_Xref[[#This Row],[Func Loc]],"NO MATCH")</f>
        <v>R9H0ENGD .ENCS.RADI</v>
      </c>
      <c r="S1581" s="3" t="str">
        <f t="shared" si="169"/>
        <v>R9H02497363FEngine Radiator</v>
      </c>
      <c r="T1581" t="s">
        <v>1694</v>
      </c>
      <c r="U1581" t="s">
        <v>34</v>
      </c>
      <c r="V1581" t="str">
        <f t="shared" si="168"/>
        <v>135000</v>
      </c>
    </row>
    <row r="1582" spans="1:22">
      <c r="A1582" t="s">
        <v>2494</v>
      </c>
      <c r="B1582" t="s">
        <v>2495</v>
      </c>
      <c r="I1582" t="s">
        <v>6186</v>
      </c>
      <c r="K1582" t="s">
        <v>6186</v>
      </c>
      <c r="L1582" t="s">
        <v>2995</v>
      </c>
      <c r="M1582" s="1" t="str">
        <f t="shared" si="170"/>
        <v>06D27</v>
      </c>
      <c r="N1582" s="1" t="str">
        <f t="shared" si="171"/>
        <v>C/O</v>
      </c>
      <c r="O1582" s="1" t="str">
        <f t="shared" si="172"/>
        <v>Hoist Cylinder LH</v>
      </c>
      <c r="P1582" s="1" t="str">
        <f t="shared" si="173"/>
        <v>APX0</v>
      </c>
      <c r="Q1582" s="2" t="str">
        <f t="shared" si="174"/>
        <v>APX0Hoist Cylinder LH</v>
      </c>
      <c r="R1582" s="2" t="str">
        <f>New_Xref[[#This Row],[Serial Prefix]]&amp;IF(New_Xref[[#This Row],[Func Loc]]&lt;&gt;"",New_Xref[[#This Row],[Func Loc]],"NO MATCH")</f>
        <v>APX0MYHD .CYLI.HOIL</v>
      </c>
      <c r="S1582" s="3" t="str">
        <f t="shared" si="169"/>
        <v>APX0Hoist Cylinder LH</v>
      </c>
      <c r="T1582" t="s">
        <v>130</v>
      </c>
      <c r="U1582" t="s">
        <v>108</v>
      </c>
      <c r="V1582" t="str">
        <f t="shared" si="168"/>
        <v>5102LT</v>
      </c>
    </row>
    <row r="1583" spans="1:22">
      <c r="A1583" t="s">
        <v>2494</v>
      </c>
      <c r="B1583" t="s">
        <v>2495</v>
      </c>
      <c r="I1583" t="s">
        <v>6187</v>
      </c>
      <c r="K1583" t="s">
        <v>6187</v>
      </c>
      <c r="L1583" t="s">
        <v>2998</v>
      </c>
      <c r="M1583" s="1" t="str">
        <f t="shared" si="170"/>
        <v>06D27</v>
      </c>
      <c r="N1583" s="1" t="str">
        <f t="shared" si="171"/>
        <v>C/O</v>
      </c>
      <c r="O1583" s="1" t="str">
        <f t="shared" si="172"/>
        <v>Hoist Cylinder RH</v>
      </c>
      <c r="P1583" s="1" t="str">
        <f t="shared" si="173"/>
        <v>APX0</v>
      </c>
      <c r="Q1583" s="2" t="str">
        <f t="shared" si="174"/>
        <v>APX0Hoist Cylinder RH</v>
      </c>
      <c r="R1583" s="2" t="str">
        <f>New_Xref[[#This Row],[Serial Prefix]]&amp;IF(New_Xref[[#This Row],[Func Loc]]&lt;&gt;"",New_Xref[[#This Row],[Func Loc]],"NO MATCH")</f>
        <v>APX0MYHD .CYLI.HOIR</v>
      </c>
      <c r="S1583" s="3" t="str">
        <f t="shared" si="169"/>
        <v>APX0Hoist Cylinder RH</v>
      </c>
      <c r="T1583" t="s">
        <v>130</v>
      </c>
      <c r="U1583" t="s">
        <v>115</v>
      </c>
      <c r="V1583" t="str">
        <f t="shared" si="168"/>
        <v>5102RI</v>
      </c>
    </row>
    <row r="1584" spans="1:22">
      <c r="A1584" t="s">
        <v>2204</v>
      </c>
      <c r="B1584" t="s">
        <v>6188</v>
      </c>
      <c r="I1584" t="s">
        <v>6189</v>
      </c>
      <c r="K1584" t="s">
        <v>6189</v>
      </c>
      <c r="L1584" t="s">
        <v>2995</v>
      </c>
      <c r="M1584" s="1" t="str">
        <f t="shared" si="170"/>
        <v>06R32</v>
      </c>
      <c r="N1584" s="1" t="str">
        <f t="shared" si="171"/>
        <v>C/O</v>
      </c>
      <c r="O1584" s="1" t="str">
        <f t="shared" si="172"/>
        <v>Hoist Cylinder LH</v>
      </c>
      <c r="P1584" s="1" t="str">
        <f t="shared" si="173"/>
        <v>JRP0</v>
      </c>
      <c r="Q1584" s="2" t="str">
        <f t="shared" si="174"/>
        <v>JRP0Hoist Cylinder LH</v>
      </c>
      <c r="R1584" s="2" t="str">
        <f>New_Xref[[#This Row],[Serial Prefix]]&amp;IF(New_Xref[[#This Row],[Func Loc]]&lt;&gt;"",New_Xref[[#This Row],[Func Loc]],"NO MATCH")</f>
        <v>JRP0MYHD .CYLI.HOIL</v>
      </c>
      <c r="S1584" s="3" t="str">
        <f t="shared" si="169"/>
        <v>JRP0Hoist Cylinder LH</v>
      </c>
      <c r="T1584" t="s">
        <v>130</v>
      </c>
      <c r="U1584" t="s">
        <v>108</v>
      </c>
      <c r="V1584" t="str">
        <f t="shared" si="168"/>
        <v>5102LT</v>
      </c>
    </row>
    <row r="1585" spans="1:22">
      <c r="A1585" t="s">
        <v>2204</v>
      </c>
      <c r="B1585" t="s">
        <v>6188</v>
      </c>
      <c r="I1585" t="s">
        <v>6190</v>
      </c>
      <c r="K1585" t="s">
        <v>6190</v>
      </c>
      <c r="L1585" t="s">
        <v>2998</v>
      </c>
      <c r="M1585" s="1" t="str">
        <f t="shared" si="170"/>
        <v>06R32</v>
      </c>
      <c r="N1585" s="1" t="str">
        <f t="shared" si="171"/>
        <v>C/O</v>
      </c>
      <c r="O1585" s="1" t="str">
        <f t="shared" si="172"/>
        <v>Hoist Cylinder RH</v>
      </c>
      <c r="P1585" s="1" t="str">
        <f t="shared" si="173"/>
        <v>JRP0</v>
      </c>
      <c r="Q1585" s="2" t="str">
        <f t="shared" si="174"/>
        <v>JRP0Hoist Cylinder RH</v>
      </c>
      <c r="R1585" s="2" t="str">
        <f>New_Xref[[#This Row],[Serial Prefix]]&amp;IF(New_Xref[[#This Row],[Func Loc]]&lt;&gt;"",New_Xref[[#This Row],[Func Loc]],"NO MATCH")</f>
        <v>JRP0MYHD .CYLI.HOIR</v>
      </c>
      <c r="S1585" s="3" t="str">
        <f t="shared" si="169"/>
        <v>JRP0Hoist Cylinder RH</v>
      </c>
      <c r="T1585" t="s">
        <v>130</v>
      </c>
      <c r="U1585" t="s">
        <v>115</v>
      </c>
      <c r="V1585" t="str">
        <f t="shared" si="168"/>
        <v>5102RI</v>
      </c>
    </row>
    <row r="1586" spans="1:22">
      <c r="A1586" t="s">
        <v>2628</v>
      </c>
      <c r="B1586" t="s">
        <v>6191</v>
      </c>
      <c r="I1586" t="s">
        <v>6192</v>
      </c>
      <c r="K1586" t="s">
        <v>6192</v>
      </c>
      <c r="L1586" t="s">
        <v>2995</v>
      </c>
      <c r="M1586" s="1" t="str">
        <f t="shared" si="170"/>
        <v>06H860</v>
      </c>
      <c r="N1586" s="1" t="str">
        <f t="shared" si="171"/>
        <v>C/O</v>
      </c>
      <c r="O1586" s="1" t="str">
        <f t="shared" si="172"/>
        <v>Hoist Cylinder LH</v>
      </c>
      <c r="P1586" s="1" t="str">
        <f t="shared" si="173"/>
        <v>DMC0</v>
      </c>
      <c r="Q1586" s="2" t="str">
        <f t="shared" si="174"/>
        <v>DMC0Hoist Cylinder LH</v>
      </c>
      <c r="R1586" s="2" t="str">
        <f>New_Xref[[#This Row],[Serial Prefix]]&amp;IF(New_Xref[[#This Row],[Func Loc]]&lt;&gt;"",New_Xref[[#This Row],[Func Loc]],"NO MATCH")</f>
        <v>DMC0MYHD .CYLI.HOIL</v>
      </c>
      <c r="S1586" s="3" t="str">
        <f t="shared" si="169"/>
        <v>DMC0Hoist Cylinder LH</v>
      </c>
      <c r="T1586" t="s">
        <v>130</v>
      </c>
      <c r="U1586" t="s">
        <v>108</v>
      </c>
      <c r="V1586" t="str">
        <f t="shared" si="168"/>
        <v>5102LT</v>
      </c>
    </row>
    <row r="1587" spans="1:22">
      <c r="A1587" t="s">
        <v>2628</v>
      </c>
      <c r="B1587" t="s">
        <v>6191</v>
      </c>
      <c r="I1587" t="s">
        <v>6193</v>
      </c>
      <c r="K1587" t="s">
        <v>6193</v>
      </c>
      <c r="L1587" t="s">
        <v>2998</v>
      </c>
      <c r="M1587" s="1" t="str">
        <f t="shared" si="170"/>
        <v>06H860</v>
      </c>
      <c r="N1587" s="1" t="str">
        <f t="shared" si="171"/>
        <v>C/O</v>
      </c>
      <c r="O1587" s="1" t="str">
        <f t="shared" si="172"/>
        <v>Hoist Cylinder RH</v>
      </c>
      <c r="P1587" s="1" t="str">
        <f t="shared" si="173"/>
        <v>DMC0</v>
      </c>
      <c r="Q1587" s="2" t="str">
        <f t="shared" si="174"/>
        <v>DMC0Hoist Cylinder RH</v>
      </c>
      <c r="R1587" s="2" t="str">
        <f>New_Xref[[#This Row],[Serial Prefix]]&amp;IF(New_Xref[[#This Row],[Func Loc]]&lt;&gt;"",New_Xref[[#This Row],[Func Loc]],"NO MATCH")</f>
        <v>DMC0MYHD .CYLI.HOIR</v>
      </c>
      <c r="S1587" s="3" t="str">
        <f t="shared" si="169"/>
        <v>DMC0Hoist Cylinder RH</v>
      </c>
      <c r="T1587" t="s">
        <v>130</v>
      </c>
      <c r="U1587" t="s">
        <v>115</v>
      </c>
      <c r="V1587" t="str">
        <f t="shared" si="168"/>
        <v>5102RI</v>
      </c>
    </row>
    <row r="1588" spans="1:22">
      <c r="A1588" t="s">
        <v>2385</v>
      </c>
      <c r="B1588" t="s">
        <v>2386</v>
      </c>
      <c r="I1588" t="s">
        <v>6194</v>
      </c>
      <c r="K1588" t="s">
        <v>6194</v>
      </c>
      <c r="L1588" t="s">
        <v>2995</v>
      </c>
      <c r="M1588" s="1" t="str">
        <f t="shared" si="170"/>
        <v>06D58</v>
      </c>
      <c r="N1588" s="1" t="str">
        <f t="shared" si="171"/>
        <v>C/O</v>
      </c>
      <c r="O1588" s="1" t="str">
        <f t="shared" si="172"/>
        <v>Hoist Cylinder LH</v>
      </c>
      <c r="P1588" s="1" t="str">
        <f t="shared" si="173"/>
        <v>T4Y0</v>
      </c>
      <c r="Q1588" s="2" t="str">
        <f t="shared" si="174"/>
        <v>T4Y0Hoist Cylinder LH</v>
      </c>
      <c r="R1588" s="2" t="str">
        <f>New_Xref[[#This Row],[Serial Prefix]]&amp;IF(New_Xref[[#This Row],[Func Loc]]&lt;&gt;"",New_Xref[[#This Row],[Func Loc]],"NO MATCH")</f>
        <v>T4Y0MYHD .CYLI.HOIL</v>
      </c>
      <c r="S1588" s="3" t="str">
        <f t="shared" si="169"/>
        <v>T4Y0Hoist Cylinder LH</v>
      </c>
      <c r="T1588" t="s">
        <v>130</v>
      </c>
      <c r="U1588" t="s">
        <v>108</v>
      </c>
      <c r="V1588" t="str">
        <f t="shared" si="168"/>
        <v>5102LT</v>
      </c>
    </row>
    <row r="1589" spans="1:22">
      <c r="A1589" t="s">
        <v>2385</v>
      </c>
      <c r="B1589" t="s">
        <v>2386</v>
      </c>
      <c r="I1589" t="s">
        <v>6195</v>
      </c>
      <c r="K1589" t="s">
        <v>6195</v>
      </c>
      <c r="L1589" t="s">
        <v>2998</v>
      </c>
      <c r="M1589" s="1" t="str">
        <f t="shared" si="170"/>
        <v>06D58</v>
      </c>
      <c r="N1589" s="1" t="str">
        <f t="shared" si="171"/>
        <v>C/O</v>
      </c>
      <c r="O1589" s="1" t="str">
        <f t="shared" si="172"/>
        <v>Hoist Cylinder RH</v>
      </c>
      <c r="P1589" s="1" t="str">
        <f t="shared" si="173"/>
        <v>T4Y0</v>
      </c>
      <c r="Q1589" s="2" t="str">
        <f t="shared" si="174"/>
        <v>T4Y0Hoist Cylinder RH</v>
      </c>
      <c r="R1589" s="2" t="str">
        <f>New_Xref[[#This Row],[Serial Prefix]]&amp;IF(New_Xref[[#This Row],[Func Loc]]&lt;&gt;"",New_Xref[[#This Row],[Func Loc]],"NO MATCH")</f>
        <v>T4Y0MYHD .CYLI.HOIR</v>
      </c>
      <c r="S1589" s="3" t="str">
        <f t="shared" si="169"/>
        <v>T4Y0Hoist Cylinder RH</v>
      </c>
      <c r="T1589" t="s">
        <v>130</v>
      </c>
      <c r="U1589" t="s">
        <v>115</v>
      </c>
      <c r="V1589" t="str">
        <f t="shared" si="168"/>
        <v>5102RI</v>
      </c>
    </row>
    <row r="1590" spans="1:22">
      <c r="A1590" t="s">
        <v>6043</v>
      </c>
      <c r="B1590" t="s">
        <v>6044</v>
      </c>
      <c r="I1590" t="s">
        <v>6196</v>
      </c>
      <c r="K1590" t="s">
        <v>6196</v>
      </c>
      <c r="L1590" t="s">
        <v>2995</v>
      </c>
      <c r="M1590" s="1" t="str">
        <f t="shared" si="170"/>
        <v>06H462</v>
      </c>
      <c r="N1590" s="1" t="str">
        <f t="shared" si="171"/>
        <v>C/O</v>
      </c>
      <c r="O1590" s="1" t="str">
        <f t="shared" si="172"/>
        <v>Hoist Cylinder LH</v>
      </c>
      <c r="P1590" s="1" t="str">
        <f t="shared" si="173"/>
        <v>TWN0</v>
      </c>
      <c r="Q1590" s="2" t="str">
        <f t="shared" si="174"/>
        <v>TWN0Hoist Cylinder LH</v>
      </c>
      <c r="R1590" s="2" t="str">
        <f>New_Xref[[#This Row],[Serial Prefix]]&amp;IF(New_Xref[[#This Row],[Func Loc]]&lt;&gt;"",New_Xref[[#This Row],[Func Loc]],"NO MATCH")</f>
        <v>TWN0MYHD .CYLI.HOIL</v>
      </c>
      <c r="S1590" s="3" t="str">
        <f t="shared" si="169"/>
        <v>TWN0Hoist Cylinder LH</v>
      </c>
      <c r="T1590" t="s">
        <v>130</v>
      </c>
      <c r="U1590" t="s">
        <v>108</v>
      </c>
      <c r="V1590" t="str">
        <f t="shared" si="168"/>
        <v>5102LT</v>
      </c>
    </row>
    <row r="1591" spans="1:22">
      <c r="A1591" t="s">
        <v>6043</v>
      </c>
      <c r="B1591" t="s">
        <v>6044</v>
      </c>
      <c r="I1591" t="s">
        <v>6197</v>
      </c>
      <c r="K1591" t="s">
        <v>6197</v>
      </c>
      <c r="L1591" t="s">
        <v>2998</v>
      </c>
      <c r="M1591" s="1" t="str">
        <f t="shared" si="170"/>
        <v>06H462</v>
      </c>
      <c r="N1591" s="1" t="str">
        <f t="shared" si="171"/>
        <v>C/O</v>
      </c>
      <c r="O1591" s="1" t="str">
        <f t="shared" si="172"/>
        <v>Hoist Cylinder RH</v>
      </c>
      <c r="P1591" s="1" t="str">
        <f t="shared" si="173"/>
        <v>TWN0</v>
      </c>
      <c r="Q1591" s="2" t="str">
        <f t="shared" si="174"/>
        <v>TWN0Hoist Cylinder RH</v>
      </c>
      <c r="R1591" s="2" t="str">
        <f>New_Xref[[#This Row],[Serial Prefix]]&amp;IF(New_Xref[[#This Row],[Func Loc]]&lt;&gt;"",New_Xref[[#This Row],[Func Loc]],"NO MATCH")</f>
        <v>TWN0MYHD .CYLI.HOIR</v>
      </c>
      <c r="S1591" s="3" t="str">
        <f t="shared" si="169"/>
        <v>TWN0Hoist Cylinder RH</v>
      </c>
      <c r="T1591" t="s">
        <v>130</v>
      </c>
      <c r="U1591" t="s">
        <v>115</v>
      </c>
      <c r="V1591" t="str">
        <f t="shared" si="168"/>
        <v>5102RI</v>
      </c>
    </row>
    <row r="1592" spans="1:22">
      <c r="A1592" t="s">
        <v>410</v>
      </c>
      <c r="B1592" t="s">
        <v>411</v>
      </c>
      <c r="I1592" t="s">
        <v>6198</v>
      </c>
      <c r="K1592" t="s">
        <v>6198</v>
      </c>
      <c r="L1592" t="s">
        <v>2995</v>
      </c>
      <c r="M1592" s="1" t="str">
        <f t="shared" si="170"/>
        <v>06H673</v>
      </c>
      <c r="N1592" s="1" t="str">
        <f t="shared" si="171"/>
        <v>C/O</v>
      </c>
      <c r="O1592" s="1" t="str">
        <f t="shared" si="172"/>
        <v>Hoist Cylinder LH</v>
      </c>
      <c r="P1592" s="1" t="str">
        <f t="shared" si="173"/>
        <v>7M60</v>
      </c>
      <c r="Q1592" s="2" t="str">
        <f t="shared" si="174"/>
        <v>7M60Hoist Cylinder LH</v>
      </c>
      <c r="R1592" s="2" t="str">
        <f>New_Xref[[#This Row],[Serial Prefix]]&amp;IF(New_Xref[[#This Row],[Func Loc]]&lt;&gt;"",New_Xref[[#This Row],[Func Loc]],"NO MATCH")</f>
        <v>7M60MYHD .CYLI.HOIL</v>
      </c>
      <c r="S1592" s="3" t="str">
        <f t="shared" si="169"/>
        <v>7M60Hoist Cylinder LH</v>
      </c>
      <c r="T1592" t="s">
        <v>130</v>
      </c>
      <c r="U1592" t="s">
        <v>108</v>
      </c>
      <c r="V1592" t="str">
        <f t="shared" si="168"/>
        <v>5102LT</v>
      </c>
    </row>
    <row r="1593" spans="1:22">
      <c r="A1593" t="s">
        <v>410</v>
      </c>
      <c r="B1593" t="s">
        <v>411</v>
      </c>
      <c r="I1593" t="s">
        <v>6199</v>
      </c>
      <c r="K1593" t="s">
        <v>6199</v>
      </c>
      <c r="L1593" t="s">
        <v>2998</v>
      </c>
      <c r="M1593" s="1" t="str">
        <f t="shared" si="170"/>
        <v>06H673</v>
      </c>
      <c r="N1593" s="1" t="str">
        <f t="shared" si="171"/>
        <v>C/O</v>
      </c>
      <c r="O1593" s="1" t="str">
        <f t="shared" si="172"/>
        <v>Hoist Cylinder RH</v>
      </c>
      <c r="P1593" s="1" t="str">
        <f t="shared" si="173"/>
        <v>7M60</v>
      </c>
      <c r="Q1593" s="2" t="str">
        <f t="shared" si="174"/>
        <v>7M60Hoist Cylinder RH</v>
      </c>
      <c r="R1593" s="2" t="str">
        <f>New_Xref[[#This Row],[Serial Prefix]]&amp;IF(New_Xref[[#This Row],[Func Loc]]&lt;&gt;"",New_Xref[[#This Row],[Func Loc]],"NO MATCH")</f>
        <v>7M60MYHD .CYLI.HOIR</v>
      </c>
      <c r="S1593" s="3" t="str">
        <f t="shared" si="169"/>
        <v>7M60Hoist Cylinder RH</v>
      </c>
      <c r="T1593" t="s">
        <v>130</v>
      </c>
      <c r="U1593" t="s">
        <v>115</v>
      </c>
      <c r="V1593" t="str">
        <f t="shared" si="168"/>
        <v>5102RI</v>
      </c>
    </row>
    <row r="1594" spans="1:22">
      <c r="A1594" t="s">
        <v>708</v>
      </c>
      <c r="B1594" t="s">
        <v>726</v>
      </c>
      <c r="I1594" t="s">
        <v>6200</v>
      </c>
      <c r="K1594" t="s">
        <v>6200</v>
      </c>
      <c r="L1594" t="s">
        <v>6201</v>
      </c>
      <c r="M1594" s="1" t="str">
        <f t="shared" si="170"/>
        <v>06H184</v>
      </c>
      <c r="N1594" s="1" t="str">
        <f t="shared" si="171"/>
        <v>C/O</v>
      </c>
      <c r="O1594" s="1" t="str">
        <f t="shared" si="172"/>
        <v>Hoist Cylinder LH</v>
      </c>
      <c r="P1594" s="1" t="str">
        <f t="shared" si="173"/>
        <v>KZ00</v>
      </c>
      <c r="Q1594" s="2" t="str">
        <f t="shared" si="174"/>
        <v>KZ00Hoist Cylinder LH</v>
      </c>
      <c r="R1594" s="2" t="str">
        <f>New_Xref[[#This Row],[Serial Prefix]]&amp;IF(New_Xref[[#This Row],[Func Loc]]&lt;&gt;"",New_Xref[[#This Row],[Func Loc]],"NO MATCH")</f>
        <v>KZ00YHD .CYLI.HOIL</v>
      </c>
      <c r="S1594" s="3" t="str">
        <f t="shared" si="169"/>
        <v>KZ00Hoist Cylinder LH</v>
      </c>
      <c r="T1594" t="s">
        <v>130</v>
      </c>
      <c r="U1594" t="s">
        <v>108</v>
      </c>
      <c r="V1594" t="str">
        <f t="shared" si="168"/>
        <v>5102LT</v>
      </c>
    </row>
    <row r="1595" spans="1:22">
      <c r="A1595" t="s">
        <v>708</v>
      </c>
      <c r="B1595" t="s">
        <v>726</v>
      </c>
      <c r="I1595" t="s">
        <v>6202</v>
      </c>
      <c r="K1595" t="s">
        <v>6202</v>
      </c>
      <c r="L1595" t="s">
        <v>6203</v>
      </c>
      <c r="M1595" s="1" t="str">
        <f t="shared" si="170"/>
        <v>06H184</v>
      </c>
      <c r="N1595" s="1" t="str">
        <f t="shared" si="171"/>
        <v>C/O</v>
      </c>
      <c r="O1595" s="1" t="str">
        <f t="shared" si="172"/>
        <v>Hoist Cylinder RH</v>
      </c>
      <c r="P1595" s="1" t="str">
        <f t="shared" si="173"/>
        <v>KZ00</v>
      </c>
      <c r="Q1595" s="2" t="str">
        <f t="shared" si="174"/>
        <v>KZ00Hoist Cylinder RH</v>
      </c>
      <c r="R1595" s="2" t="str">
        <f>New_Xref[[#This Row],[Serial Prefix]]&amp;IF(New_Xref[[#This Row],[Func Loc]]&lt;&gt;"",New_Xref[[#This Row],[Func Loc]],"NO MATCH")</f>
        <v>KZ00YHD .CYLI.HOIR</v>
      </c>
      <c r="S1595" s="3" t="str">
        <f t="shared" si="169"/>
        <v>KZ00Hoist Cylinder RH</v>
      </c>
      <c r="T1595" t="s">
        <v>130</v>
      </c>
      <c r="U1595" t="s">
        <v>115</v>
      </c>
      <c r="V1595" t="str">
        <f t="shared" si="168"/>
        <v>5102RI</v>
      </c>
    </row>
    <row r="1596" spans="1:22">
      <c r="A1596" t="s">
        <v>2204</v>
      </c>
      <c r="B1596" t="s">
        <v>2344</v>
      </c>
      <c r="I1596" t="s">
        <v>6204</v>
      </c>
      <c r="K1596" t="s">
        <v>6204</v>
      </c>
      <c r="L1596" t="s">
        <v>2995</v>
      </c>
      <c r="M1596" s="1" t="str">
        <f t="shared" si="170"/>
        <v>06H59</v>
      </c>
      <c r="N1596" s="1" t="str">
        <f t="shared" si="171"/>
        <v>C/O</v>
      </c>
      <c r="O1596" s="1" t="str">
        <f t="shared" si="172"/>
        <v>Hoist Cylinder LH</v>
      </c>
      <c r="P1596" s="1" t="str">
        <f t="shared" si="173"/>
        <v>JXP0</v>
      </c>
      <c r="Q1596" s="2" t="str">
        <f t="shared" si="174"/>
        <v>JXP0Hoist Cylinder LH</v>
      </c>
      <c r="R1596" s="2" t="str">
        <f>New_Xref[[#This Row],[Serial Prefix]]&amp;IF(New_Xref[[#This Row],[Func Loc]]&lt;&gt;"",New_Xref[[#This Row],[Func Loc]],"NO MATCH")</f>
        <v>JXP0MYHD .CYLI.HOIL</v>
      </c>
      <c r="S1596" s="3" t="str">
        <f t="shared" si="169"/>
        <v>JXP0Hoist Cylinder LH</v>
      </c>
      <c r="T1596" t="s">
        <v>130</v>
      </c>
      <c r="U1596" t="s">
        <v>108</v>
      </c>
      <c r="V1596" t="str">
        <f t="shared" si="168"/>
        <v>5102LT</v>
      </c>
    </row>
    <row r="1597" spans="1:22">
      <c r="A1597" t="s">
        <v>2204</v>
      </c>
      <c r="B1597" t="s">
        <v>2344</v>
      </c>
      <c r="I1597" t="s">
        <v>6205</v>
      </c>
      <c r="K1597" t="s">
        <v>6205</v>
      </c>
      <c r="L1597" t="s">
        <v>2998</v>
      </c>
      <c r="M1597" s="1" t="str">
        <f t="shared" si="170"/>
        <v>06H59</v>
      </c>
      <c r="N1597" s="1" t="str">
        <f t="shared" si="171"/>
        <v>C/O</v>
      </c>
      <c r="O1597" s="1" t="str">
        <f t="shared" si="172"/>
        <v>Hoist Cylinder RH</v>
      </c>
      <c r="P1597" s="1" t="str">
        <f t="shared" si="173"/>
        <v>JXP0</v>
      </c>
      <c r="Q1597" s="2" t="str">
        <f t="shared" si="174"/>
        <v>JXP0Hoist Cylinder RH</v>
      </c>
      <c r="R1597" s="2" t="str">
        <f>New_Xref[[#This Row],[Serial Prefix]]&amp;IF(New_Xref[[#This Row],[Func Loc]]&lt;&gt;"",New_Xref[[#This Row],[Func Loc]],"NO MATCH")</f>
        <v>JXP0MYHD .CYLI.HOIR</v>
      </c>
      <c r="S1597" s="3" t="str">
        <f t="shared" si="169"/>
        <v>JXP0Hoist Cylinder RH</v>
      </c>
      <c r="T1597" t="s">
        <v>130</v>
      </c>
      <c r="U1597" t="s">
        <v>115</v>
      </c>
      <c r="V1597" t="str">
        <f t="shared" si="168"/>
        <v>5102RI</v>
      </c>
    </row>
    <row r="1598" spans="1:22">
      <c r="A1598" t="s">
        <v>2628</v>
      </c>
      <c r="B1598" t="s">
        <v>2690</v>
      </c>
      <c r="I1598" t="s">
        <v>6206</v>
      </c>
      <c r="K1598" t="s">
        <v>6206</v>
      </c>
      <c r="L1598" t="s">
        <v>2995</v>
      </c>
      <c r="M1598" s="1" t="str">
        <f t="shared" si="170"/>
        <v>06R915</v>
      </c>
      <c r="N1598" s="1" t="str">
        <f t="shared" si="171"/>
        <v>C/O</v>
      </c>
      <c r="O1598" s="1" t="str">
        <f t="shared" si="172"/>
        <v>Hoist Cylinder LH</v>
      </c>
      <c r="P1598" s="1" t="str">
        <f t="shared" si="173"/>
        <v>MSY0</v>
      </c>
      <c r="Q1598" s="2" t="str">
        <f t="shared" si="174"/>
        <v>MSY0Hoist Cylinder LH</v>
      </c>
      <c r="R1598" s="2" t="str">
        <f>New_Xref[[#This Row],[Serial Prefix]]&amp;IF(New_Xref[[#This Row],[Func Loc]]&lt;&gt;"",New_Xref[[#This Row],[Func Loc]],"NO MATCH")</f>
        <v>MSY0MYHD .CYLI.HOIL</v>
      </c>
      <c r="S1598" s="3" t="str">
        <f t="shared" si="169"/>
        <v>MSY0Hoist Cylinder LH</v>
      </c>
      <c r="T1598" t="s">
        <v>130</v>
      </c>
      <c r="U1598" t="s">
        <v>108</v>
      </c>
      <c r="V1598" t="str">
        <f t="shared" si="168"/>
        <v>5102LT</v>
      </c>
    </row>
    <row r="1599" spans="1:22">
      <c r="A1599" t="s">
        <v>2628</v>
      </c>
      <c r="B1599" t="s">
        <v>2690</v>
      </c>
      <c r="I1599" t="s">
        <v>6207</v>
      </c>
      <c r="K1599" t="s">
        <v>6207</v>
      </c>
      <c r="L1599" t="s">
        <v>2998</v>
      </c>
      <c r="M1599" s="1" t="str">
        <f t="shared" si="170"/>
        <v>06R915</v>
      </c>
      <c r="N1599" s="1" t="str">
        <f t="shared" si="171"/>
        <v>C/O</v>
      </c>
      <c r="O1599" s="1" t="str">
        <f t="shared" si="172"/>
        <v>Hoist Cylinder RH</v>
      </c>
      <c r="P1599" s="1" t="str">
        <f t="shared" si="173"/>
        <v>MSY0</v>
      </c>
      <c r="Q1599" s="2" t="str">
        <f t="shared" si="174"/>
        <v>MSY0Hoist Cylinder RH</v>
      </c>
      <c r="R1599" s="2" t="str">
        <f>New_Xref[[#This Row],[Serial Prefix]]&amp;IF(New_Xref[[#This Row],[Func Loc]]&lt;&gt;"",New_Xref[[#This Row],[Func Loc]],"NO MATCH")</f>
        <v>MSY0MYHD .CYLI.HOIR</v>
      </c>
      <c r="S1599" s="3" t="str">
        <f t="shared" si="169"/>
        <v>MSY0Hoist Cylinder RH</v>
      </c>
      <c r="T1599" t="s">
        <v>130</v>
      </c>
      <c r="U1599" t="s">
        <v>115</v>
      </c>
      <c r="V1599" t="str">
        <f t="shared" si="168"/>
        <v>5102RI</v>
      </c>
    </row>
    <row r="1600" spans="1:22">
      <c r="A1600" t="s">
        <v>2138</v>
      </c>
      <c r="B1600" t="s">
        <v>6208</v>
      </c>
      <c r="I1600" t="s">
        <v>6209</v>
      </c>
      <c r="K1600" t="s">
        <v>6209</v>
      </c>
      <c r="L1600" t="s">
        <v>2995</v>
      </c>
      <c r="M1600" s="1" t="str">
        <f t="shared" si="170"/>
        <v>06H255</v>
      </c>
      <c r="N1600" s="1" t="str">
        <f t="shared" si="171"/>
        <v>C/O</v>
      </c>
      <c r="O1600" s="1" t="str">
        <f t="shared" si="172"/>
        <v>Hoist Cylinder LH</v>
      </c>
      <c r="P1600" s="1" t="str">
        <f t="shared" si="173"/>
        <v>AGC0</v>
      </c>
      <c r="Q1600" s="2" t="str">
        <f t="shared" si="174"/>
        <v>AGC0Hoist Cylinder LH</v>
      </c>
      <c r="R1600" s="2" t="str">
        <f>New_Xref[[#This Row],[Serial Prefix]]&amp;IF(New_Xref[[#This Row],[Func Loc]]&lt;&gt;"",New_Xref[[#This Row],[Func Loc]],"NO MATCH")</f>
        <v>AGC0MYHD .CYLI.HOIL</v>
      </c>
      <c r="S1600" s="3" t="str">
        <f t="shared" si="169"/>
        <v>AGC0Hoist Cylinder LH</v>
      </c>
      <c r="T1600" t="s">
        <v>130</v>
      </c>
      <c r="U1600" t="s">
        <v>108</v>
      </c>
      <c r="V1600" t="str">
        <f t="shared" si="168"/>
        <v>5102LT</v>
      </c>
    </row>
    <row r="1601" spans="1:22">
      <c r="A1601" t="s">
        <v>2138</v>
      </c>
      <c r="B1601" t="s">
        <v>6208</v>
      </c>
      <c r="I1601" t="s">
        <v>6210</v>
      </c>
      <c r="K1601" t="s">
        <v>6210</v>
      </c>
      <c r="L1601" t="s">
        <v>2998</v>
      </c>
      <c r="M1601" s="1" t="str">
        <f t="shared" si="170"/>
        <v>06H255</v>
      </c>
      <c r="N1601" s="1" t="str">
        <f t="shared" si="171"/>
        <v>C/O</v>
      </c>
      <c r="O1601" s="1" t="str">
        <f t="shared" si="172"/>
        <v>Hoist Cylinder RH</v>
      </c>
      <c r="P1601" s="1" t="str">
        <f t="shared" si="173"/>
        <v>AGC0</v>
      </c>
      <c r="Q1601" s="2" t="str">
        <f t="shared" si="174"/>
        <v>AGC0Hoist Cylinder RH</v>
      </c>
      <c r="R1601" s="2" t="str">
        <f>New_Xref[[#This Row],[Serial Prefix]]&amp;IF(New_Xref[[#This Row],[Func Loc]]&lt;&gt;"",New_Xref[[#This Row],[Func Loc]],"NO MATCH")</f>
        <v>AGC0MYHD .CYLI.HOIR</v>
      </c>
      <c r="S1601" s="3" t="str">
        <f t="shared" si="169"/>
        <v>AGC0Hoist Cylinder RH</v>
      </c>
      <c r="T1601" t="s">
        <v>130</v>
      </c>
      <c r="U1601" t="s">
        <v>115</v>
      </c>
      <c r="V1601" t="str">
        <f t="shared" si="168"/>
        <v>5102RI</v>
      </c>
    </row>
    <row r="1602" spans="1:22">
      <c r="A1602" t="s">
        <v>3031</v>
      </c>
      <c r="B1602" t="s">
        <v>3044</v>
      </c>
      <c r="I1602" t="s">
        <v>6211</v>
      </c>
      <c r="K1602" t="s">
        <v>6211</v>
      </c>
      <c r="L1602" t="s">
        <v>2995</v>
      </c>
      <c r="M1602" s="1" t="str">
        <f t="shared" si="170"/>
        <v>06B233</v>
      </c>
      <c r="N1602" s="1" t="str">
        <f t="shared" si="171"/>
        <v>C/O</v>
      </c>
      <c r="O1602" s="1" t="str">
        <f t="shared" si="172"/>
        <v>Hoist Cylinder LH</v>
      </c>
      <c r="P1602" s="1" t="str">
        <f t="shared" si="173"/>
        <v>AX70</v>
      </c>
      <c r="Q1602" s="2" t="str">
        <f t="shared" si="174"/>
        <v>AX70Hoist Cylinder LH</v>
      </c>
      <c r="R1602" s="2" t="str">
        <f>New_Xref[[#This Row],[Serial Prefix]]&amp;IF(New_Xref[[#This Row],[Func Loc]]&lt;&gt;"",New_Xref[[#This Row],[Func Loc]],"NO MATCH")</f>
        <v>AX70MYHD .CYLI.HOIL</v>
      </c>
      <c r="S1602" s="3" t="str">
        <f t="shared" si="169"/>
        <v>AX70Hoist Cylinder LH</v>
      </c>
      <c r="T1602" t="s">
        <v>130</v>
      </c>
      <c r="U1602" t="s">
        <v>108</v>
      </c>
      <c r="V1602" t="str">
        <f t="shared" ref="V1602:V1665" si="175">LEFT(T1602,FIND(" -",T1602,1)-1)&amp;LEFT(U1602,FIND(" -",U1602,1)-1)</f>
        <v>5102LT</v>
      </c>
    </row>
    <row r="1603" spans="1:22">
      <c r="A1603" t="s">
        <v>3031</v>
      </c>
      <c r="B1603" t="s">
        <v>3044</v>
      </c>
      <c r="I1603" t="s">
        <v>6212</v>
      </c>
      <c r="K1603" t="s">
        <v>6212</v>
      </c>
      <c r="L1603" t="s">
        <v>2998</v>
      </c>
      <c r="M1603" s="1" t="str">
        <f t="shared" si="170"/>
        <v>06B233</v>
      </c>
      <c r="N1603" s="1" t="str">
        <f t="shared" si="171"/>
        <v>C/O</v>
      </c>
      <c r="O1603" s="1" t="str">
        <f t="shared" si="172"/>
        <v>Hoist Cylinder RH</v>
      </c>
      <c r="P1603" s="1" t="str">
        <f t="shared" si="173"/>
        <v>AX70</v>
      </c>
      <c r="Q1603" s="2" t="str">
        <f t="shared" si="174"/>
        <v>AX70Hoist Cylinder RH</v>
      </c>
      <c r="R1603" s="2" t="str">
        <f>New_Xref[[#This Row],[Serial Prefix]]&amp;IF(New_Xref[[#This Row],[Func Loc]]&lt;&gt;"",New_Xref[[#This Row],[Func Loc]],"NO MATCH")</f>
        <v>AX70MYHD .CYLI.HOIR</v>
      </c>
      <c r="S1603" s="3" t="str">
        <f t="shared" ref="S1603:S1666" si="176">P1603&amp;D1603&amp;O1603</f>
        <v>AX70Hoist Cylinder RH</v>
      </c>
      <c r="T1603" t="s">
        <v>130</v>
      </c>
      <c r="U1603" t="s">
        <v>115</v>
      </c>
      <c r="V1603" t="str">
        <f t="shared" si="175"/>
        <v>5102RI</v>
      </c>
    </row>
    <row r="1604" spans="1:22">
      <c r="A1604" t="s">
        <v>3031</v>
      </c>
      <c r="B1604" t="s">
        <v>3040</v>
      </c>
      <c r="I1604" t="s">
        <v>6213</v>
      </c>
      <c r="K1604" t="s">
        <v>6213</v>
      </c>
      <c r="L1604" t="s">
        <v>2995</v>
      </c>
      <c r="M1604" s="1" t="str">
        <f t="shared" ref="M1604:M1667" si="177">LEFT(K1604,FIND(" ",K1604,1)-1)</f>
        <v>06B232</v>
      </c>
      <c r="N1604" s="1" t="str">
        <f t="shared" ref="N1604:N1667" si="178">MID(K1604,LEN(M1604)+2,FIND(" ",K1604,LEN(M1604)+2)-LEN(M1604)-2)</f>
        <v>C/O</v>
      </c>
      <c r="O1604" s="1" t="str">
        <f t="shared" ref="O1604:O1667" si="179">MID(K1604,FIND(N1604,K1604,1)+LEN(N1604)+1, 150)</f>
        <v>Hoist Cylinder LH</v>
      </c>
      <c r="P1604" s="1" t="str">
        <f t="shared" ref="P1604:P1667" si="180">LEFT(B1604,4)</f>
        <v>AX79</v>
      </c>
      <c r="Q1604" s="2" t="str">
        <f t="shared" ref="Q1604:Q1667" si="181">P1604&amp;O1604</f>
        <v>AX79Hoist Cylinder LH</v>
      </c>
      <c r="R1604" s="2" t="str">
        <f>New_Xref[[#This Row],[Serial Prefix]]&amp;IF(New_Xref[[#This Row],[Func Loc]]&lt;&gt;"",New_Xref[[#This Row],[Func Loc]],"NO MATCH")</f>
        <v>AX79MYHD .CYLI.HOIL</v>
      </c>
      <c r="S1604" s="3" t="str">
        <f t="shared" si="176"/>
        <v>AX79Hoist Cylinder LH</v>
      </c>
      <c r="T1604" t="s">
        <v>130</v>
      </c>
      <c r="U1604" t="s">
        <v>108</v>
      </c>
      <c r="V1604" t="str">
        <f t="shared" si="175"/>
        <v>5102LT</v>
      </c>
    </row>
    <row r="1605" spans="1:22">
      <c r="A1605" t="s">
        <v>3031</v>
      </c>
      <c r="B1605" t="s">
        <v>3040</v>
      </c>
      <c r="I1605" t="s">
        <v>6214</v>
      </c>
      <c r="K1605" t="s">
        <v>6214</v>
      </c>
      <c r="L1605" t="s">
        <v>2998</v>
      </c>
      <c r="M1605" s="1" t="str">
        <f t="shared" si="177"/>
        <v>06B232</v>
      </c>
      <c r="N1605" s="1" t="str">
        <f t="shared" si="178"/>
        <v>C/O</v>
      </c>
      <c r="O1605" s="1" t="str">
        <f t="shared" si="179"/>
        <v>Hoist Cylinder RH</v>
      </c>
      <c r="P1605" s="1" t="str">
        <f t="shared" si="180"/>
        <v>AX79</v>
      </c>
      <c r="Q1605" s="2" t="str">
        <f t="shared" si="181"/>
        <v>AX79Hoist Cylinder RH</v>
      </c>
      <c r="R1605" s="2" t="str">
        <f>New_Xref[[#This Row],[Serial Prefix]]&amp;IF(New_Xref[[#This Row],[Func Loc]]&lt;&gt;"",New_Xref[[#This Row],[Func Loc]],"NO MATCH")</f>
        <v>AX79MYHD .CYLI.HOIR</v>
      </c>
      <c r="S1605" s="3" t="str">
        <f t="shared" si="176"/>
        <v>AX79Hoist Cylinder RH</v>
      </c>
      <c r="T1605" t="s">
        <v>130</v>
      </c>
      <c r="U1605" t="s">
        <v>115</v>
      </c>
      <c r="V1605" t="str">
        <f t="shared" si="175"/>
        <v>5102RI</v>
      </c>
    </row>
    <row r="1606" spans="1:22">
      <c r="A1606" t="s">
        <v>2138</v>
      </c>
      <c r="B1606" t="s">
        <v>6208</v>
      </c>
      <c r="I1606" t="s">
        <v>6215</v>
      </c>
      <c r="K1606" t="s">
        <v>6215</v>
      </c>
      <c r="L1606" t="s">
        <v>6119</v>
      </c>
      <c r="M1606" s="1" t="str">
        <f t="shared" si="177"/>
        <v>06H255</v>
      </c>
      <c r="N1606" s="1" t="str">
        <f t="shared" si="178"/>
        <v>C/O</v>
      </c>
      <c r="O1606" s="1" t="str">
        <f t="shared" si="179"/>
        <v>Brake LHR</v>
      </c>
      <c r="P1606" s="1" t="str">
        <f t="shared" si="180"/>
        <v>AGC0</v>
      </c>
      <c r="Q1606" s="2" t="str">
        <f t="shared" si="181"/>
        <v>AGC0Brake LHR</v>
      </c>
      <c r="R1606" s="2" t="str">
        <f>New_Xref[[#This Row],[Serial Prefix]]&amp;IF(New_Xref[[#This Row],[Func Loc]]&lt;&gt;"",New_Xref[[#This Row],[Func Loc]],"NO MATCH")</f>
        <v>AGC0BRAK .SEBR.SBLR</v>
      </c>
      <c r="S1606" s="3" t="str">
        <f t="shared" si="176"/>
        <v>AGC0Brake LHR</v>
      </c>
      <c r="T1606" t="s">
        <v>205</v>
      </c>
      <c r="U1606" t="s">
        <v>96</v>
      </c>
      <c r="V1606" t="str">
        <f t="shared" si="175"/>
        <v>4251LR</v>
      </c>
    </row>
    <row r="1607" spans="1:22">
      <c r="A1607" t="s">
        <v>2138</v>
      </c>
      <c r="B1607" t="s">
        <v>6208</v>
      </c>
      <c r="I1607" t="s">
        <v>6216</v>
      </c>
      <c r="K1607" t="s">
        <v>6216</v>
      </c>
      <c r="L1607" t="s">
        <v>6121</v>
      </c>
      <c r="M1607" s="1" t="str">
        <f t="shared" si="177"/>
        <v>06H255</v>
      </c>
      <c r="N1607" s="1" t="str">
        <f t="shared" si="178"/>
        <v>C/O</v>
      </c>
      <c r="O1607" s="1" t="str">
        <f t="shared" si="179"/>
        <v>Brake RHR</v>
      </c>
      <c r="P1607" s="1" t="str">
        <f t="shared" si="180"/>
        <v>AGC0</v>
      </c>
      <c r="Q1607" s="2" t="str">
        <f t="shared" si="181"/>
        <v>AGC0Brake RHR</v>
      </c>
      <c r="R1607" s="2" t="str">
        <f>New_Xref[[#This Row],[Serial Prefix]]&amp;IF(New_Xref[[#This Row],[Func Loc]]&lt;&gt;"",New_Xref[[#This Row],[Func Loc]],"NO MATCH")</f>
        <v>AGC0BRAK .SEBR.SBRR</v>
      </c>
      <c r="S1607" s="3" t="str">
        <f t="shared" si="176"/>
        <v>AGC0Brake RHR</v>
      </c>
      <c r="T1607" t="s">
        <v>205</v>
      </c>
      <c r="U1607" t="s">
        <v>99</v>
      </c>
      <c r="V1607" t="str">
        <f t="shared" si="175"/>
        <v>4251RR</v>
      </c>
    </row>
    <row r="1608" spans="1:22">
      <c r="A1608" t="s">
        <v>4236</v>
      </c>
      <c r="B1608" t="s">
        <v>4237</v>
      </c>
      <c r="I1608" t="s">
        <v>6217</v>
      </c>
      <c r="K1608" t="s">
        <v>6217</v>
      </c>
      <c r="L1608" t="s">
        <v>3305</v>
      </c>
      <c r="M1608" s="1" t="str">
        <f t="shared" si="177"/>
        <v>07H126</v>
      </c>
      <c r="N1608" s="1" t="str">
        <f t="shared" si="178"/>
        <v>C/O</v>
      </c>
      <c r="O1608" s="1" t="str">
        <f t="shared" si="179"/>
        <v>Brake LHF</v>
      </c>
      <c r="P1608" s="1" t="str">
        <f t="shared" si="180"/>
        <v>Z9K0</v>
      </c>
      <c r="Q1608" s="2" t="str">
        <f t="shared" si="181"/>
        <v>Z9K0Brake LHF</v>
      </c>
      <c r="R1608" s="2" t="str">
        <f>New_Xref[[#This Row],[Serial Prefix]]&amp;IF(New_Xref[[#This Row],[Func Loc]]&lt;&gt;"",New_Xref[[#This Row],[Func Loc]],"NO MATCH")</f>
        <v>Z9K0BRAK .SEBR.SBLF</v>
      </c>
      <c r="S1608" s="3" t="str">
        <f t="shared" si="176"/>
        <v>Z9K0Brake LHF</v>
      </c>
      <c r="T1608" t="s">
        <v>205</v>
      </c>
      <c r="U1608" t="s">
        <v>89</v>
      </c>
      <c r="V1608" t="str">
        <f t="shared" si="175"/>
        <v>4251LF</v>
      </c>
    </row>
    <row r="1609" spans="1:22">
      <c r="A1609" t="s">
        <v>4236</v>
      </c>
      <c r="B1609" t="s">
        <v>4237</v>
      </c>
      <c r="I1609" t="s">
        <v>6218</v>
      </c>
      <c r="K1609" t="s">
        <v>6218</v>
      </c>
      <c r="L1609" t="s">
        <v>3308</v>
      </c>
      <c r="M1609" s="1" t="str">
        <f t="shared" si="177"/>
        <v>07H126</v>
      </c>
      <c r="N1609" s="1" t="str">
        <f t="shared" si="178"/>
        <v>C/O</v>
      </c>
      <c r="O1609" s="1" t="str">
        <f t="shared" si="179"/>
        <v>Brake RHF</v>
      </c>
      <c r="P1609" s="1" t="str">
        <f t="shared" si="180"/>
        <v>Z9K0</v>
      </c>
      <c r="Q1609" s="2" t="str">
        <f t="shared" si="181"/>
        <v>Z9K0Brake RHF</v>
      </c>
      <c r="R1609" s="2" t="str">
        <f>New_Xref[[#This Row],[Serial Prefix]]&amp;IF(New_Xref[[#This Row],[Func Loc]]&lt;&gt;"",New_Xref[[#This Row],[Func Loc]],"NO MATCH")</f>
        <v>Z9K0BRAK .SEBR.SBRF</v>
      </c>
      <c r="S1609" s="3" t="str">
        <f t="shared" si="176"/>
        <v>Z9K0Brake RHF</v>
      </c>
      <c r="T1609" t="s">
        <v>205</v>
      </c>
      <c r="U1609" t="s">
        <v>92</v>
      </c>
      <c r="V1609" t="str">
        <f t="shared" si="175"/>
        <v>4251RF</v>
      </c>
    </row>
    <row r="1610" spans="1:22">
      <c r="A1610" t="s">
        <v>4236</v>
      </c>
      <c r="B1610" t="s">
        <v>4237</v>
      </c>
      <c r="I1610" t="s">
        <v>6219</v>
      </c>
      <c r="K1610" t="s">
        <v>6219</v>
      </c>
      <c r="L1610" t="s">
        <v>6119</v>
      </c>
      <c r="M1610" s="1" t="str">
        <f t="shared" si="177"/>
        <v>07H126</v>
      </c>
      <c r="N1610" s="1" t="str">
        <f t="shared" si="178"/>
        <v>C/O</v>
      </c>
      <c r="O1610" s="1" t="str">
        <f t="shared" si="179"/>
        <v>Brake LHR</v>
      </c>
      <c r="P1610" s="1" t="str">
        <f t="shared" si="180"/>
        <v>Z9K0</v>
      </c>
      <c r="Q1610" s="2" t="str">
        <f t="shared" si="181"/>
        <v>Z9K0Brake LHR</v>
      </c>
      <c r="R1610" s="2" t="str">
        <f>New_Xref[[#This Row],[Serial Prefix]]&amp;IF(New_Xref[[#This Row],[Func Loc]]&lt;&gt;"",New_Xref[[#This Row],[Func Loc]],"NO MATCH")</f>
        <v>Z9K0BRAK .SEBR.SBLR</v>
      </c>
      <c r="S1610" s="3" t="str">
        <f t="shared" si="176"/>
        <v>Z9K0Brake LHR</v>
      </c>
      <c r="T1610" t="s">
        <v>205</v>
      </c>
      <c r="U1610" t="s">
        <v>96</v>
      </c>
      <c r="V1610" t="str">
        <f t="shared" si="175"/>
        <v>4251LR</v>
      </c>
    </row>
    <row r="1611" spans="1:22">
      <c r="A1611" t="s">
        <v>4236</v>
      </c>
      <c r="B1611" t="s">
        <v>4237</v>
      </c>
      <c r="I1611" t="s">
        <v>6220</v>
      </c>
      <c r="K1611" t="s">
        <v>6220</v>
      </c>
      <c r="L1611" t="s">
        <v>6121</v>
      </c>
      <c r="M1611" s="1" t="str">
        <f t="shared" si="177"/>
        <v>07H126</v>
      </c>
      <c r="N1611" s="1" t="str">
        <f t="shared" si="178"/>
        <v>C/O</v>
      </c>
      <c r="O1611" s="1" t="str">
        <f t="shared" si="179"/>
        <v>Brake RHR</v>
      </c>
      <c r="P1611" s="1" t="str">
        <f t="shared" si="180"/>
        <v>Z9K0</v>
      </c>
      <c r="Q1611" s="2" t="str">
        <f t="shared" si="181"/>
        <v>Z9K0Brake RHR</v>
      </c>
      <c r="R1611" s="2" t="str">
        <f>New_Xref[[#This Row],[Serial Prefix]]&amp;IF(New_Xref[[#This Row],[Func Loc]]&lt;&gt;"",New_Xref[[#This Row],[Func Loc]],"NO MATCH")</f>
        <v>Z9K0BRAK .SEBR.SBRR</v>
      </c>
      <c r="S1611" s="3" t="str">
        <f t="shared" si="176"/>
        <v>Z9K0Brake RHR</v>
      </c>
      <c r="T1611" t="s">
        <v>205</v>
      </c>
      <c r="U1611" t="s">
        <v>99</v>
      </c>
      <c r="V1611" t="str">
        <f t="shared" si="175"/>
        <v>4251RR</v>
      </c>
    </row>
    <row r="1612" spans="1:22">
      <c r="A1612" t="s">
        <v>3857</v>
      </c>
      <c r="B1612" t="s">
        <v>6221</v>
      </c>
      <c r="I1612" t="s">
        <v>6222</v>
      </c>
      <c r="K1612" t="s">
        <v>6222</v>
      </c>
      <c r="L1612" t="s">
        <v>3305</v>
      </c>
      <c r="M1612" s="1" t="str">
        <f t="shared" si="177"/>
        <v>07R20</v>
      </c>
      <c r="N1612" s="1" t="str">
        <f t="shared" si="178"/>
        <v>C/O</v>
      </c>
      <c r="O1612" s="1" t="str">
        <f t="shared" si="179"/>
        <v>Brake LHF</v>
      </c>
      <c r="P1612" s="1" t="str">
        <f t="shared" si="180"/>
        <v>AZX0</v>
      </c>
      <c r="Q1612" s="2" t="str">
        <f t="shared" si="181"/>
        <v>AZX0Brake LHF</v>
      </c>
      <c r="R1612" s="2" t="str">
        <f>New_Xref[[#This Row],[Serial Prefix]]&amp;IF(New_Xref[[#This Row],[Func Loc]]&lt;&gt;"",New_Xref[[#This Row],[Func Loc]],"NO MATCH")</f>
        <v>AZX0BRAK .SEBR.SBLF</v>
      </c>
      <c r="S1612" s="3" t="str">
        <f t="shared" si="176"/>
        <v>AZX0Brake LHF</v>
      </c>
      <c r="T1612" t="s">
        <v>205</v>
      </c>
      <c r="U1612" t="s">
        <v>89</v>
      </c>
      <c r="V1612" t="str">
        <f t="shared" si="175"/>
        <v>4251LF</v>
      </c>
    </row>
    <row r="1613" spans="1:22">
      <c r="A1613" t="s">
        <v>3857</v>
      </c>
      <c r="B1613" t="s">
        <v>6221</v>
      </c>
      <c r="I1613" t="s">
        <v>6223</v>
      </c>
      <c r="K1613" t="s">
        <v>6223</v>
      </c>
      <c r="L1613" t="s">
        <v>3308</v>
      </c>
      <c r="M1613" s="1" t="str">
        <f t="shared" si="177"/>
        <v>07R20</v>
      </c>
      <c r="N1613" s="1" t="str">
        <f t="shared" si="178"/>
        <v>C/O</v>
      </c>
      <c r="O1613" s="1" t="str">
        <f t="shared" si="179"/>
        <v>Brake RHF</v>
      </c>
      <c r="P1613" s="1" t="str">
        <f t="shared" si="180"/>
        <v>AZX0</v>
      </c>
      <c r="Q1613" s="2" t="str">
        <f t="shared" si="181"/>
        <v>AZX0Brake RHF</v>
      </c>
      <c r="R1613" s="2" t="str">
        <f>New_Xref[[#This Row],[Serial Prefix]]&amp;IF(New_Xref[[#This Row],[Func Loc]]&lt;&gt;"",New_Xref[[#This Row],[Func Loc]],"NO MATCH")</f>
        <v>AZX0BRAK .SEBR.SBRF</v>
      </c>
      <c r="S1613" s="3" t="str">
        <f t="shared" si="176"/>
        <v>AZX0Brake RHF</v>
      </c>
      <c r="T1613" t="s">
        <v>205</v>
      </c>
      <c r="U1613" t="s">
        <v>92</v>
      </c>
      <c r="V1613" t="str">
        <f t="shared" si="175"/>
        <v>4251RF</v>
      </c>
    </row>
    <row r="1614" spans="1:22">
      <c r="A1614" t="s">
        <v>3857</v>
      </c>
      <c r="B1614" t="s">
        <v>6221</v>
      </c>
      <c r="I1614" t="s">
        <v>6224</v>
      </c>
      <c r="K1614" t="s">
        <v>6224</v>
      </c>
      <c r="L1614" t="s">
        <v>6119</v>
      </c>
      <c r="M1614" s="1" t="str">
        <f t="shared" si="177"/>
        <v>07R20</v>
      </c>
      <c r="N1614" s="1" t="str">
        <f t="shared" si="178"/>
        <v>C/O</v>
      </c>
      <c r="O1614" s="1" t="str">
        <f t="shared" si="179"/>
        <v>Brake LHR</v>
      </c>
      <c r="P1614" s="1" t="str">
        <f t="shared" si="180"/>
        <v>AZX0</v>
      </c>
      <c r="Q1614" s="2" t="str">
        <f t="shared" si="181"/>
        <v>AZX0Brake LHR</v>
      </c>
      <c r="R1614" s="2" t="str">
        <f>New_Xref[[#This Row],[Serial Prefix]]&amp;IF(New_Xref[[#This Row],[Func Loc]]&lt;&gt;"",New_Xref[[#This Row],[Func Loc]],"NO MATCH")</f>
        <v>AZX0BRAK .SEBR.SBLR</v>
      </c>
      <c r="S1614" s="3" t="str">
        <f t="shared" si="176"/>
        <v>AZX0Brake LHR</v>
      </c>
      <c r="T1614" t="s">
        <v>205</v>
      </c>
      <c r="U1614" t="s">
        <v>96</v>
      </c>
      <c r="V1614" t="str">
        <f t="shared" si="175"/>
        <v>4251LR</v>
      </c>
    </row>
    <row r="1615" spans="1:22">
      <c r="A1615" t="s">
        <v>3857</v>
      </c>
      <c r="B1615" t="s">
        <v>6221</v>
      </c>
      <c r="I1615" t="s">
        <v>6225</v>
      </c>
      <c r="K1615" t="s">
        <v>6225</v>
      </c>
      <c r="L1615" t="s">
        <v>6121</v>
      </c>
      <c r="M1615" s="1" t="str">
        <f t="shared" si="177"/>
        <v>07R20</v>
      </c>
      <c r="N1615" s="1" t="str">
        <f t="shared" si="178"/>
        <v>C/O</v>
      </c>
      <c r="O1615" s="1" t="str">
        <f t="shared" si="179"/>
        <v>Brake RHR</v>
      </c>
      <c r="P1615" s="1" t="str">
        <f t="shared" si="180"/>
        <v>AZX0</v>
      </c>
      <c r="Q1615" s="2" t="str">
        <f t="shared" si="181"/>
        <v>AZX0Brake RHR</v>
      </c>
      <c r="R1615" s="2" t="str">
        <f>New_Xref[[#This Row],[Serial Prefix]]&amp;IF(New_Xref[[#This Row],[Func Loc]]&lt;&gt;"",New_Xref[[#This Row],[Func Loc]],"NO MATCH")</f>
        <v>AZX0BRAK .SEBR.SBRR</v>
      </c>
      <c r="S1615" s="3" t="str">
        <f t="shared" si="176"/>
        <v>AZX0Brake RHR</v>
      </c>
      <c r="T1615" t="s">
        <v>205</v>
      </c>
      <c r="U1615" t="s">
        <v>99</v>
      </c>
      <c r="V1615" t="str">
        <f t="shared" si="175"/>
        <v>4251RR</v>
      </c>
    </row>
    <row r="1616" spans="1:22">
      <c r="A1616" t="s">
        <v>2494</v>
      </c>
      <c r="B1616" t="s">
        <v>6226</v>
      </c>
      <c r="I1616" t="s">
        <v>6227</v>
      </c>
      <c r="K1616" t="s">
        <v>6227</v>
      </c>
      <c r="L1616" t="s">
        <v>3305</v>
      </c>
      <c r="M1616" s="1" t="str">
        <f t="shared" si="177"/>
        <v>06R0069</v>
      </c>
      <c r="N1616" s="1" t="str">
        <f t="shared" si="178"/>
        <v>C/O</v>
      </c>
      <c r="O1616" s="1" t="str">
        <f t="shared" si="179"/>
        <v>Brake LHF</v>
      </c>
      <c r="P1616" s="1" t="str">
        <f t="shared" si="180"/>
        <v>APX0</v>
      </c>
      <c r="Q1616" s="2" t="str">
        <f t="shared" si="181"/>
        <v>APX0Brake LHF</v>
      </c>
      <c r="R1616" s="2" t="str">
        <f>New_Xref[[#This Row],[Serial Prefix]]&amp;IF(New_Xref[[#This Row],[Func Loc]]&lt;&gt;"",New_Xref[[#This Row],[Func Loc]],"NO MATCH")</f>
        <v>APX0BRAK .SEBR.SBLF</v>
      </c>
      <c r="S1616" s="3" t="str">
        <f t="shared" si="176"/>
        <v>APX0Brake LHF</v>
      </c>
      <c r="T1616" t="s">
        <v>205</v>
      </c>
      <c r="U1616" t="s">
        <v>89</v>
      </c>
      <c r="V1616" t="str">
        <f t="shared" si="175"/>
        <v>4251LF</v>
      </c>
    </row>
    <row r="1617" spans="1:22">
      <c r="A1617" t="s">
        <v>2494</v>
      </c>
      <c r="B1617" t="s">
        <v>6226</v>
      </c>
      <c r="I1617" t="s">
        <v>6228</v>
      </c>
      <c r="K1617" t="s">
        <v>6228</v>
      </c>
      <c r="L1617" t="s">
        <v>3308</v>
      </c>
      <c r="M1617" s="1" t="str">
        <f t="shared" si="177"/>
        <v>06R0069</v>
      </c>
      <c r="N1617" s="1" t="str">
        <f t="shared" si="178"/>
        <v>C/O</v>
      </c>
      <c r="O1617" s="1" t="str">
        <f t="shared" si="179"/>
        <v>Brake RHF</v>
      </c>
      <c r="P1617" s="1" t="str">
        <f t="shared" si="180"/>
        <v>APX0</v>
      </c>
      <c r="Q1617" s="2" t="str">
        <f t="shared" si="181"/>
        <v>APX0Brake RHF</v>
      </c>
      <c r="R1617" s="2" t="str">
        <f>New_Xref[[#This Row],[Serial Prefix]]&amp;IF(New_Xref[[#This Row],[Func Loc]]&lt;&gt;"",New_Xref[[#This Row],[Func Loc]],"NO MATCH")</f>
        <v>APX0BRAK .SEBR.SBRF</v>
      </c>
      <c r="S1617" s="3" t="str">
        <f t="shared" si="176"/>
        <v>APX0Brake RHF</v>
      </c>
      <c r="T1617" t="s">
        <v>205</v>
      </c>
      <c r="U1617" t="s">
        <v>92</v>
      </c>
      <c r="V1617" t="str">
        <f t="shared" si="175"/>
        <v>4251RF</v>
      </c>
    </row>
    <row r="1618" spans="1:22">
      <c r="A1618" t="s">
        <v>2494</v>
      </c>
      <c r="B1618" t="s">
        <v>6226</v>
      </c>
      <c r="I1618" t="s">
        <v>6229</v>
      </c>
      <c r="K1618" t="s">
        <v>6229</v>
      </c>
      <c r="L1618" t="s">
        <v>6119</v>
      </c>
      <c r="M1618" s="1" t="str">
        <f t="shared" si="177"/>
        <v>06R0069</v>
      </c>
      <c r="N1618" s="1" t="str">
        <f t="shared" si="178"/>
        <v>C/O</v>
      </c>
      <c r="O1618" s="1" t="str">
        <f t="shared" si="179"/>
        <v>Brake LHR</v>
      </c>
      <c r="P1618" s="1" t="str">
        <f t="shared" si="180"/>
        <v>APX0</v>
      </c>
      <c r="Q1618" s="2" t="str">
        <f t="shared" si="181"/>
        <v>APX0Brake LHR</v>
      </c>
      <c r="R1618" s="2" t="str">
        <f>New_Xref[[#This Row],[Serial Prefix]]&amp;IF(New_Xref[[#This Row],[Func Loc]]&lt;&gt;"",New_Xref[[#This Row],[Func Loc]],"NO MATCH")</f>
        <v>APX0BRAK .SEBR.SBLR</v>
      </c>
      <c r="S1618" s="3" t="str">
        <f t="shared" si="176"/>
        <v>APX0Brake LHR</v>
      </c>
      <c r="T1618" t="s">
        <v>205</v>
      </c>
      <c r="U1618" t="s">
        <v>96</v>
      </c>
      <c r="V1618" t="str">
        <f t="shared" si="175"/>
        <v>4251LR</v>
      </c>
    </row>
    <row r="1619" spans="1:22">
      <c r="A1619" t="s">
        <v>2494</v>
      </c>
      <c r="B1619" t="s">
        <v>6226</v>
      </c>
      <c r="I1619" t="s">
        <v>6230</v>
      </c>
      <c r="K1619" t="s">
        <v>6230</v>
      </c>
      <c r="L1619" t="s">
        <v>6121</v>
      </c>
      <c r="M1619" s="1" t="str">
        <f t="shared" si="177"/>
        <v>06R0069</v>
      </c>
      <c r="N1619" s="1" t="str">
        <f t="shared" si="178"/>
        <v>C/O</v>
      </c>
      <c r="O1619" s="1" t="str">
        <f t="shared" si="179"/>
        <v>Brake RHR</v>
      </c>
      <c r="P1619" s="1" t="str">
        <f t="shared" si="180"/>
        <v>APX0</v>
      </c>
      <c r="Q1619" s="2" t="str">
        <f t="shared" si="181"/>
        <v>APX0Brake RHR</v>
      </c>
      <c r="R1619" s="2" t="str">
        <f>New_Xref[[#This Row],[Serial Prefix]]&amp;IF(New_Xref[[#This Row],[Func Loc]]&lt;&gt;"",New_Xref[[#This Row],[Func Loc]],"NO MATCH")</f>
        <v>APX0BRAK .SEBR.SBRR</v>
      </c>
      <c r="S1619" s="3" t="str">
        <f t="shared" si="176"/>
        <v>APX0Brake RHR</v>
      </c>
      <c r="T1619" t="s">
        <v>205</v>
      </c>
      <c r="U1619" t="s">
        <v>99</v>
      </c>
      <c r="V1619" t="str">
        <f t="shared" si="175"/>
        <v>4251RR</v>
      </c>
    </row>
    <row r="1620" spans="1:22">
      <c r="A1620" t="s">
        <v>3558</v>
      </c>
      <c r="B1620" t="s">
        <v>3671</v>
      </c>
      <c r="I1620" t="s">
        <v>6231</v>
      </c>
      <c r="K1620" t="s">
        <v>6231</v>
      </c>
      <c r="L1620" t="s">
        <v>3305</v>
      </c>
      <c r="M1620" s="1" t="str">
        <f t="shared" si="177"/>
        <v>08H92</v>
      </c>
      <c r="N1620" s="1" t="str">
        <f t="shared" si="178"/>
        <v>C/O</v>
      </c>
      <c r="O1620" s="1" t="str">
        <f t="shared" si="179"/>
        <v>Brake LHF</v>
      </c>
      <c r="P1620" s="1" t="str">
        <f t="shared" si="180"/>
        <v>2210</v>
      </c>
      <c r="Q1620" s="2" t="str">
        <f t="shared" si="181"/>
        <v>2210Brake LHF</v>
      </c>
      <c r="R1620" s="2" t="str">
        <f>New_Xref[[#This Row],[Serial Prefix]]&amp;IF(New_Xref[[#This Row],[Func Loc]]&lt;&gt;"",New_Xref[[#This Row],[Func Loc]],"NO MATCH")</f>
        <v>2210BRAK .SEBR.SBLF</v>
      </c>
      <c r="S1620" s="3" t="str">
        <f t="shared" si="176"/>
        <v>2210Brake LHF</v>
      </c>
      <c r="T1620" t="s">
        <v>205</v>
      </c>
      <c r="U1620" t="s">
        <v>89</v>
      </c>
      <c r="V1620" t="str">
        <f t="shared" si="175"/>
        <v>4251LF</v>
      </c>
    </row>
    <row r="1621" spans="1:22">
      <c r="A1621" t="s">
        <v>3558</v>
      </c>
      <c r="B1621" t="s">
        <v>3671</v>
      </c>
      <c r="I1621" t="s">
        <v>6232</v>
      </c>
      <c r="K1621" t="s">
        <v>6232</v>
      </c>
      <c r="L1621" t="s">
        <v>3308</v>
      </c>
      <c r="M1621" s="1" t="str">
        <f t="shared" si="177"/>
        <v>08H92</v>
      </c>
      <c r="N1621" s="1" t="str">
        <f t="shared" si="178"/>
        <v>C/O</v>
      </c>
      <c r="O1621" s="1" t="str">
        <f t="shared" si="179"/>
        <v>Brake RHF</v>
      </c>
      <c r="P1621" s="1" t="str">
        <f t="shared" si="180"/>
        <v>2210</v>
      </c>
      <c r="Q1621" s="2" t="str">
        <f t="shared" si="181"/>
        <v>2210Brake RHF</v>
      </c>
      <c r="R1621" s="2" t="str">
        <f>New_Xref[[#This Row],[Serial Prefix]]&amp;IF(New_Xref[[#This Row],[Func Loc]]&lt;&gt;"",New_Xref[[#This Row],[Func Loc]],"NO MATCH")</f>
        <v>2210BRAK .SEBR.SBRF</v>
      </c>
      <c r="S1621" s="3" t="str">
        <f t="shared" si="176"/>
        <v>2210Brake RHF</v>
      </c>
      <c r="T1621" t="s">
        <v>205</v>
      </c>
      <c r="U1621" t="s">
        <v>92</v>
      </c>
      <c r="V1621" t="str">
        <f t="shared" si="175"/>
        <v>4251RF</v>
      </c>
    </row>
    <row r="1622" spans="1:22">
      <c r="A1622" t="s">
        <v>3558</v>
      </c>
      <c r="B1622" t="s">
        <v>3671</v>
      </c>
      <c r="I1622" t="s">
        <v>6233</v>
      </c>
      <c r="K1622" t="s">
        <v>6233</v>
      </c>
      <c r="L1622" t="s">
        <v>6119</v>
      </c>
      <c r="M1622" s="1" t="str">
        <f t="shared" si="177"/>
        <v>08H92</v>
      </c>
      <c r="N1622" s="1" t="str">
        <f t="shared" si="178"/>
        <v>C/O</v>
      </c>
      <c r="O1622" s="1" t="str">
        <f t="shared" si="179"/>
        <v>Brake LHR</v>
      </c>
      <c r="P1622" s="1" t="str">
        <f t="shared" si="180"/>
        <v>2210</v>
      </c>
      <c r="Q1622" s="2" t="str">
        <f t="shared" si="181"/>
        <v>2210Brake LHR</v>
      </c>
      <c r="R1622" s="2" t="str">
        <f>New_Xref[[#This Row],[Serial Prefix]]&amp;IF(New_Xref[[#This Row],[Func Loc]]&lt;&gt;"",New_Xref[[#This Row],[Func Loc]],"NO MATCH")</f>
        <v>2210BRAK .SEBR.SBLR</v>
      </c>
      <c r="S1622" s="3" t="str">
        <f t="shared" si="176"/>
        <v>2210Brake LHR</v>
      </c>
      <c r="T1622" t="s">
        <v>205</v>
      </c>
      <c r="U1622" t="s">
        <v>96</v>
      </c>
      <c r="V1622" t="str">
        <f t="shared" si="175"/>
        <v>4251LR</v>
      </c>
    </row>
    <row r="1623" spans="1:22">
      <c r="A1623" t="s">
        <v>3558</v>
      </c>
      <c r="B1623" t="s">
        <v>3671</v>
      </c>
      <c r="I1623" t="s">
        <v>6234</v>
      </c>
      <c r="K1623" t="s">
        <v>6234</v>
      </c>
      <c r="L1623" t="s">
        <v>6121</v>
      </c>
      <c r="M1623" s="1" t="str">
        <f t="shared" si="177"/>
        <v>08H92</v>
      </c>
      <c r="N1623" s="1" t="str">
        <f t="shared" si="178"/>
        <v>C/O</v>
      </c>
      <c r="O1623" s="1" t="str">
        <f t="shared" si="179"/>
        <v>Brake RHR</v>
      </c>
      <c r="P1623" s="1" t="str">
        <f t="shared" si="180"/>
        <v>2210</v>
      </c>
      <c r="Q1623" s="2" t="str">
        <f t="shared" si="181"/>
        <v>2210Brake RHR</v>
      </c>
      <c r="R1623" s="2" t="str">
        <f>New_Xref[[#This Row],[Serial Prefix]]&amp;IF(New_Xref[[#This Row],[Func Loc]]&lt;&gt;"",New_Xref[[#This Row],[Func Loc]],"NO MATCH")</f>
        <v>2210BRAK .SEBR.SBRR</v>
      </c>
      <c r="S1623" s="3" t="str">
        <f t="shared" si="176"/>
        <v>2210Brake RHR</v>
      </c>
      <c r="T1623" t="s">
        <v>205</v>
      </c>
      <c r="U1623" t="s">
        <v>99</v>
      </c>
      <c r="V1623" t="str">
        <f t="shared" si="175"/>
        <v>4251RR</v>
      </c>
    </row>
    <row r="1624" spans="1:22">
      <c r="A1624" t="s">
        <v>2204</v>
      </c>
      <c r="B1624" t="s">
        <v>6188</v>
      </c>
      <c r="I1624" t="s">
        <v>6235</v>
      </c>
      <c r="K1624" t="s">
        <v>6235</v>
      </c>
      <c r="L1624" t="s">
        <v>3305</v>
      </c>
      <c r="M1624" s="1" t="str">
        <f t="shared" si="177"/>
        <v>06R32</v>
      </c>
      <c r="N1624" s="1" t="str">
        <f t="shared" si="178"/>
        <v>C/O</v>
      </c>
      <c r="O1624" s="1" t="str">
        <f t="shared" si="179"/>
        <v>Brake LHF</v>
      </c>
      <c r="P1624" s="1" t="str">
        <f t="shared" si="180"/>
        <v>JRP0</v>
      </c>
      <c r="Q1624" s="2" t="str">
        <f t="shared" si="181"/>
        <v>JRP0Brake LHF</v>
      </c>
      <c r="R1624" s="2" t="str">
        <f>New_Xref[[#This Row],[Serial Prefix]]&amp;IF(New_Xref[[#This Row],[Func Loc]]&lt;&gt;"",New_Xref[[#This Row],[Func Loc]],"NO MATCH")</f>
        <v>JRP0BRAK .SEBR.SBLF</v>
      </c>
      <c r="S1624" s="3" t="str">
        <f t="shared" si="176"/>
        <v>JRP0Brake LHF</v>
      </c>
      <c r="T1624" t="s">
        <v>205</v>
      </c>
      <c r="U1624" t="s">
        <v>89</v>
      </c>
      <c r="V1624" t="str">
        <f t="shared" si="175"/>
        <v>4251LF</v>
      </c>
    </row>
    <row r="1625" spans="1:22">
      <c r="A1625" t="s">
        <v>2204</v>
      </c>
      <c r="B1625" t="s">
        <v>6188</v>
      </c>
      <c r="I1625" t="s">
        <v>6236</v>
      </c>
      <c r="K1625" t="s">
        <v>6236</v>
      </c>
      <c r="L1625" t="s">
        <v>3308</v>
      </c>
      <c r="M1625" s="1" t="str">
        <f t="shared" si="177"/>
        <v>06R32</v>
      </c>
      <c r="N1625" s="1" t="str">
        <f t="shared" si="178"/>
        <v>C/O</v>
      </c>
      <c r="O1625" s="1" t="str">
        <f t="shared" si="179"/>
        <v>Brake RHF</v>
      </c>
      <c r="P1625" s="1" t="str">
        <f t="shared" si="180"/>
        <v>JRP0</v>
      </c>
      <c r="Q1625" s="2" t="str">
        <f t="shared" si="181"/>
        <v>JRP0Brake RHF</v>
      </c>
      <c r="R1625" s="2" t="str">
        <f>New_Xref[[#This Row],[Serial Prefix]]&amp;IF(New_Xref[[#This Row],[Func Loc]]&lt;&gt;"",New_Xref[[#This Row],[Func Loc]],"NO MATCH")</f>
        <v>JRP0BRAK .SEBR.SBRF</v>
      </c>
      <c r="S1625" s="3" t="str">
        <f t="shared" si="176"/>
        <v>JRP0Brake RHF</v>
      </c>
      <c r="T1625" t="s">
        <v>205</v>
      </c>
      <c r="U1625" t="s">
        <v>92</v>
      </c>
      <c r="V1625" t="str">
        <f t="shared" si="175"/>
        <v>4251RF</v>
      </c>
    </row>
    <row r="1626" spans="1:22">
      <c r="A1626" t="s">
        <v>2204</v>
      </c>
      <c r="B1626" t="s">
        <v>6188</v>
      </c>
      <c r="I1626" t="s">
        <v>6237</v>
      </c>
      <c r="K1626" t="s">
        <v>6237</v>
      </c>
      <c r="L1626" t="s">
        <v>6119</v>
      </c>
      <c r="M1626" s="1" t="str">
        <f t="shared" si="177"/>
        <v>06R32</v>
      </c>
      <c r="N1626" s="1" t="str">
        <f t="shared" si="178"/>
        <v>C/O</v>
      </c>
      <c r="O1626" s="1" t="str">
        <f t="shared" si="179"/>
        <v>Brake LHR</v>
      </c>
      <c r="P1626" s="1" t="str">
        <f t="shared" si="180"/>
        <v>JRP0</v>
      </c>
      <c r="Q1626" s="2" t="str">
        <f t="shared" si="181"/>
        <v>JRP0Brake LHR</v>
      </c>
      <c r="R1626" s="2" t="str">
        <f>New_Xref[[#This Row],[Serial Prefix]]&amp;IF(New_Xref[[#This Row],[Func Loc]]&lt;&gt;"",New_Xref[[#This Row],[Func Loc]],"NO MATCH")</f>
        <v>JRP0BRAK .SEBR.SBLR</v>
      </c>
      <c r="S1626" s="3" t="str">
        <f t="shared" si="176"/>
        <v>JRP0Brake LHR</v>
      </c>
      <c r="T1626" t="s">
        <v>205</v>
      </c>
      <c r="U1626" t="s">
        <v>96</v>
      </c>
      <c r="V1626" t="str">
        <f t="shared" si="175"/>
        <v>4251LR</v>
      </c>
    </row>
    <row r="1627" spans="1:22">
      <c r="A1627" t="s">
        <v>2204</v>
      </c>
      <c r="B1627" t="s">
        <v>6188</v>
      </c>
      <c r="I1627" t="s">
        <v>6238</v>
      </c>
      <c r="K1627" t="s">
        <v>6238</v>
      </c>
      <c r="L1627" t="s">
        <v>6121</v>
      </c>
      <c r="M1627" s="1" t="str">
        <f t="shared" si="177"/>
        <v>06R32</v>
      </c>
      <c r="N1627" s="1" t="str">
        <f t="shared" si="178"/>
        <v>C/O</v>
      </c>
      <c r="O1627" s="1" t="str">
        <f t="shared" si="179"/>
        <v>Brake RHR</v>
      </c>
      <c r="P1627" s="1" t="str">
        <f t="shared" si="180"/>
        <v>JRP0</v>
      </c>
      <c r="Q1627" s="2" t="str">
        <f t="shared" si="181"/>
        <v>JRP0Brake RHR</v>
      </c>
      <c r="R1627" s="2" t="str">
        <f>New_Xref[[#This Row],[Serial Prefix]]&amp;IF(New_Xref[[#This Row],[Func Loc]]&lt;&gt;"",New_Xref[[#This Row],[Func Loc]],"NO MATCH")</f>
        <v>JRP0BRAK .SEBR.SBRR</v>
      </c>
      <c r="S1627" s="3" t="str">
        <f t="shared" si="176"/>
        <v>JRP0Brake RHR</v>
      </c>
      <c r="T1627" t="s">
        <v>205</v>
      </c>
      <c r="U1627" t="s">
        <v>99</v>
      </c>
      <c r="V1627" t="str">
        <f t="shared" si="175"/>
        <v>4251RR</v>
      </c>
    </row>
    <row r="1628" spans="1:22">
      <c r="A1628" t="s">
        <v>2628</v>
      </c>
      <c r="B1628" t="s">
        <v>6191</v>
      </c>
      <c r="I1628" t="s">
        <v>6239</v>
      </c>
      <c r="K1628" t="s">
        <v>6239</v>
      </c>
      <c r="L1628" t="s">
        <v>3305</v>
      </c>
      <c r="M1628" s="1" t="str">
        <f t="shared" si="177"/>
        <v>06H860</v>
      </c>
      <c r="N1628" s="1" t="str">
        <f t="shared" si="178"/>
        <v>C/O</v>
      </c>
      <c r="O1628" s="1" t="str">
        <f t="shared" si="179"/>
        <v>Brake LHF</v>
      </c>
      <c r="P1628" s="1" t="str">
        <f t="shared" si="180"/>
        <v>DMC0</v>
      </c>
      <c r="Q1628" s="2" t="str">
        <f t="shared" si="181"/>
        <v>DMC0Brake LHF</v>
      </c>
      <c r="R1628" s="2" t="str">
        <f>New_Xref[[#This Row],[Serial Prefix]]&amp;IF(New_Xref[[#This Row],[Func Loc]]&lt;&gt;"",New_Xref[[#This Row],[Func Loc]],"NO MATCH")</f>
        <v>DMC0BRAK .SEBR.SBLF</v>
      </c>
      <c r="S1628" s="3" t="str">
        <f t="shared" si="176"/>
        <v>DMC0Brake LHF</v>
      </c>
      <c r="T1628" t="s">
        <v>205</v>
      </c>
      <c r="U1628" t="s">
        <v>89</v>
      </c>
      <c r="V1628" t="str">
        <f t="shared" si="175"/>
        <v>4251LF</v>
      </c>
    </row>
    <row r="1629" spans="1:22">
      <c r="A1629" t="s">
        <v>2628</v>
      </c>
      <c r="B1629" t="s">
        <v>6191</v>
      </c>
      <c r="I1629" t="s">
        <v>6240</v>
      </c>
      <c r="K1629" t="s">
        <v>6240</v>
      </c>
      <c r="L1629" t="s">
        <v>3308</v>
      </c>
      <c r="M1629" s="1" t="str">
        <f t="shared" si="177"/>
        <v>06H860</v>
      </c>
      <c r="N1629" s="1" t="str">
        <f t="shared" si="178"/>
        <v>C/O</v>
      </c>
      <c r="O1629" s="1" t="str">
        <f t="shared" si="179"/>
        <v>Brake RHF</v>
      </c>
      <c r="P1629" s="1" t="str">
        <f t="shared" si="180"/>
        <v>DMC0</v>
      </c>
      <c r="Q1629" s="2" t="str">
        <f t="shared" si="181"/>
        <v>DMC0Brake RHF</v>
      </c>
      <c r="R1629" s="2" t="str">
        <f>New_Xref[[#This Row],[Serial Prefix]]&amp;IF(New_Xref[[#This Row],[Func Loc]]&lt;&gt;"",New_Xref[[#This Row],[Func Loc]],"NO MATCH")</f>
        <v>DMC0BRAK .SEBR.SBRF</v>
      </c>
      <c r="S1629" s="3" t="str">
        <f t="shared" si="176"/>
        <v>DMC0Brake RHF</v>
      </c>
      <c r="T1629" t="s">
        <v>205</v>
      </c>
      <c r="U1629" t="s">
        <v>92</v>
      </c>
      <c r="V1629" t="str">
        <f t="shared" si="175"/>
        <v>4251RF</v>
      </c>
    </row>
    <row r="1630" spans="1:22">
      <c r="A1630" t="s">
        <v>2628</v>
      </c>
      <c r="B1630" t="s">
        <v>6191</v>
      </c>
      <c r="I1630" t="s">
        <v>6241</v>
      </c>
      <c r="K1630" t="s">
        <v>6241</v>
      </c>
      <c r="L1630" t="s">
        <v>6119</v>
      </c>
      <c r="M1630" s="1" t="str">
        <f t="shared" si="177"/>
        <v>06H860</v>
      </c>
      <c r="N1630" s="1" t="str">
        <f t="shared" si="178"/>
        <v>C/O</v>
      </c>
      <c r="O1630" s="1" t="str">
        <f t="shared" si="179"/>
        <v>Brake LHR</v>
      </c>
      <c r="P1630" s="1" t="str">
        <f t="shared" si="180"/>
        <v>DMC0</v>
      </c>
      <c r="Q1630" s="2" t="str">
        <f t="shared" si="181"/>
        <v>DMC0Brake LHR</v>
      </c>
      <c r="R1630" s="2" t="str">
        <f>New_Xref[[#This Row],[Serial Prefix]]&amp;IF(New_Xref[[#This Row],[Func Loc]]&lt;&gt;"",New_Xref[[#This Row],[Func Loc]],"NO MATCH")</f>
        <v>DMC0BRAK .SEBR.SBLR</v>
      </c>
      <c r="S1630" s="3" t="str">
        <f t="shared" si="176"/>
        <v>DMC0Brake LHR</v>
      </c>
      <c r="T1630" t="s">
        <v>205</v>
      </c>
      <c r="U1630" t="s">
        <v>96</v>
      </c>
      <c r="V1630" t="str">
        <f t="shared" si="175"/>
        <v>4251LR</v>
      </c>
    </row>
    <row r="1631" spans="1:22">
      <c r="A1631" t="s">
        <v>2628</v>
      </c>
      <c r="B1631" t="s">
        <v>6191</v>
      </c>
      <c r="I1631" t="s">
        <v>6242</v>
      </c>
      <c r="K1631" t="s">
        <v>6242</v>
      </c>
      <c r="L1631" t="s">
        <v>6121</v>
      </c>
      <c r="M1631" s="1" t="str">
        <f t="shared" si="177"/>
        <v>06H860</v>
      </c>
      <c r="N1631" s="1" t="str">
        <f t="shared" si="178"/>
        <v>C/O</v>
      </c>
      <c r="O1631" s="1" t="str">
        <f t="shared" si="179"/>
        <v>Brake RHR</v>
      </c>
      <c r="P1631" s="1" t="str">
        <f t="shared" si="180"/>
        <v>DMC0</v>
      </c>
      <c r="Q1631" s="2" t="str">
        <f t="shared" si="181"/>
        <v>DMC0Brake RHR</v>
      </c>
      <c r="R1631" s="2" t="str">
        <f>New_Xref[[#This Row],[Serial Prefix]]&amp;IF(New_Xref[[#This Row],[Func Loc]]&lt;&gt;"",New_Xref[[#This Row],[Func Loc]],"NO MATCH")</f>
        <v>DMC0BRAK .SEBR.SBRR</v>
      </c>
      <c r="S1631" s="3" t="str">
        <f t="shared" si="176"/>
        <v>DMC0Brake RHR</v>
      </c>
      <c r="T1631" t="s">
        <v>205</v>
      </c>
      <c r="U1631" t="s">
        <v>99</v>
      </c>
      <c r="V1631" t="str">
        <f t="shared" si="175"/>
        <v>4251RR</v>
      </c>
    </row>
    <row r="1632" spans="1:22">
      <c r="A1632" t="s">
        <v>2385</v>
      </c>
      <c r="B1632" t="s">
        <v>2386</v>
      </c>
      <c r="I1632" t="s">
        <v>6243</v>
      </c>
      <c r="K1632" t="s">
        <v>6243</v>
      </c>
      <c r="L1632" t="s">
        <v>3305</v>
      </c>
      <c r="M1632" s="1" t="str">
        <f t="shared" si="177"/>
        <v>06D58</v>
      </c>
      <c r="N1632" s="1" t="str">
        <f t="shared" si="178"/>
        <v>C/O</v>
      </c>
      <c r="O1632" s="1" t="str">
        <f t="shared" si="179"/>
        <v>Brake LHF</v>
      </c>
      <c r="P1632" s="1" t="str">
        <f t="shared" si="180"/>
        <v>T4Y0</v>
      </c>
      <c r="Q1632" s="2" t="str">
        <f t="shared" si="181"/>
        <v>T4Y0Brake LHF</v>
      </c>
      <c r="R1632" s="2" t="str">
        <f>New_Xref[[#This Row],[Serial Prefix]]&amp;IF(New_Xref[[#This Row],[Func Loc]]&lt;&gt;"",New_Xref[[#This Row],[Func Loc]],"NO MATCH")</f>
        <v>T4Y0BRAK .SEBR.SBLF</v>
      </c>
      <c r="S1632" s="3" t="str">
        <f t="shared" si="176"/>
        <v>T4Y0Brake LHF</v>
      </c>
      <c r="T1632" t="s">
        <v>205</v>
      </c>
      <c r="U1632" t="s">
        <v>89</v>
      </c>
      <c r="V1632" t="str">
        <f t="shared" si="175"/>
        <v>4251LF</v>
      </c>
    </row>
    <row r="1633" spans="1:22">
      <c r="A1633" t="s">
        <v>2385</v>
      </c>
      <c r="B1633" t="s">
        <v>2386</v>
      </c>
      <c r="I1633" t="s">
        <v>6244</v>
      </c>
      <c r="K1633" t="s">
        <v>6244</v>
      </c>
      <c r="L1633" t="s">
        <v>3308</v>
      </c>
      <c r="M1633" s="1" t="str">
        <f t="shared" si="177"/>
        <v>06D58</v>
      </c>
      <c r="N1633" s="1" t="str">
        <f t="shared" si="178"/>
        <v>C/O</v>
      </c>
      <c r="O1633" s="1" t="str">
        <f t="shared" si="179"/>
        <v>Brake RHF</v>
      </c>
      <c r="P1633" s="1" t="str">
        <f t="shared" si="180"/>
        <v>T4Y0</v>
      </c>
      <c r="Q1633" s="2" t="str">
        <f t="shared" si="181"/>
        <v>T4Y0Brake RHF</v>
      </c>
      <c r="R1633" s="2" t="str">
        <f>New_Xref[[#This Row],[Serial Prefix]]&amp;IF(New_Xref[[#This Row],[Func Loc]]&lt;&gt;"",New_Xref[[#This Row],[Func Loc]],"NO MATCH")</f>
        <v>T4Y0BRAK .SEBR.SBRF</v>
      </c>
      <c r="S1633" s="3" t="str">
        <f t="shared" si="176"/>
        <v>T4Y0Brake RHF</v>
      </c>
      <c r="T1633" t="s">
        <v>205</v>
      </c>
      <c r="U1633" t="s">
        <v>92</v>
      </c>
      <c r="V1633" t="str">
        <f t="shared" si="175"/>
        <v>4251RF</v>
      </c>
    </row>
    <row r="1634" spans="1:22">
      <c r="A1634" t="s">
        <v>2385</v>
      </c>
      <c r="B1634" t="s">
        <v>2386</v>
      </c>
      <c r="I1634" t="s">
        <v>6245</v>
      </c>
      <c r="K1634" t="s">
        <v>6245</v>
      </c>
      <c r="L1634" t="s">
        <v>6119</v>
      </c>
      <c r="M1634" s="1" t="str">
        <f t="shared" si="177"/>
        <v>06D58</v>
      </c>
      <c r="N1634" s="1" t="str">
        <f t="shared" si="178"/>
        <v>C/O</v>
      </c>
      <c r="O1634" s="1" t="str">
        <f t="shared" si="179"/>
        <v>Brake LHR</v>
      </c>
      <c r="P1634" s="1" t="str">
        <f t="shared" si="180"/>
        <v>T4Y0</v>
      </c>
      <c r="Q1634" s="2" t="str">
        <f t="shared" si="181"/>
        <v>T4Y0Brake LHR</v>
      </c>
      <c r="R1634" s="2" t="str">
        <f>New_Xref[[#This Row],[Serial Prefix]]&amp;IF(New_Xref[[#This Row],[Func Loc]]&lt;&gt;"",New_Xref[[#This Row],[Func Loc]],"NO MATCH")</f>
        <v>T4Y0BRAK .SEBR.SBLR</v>
      </c>
      <c r="S1634" s="3" t="str">
        <f t="shared" si="176"/>
        <v>T4Y0Brake LHR</v>
      </c>
      <c r="T1634" t="s">
        <v>205</v>
      </c>
      <c r="U1634" t="s">
        <v>96</v>
      </c>
      <c r="V1634" t="str">
        <f t="shared" si="175"/>
        <v>4251LR</v>
      </c>
    </row>
    <row r="1635" spans="1:22">
      <c r="A1635" t="s">
        <v>2385</v>
      </c>
      <c r="B1635" t="s">
        <v>2386</v>
      </c>
      <c r="I1635" t="s">
        <v>6246</v>
      </c>
      <c r="K1635" t="s">
        <v>6246</v>
      </c>
      <c r="L1635" t="s">
        <v>6121</v>
      </c>
      <c r="M1635" s="1" t="str">
        <f t="shared" si="177"/>
        <v>06D58</v>
      </c>
      <c r="N1635" s="1" t="str">
        <f t="shared" si="178"/>
        <v>C/O</v>
      </c>
      <c r="O1635" s="1" t="str">
        <f t="shared" si="179"/>
        <v>Brake RHR</v>
      </c>
      <c r="P1635" s="1" t="str">
        <f t="shared" si="180"/>
        <v>T4Y0</v>
      </c>
      <c r="Q1635" s="2" t="str">
        <f t="shared" si="181"/>
        <v>T4Y0Brake RHR</v>
      </c>
      <c r="R1635" s="2" t="str">
        <f>New_Xref[[#This Row],[Serial Prefix]]&amp;IF(New_Xref[[#This Row],[Func Loc]]&lt;&gt;"",New_Xref[[#This Row],[Func Loc]],"NO MATCH")</f>
        <v>T4Y0BRAK .SEBR.SBRR</v>
      </c>
      <c r="S1635" s="3" t="str">
        <f t="shared" si="176"/>
        <v>T4Y0Brake RHR</v>
      </c>
      <c r="T1635" t="s">
        <v>205</v>
      </c>
      <c r="U1635" t="s">
        <v>99</v>
      </c>
      <c r="V1635" t="str">
        <f t="shared" si="175"/>
        <v>4251RR</v>
      </c>
    </row>
    <row r="1636" spans="1:22">
      <c r="A1636" t="s">
        <v>3558</v>
      </c>
      <c r="B1636" t="s">
        <v>6247</v>
      </c>
      <c r="I1636" t="s">
        <v>6248</v>
      </c>
      <c r="K1636" t="s">
        <v>6248</v>
      </c>
      <c r="L1636" t="s">
        <v>3305</v>
      </c>
      <c r="M1636" s="1" t="str">
        <f t="shared" si="177"/>
        <v>08H143</v>
      </c>
      <c r="N1636" s="1" t="str">
        <f t="shared" si="178"/>
        <v>C/O</v>
      </c>
      <c r="O1636" s="1" t="str">
        <f t="shared" si="179"/>
        <v>Brake LHF</v>
      </c>
      <c r="P1636" s="1" t="str">
        <f t="shared" si="180"/>
        <v>H9K0</v>
      </c>
      <c r="Q1636" s="2" t="str">
        <f t="shared" si="181"/>
        <v>H9K0Brake LHF</v>
      </c>
      <c r="R1636" s="2" t="str">
        <f>New_Xref[[#This Row],[Serial Prefix]]&amp;IF(New_Xref[[#This Row],[Func Loc]]&lt;&gt;"",New_Xref[[#This Row],[Func Loc]],"NO MATCH")</f>
        <v>H9K0BRAK .SEBR.SBLF</v>
      </c>
      <c r="S1636" s="3" t="str">
        <f t="shared" si="176"/>
        <v>H9K0Brake LHF</v>
      </c>
      <c r="T1636" t="s">
        <v>205</v>
      </c>
      <c r="U1636" t="s">
        <v>89</v>
      </c>
      <c r="V1636" t="str">
        <f t="shared" si="175"/>
        <v>4251LF</v>
      </c>
    </row>
    <row r="1637" spans="1:22">
      <c r="A1637" t="s">
        <v>3558</v>
      </c>
      <c r="B1637" t="s">
        <v>6247</v>
      </c>
      <c r="I1637" t="s">
        <v>6249</v>
      </c>
      <c r="K1637" t="s">
        <v>6249</v>
      </c>
      <c r="L1637" t="s">
        <v>3308</v>
      </c>
      <c r="M1637" s="1" t="str">
        <f t="shared" si="177"/>
        <v>08H143</v>
      </c>
      <c r="N1637" s="1" t="str">
        <f t="shared" si="178"/>
        <v>C/O</v>
      </c>
      <c r="O1637" s="1" t="str">
        <f t="shared" si="179"/>
        <v>Brake RHF</v>
      </c>
      <c r="P1637" s="1" t="str">
        <f t="shared" si="180"/>
        <v>H9K0</v>
      </c>
      <c r="Q1637" s="2" t="str">
        <f t="shared" si="181"/>
        <v>H9K0Brake RHF</v>
      </c>
      <c r="R1637" s="2" t="str">
        <f>New_Xref[[#This Row],[Serial Prefix]]&amp;IF(New_Xref[[#This Row],[Func Loc]]&lt;&gt;"",New_Xref[[#This Row],[Func Loc]],"NO MATCH")</f>
        <v>H9K0BRAK .SEBR.SBRF</v>
      </c>
      <c r="S1637" s="3" t="str">
        <f t="shared" si="176"/>
        <v>H9K0Brake RHF</v>
      </c>
      <c r="T1637" t="s">
        <v>205</v>
      </c>
      <c r="U1637" t="s">
        <v>92</v>
      </c>
      <c r="V1637" t="str">
        <f t="shared" si="175"/>
        <v>4251RF</v>
      </c>
    </row>
    <row r="1638" spans="1:22">
      <c r="A1638" t="s">
        <v>3558</v>
      </c>
      <c r="B1638" t="s">
        <v>6247</v>
      </c>
      <c r="I1638" t="s">
        <v>6250</v>
      </c>
      <c r="K1638" t="s">
        <v>6250</v>
      </c>
      <c r="L1638" t="s">
        <v>6119</v>
      </c>
      <c r="M1638" s="1" t="str">
        <f t="shared" si="177"/>
        <v>08H143</v>
      </c>
      <c r="N1638" s="1" t="str">
        <f t="shared" si="178"/>
        <v>C/O</v>
      </c>
      <c r="O1638" s="1" t="str">
        <f t="shared" si="179"/>
        <v>Brake LHR</v>
      </c>
      <c r="P1638" s="1" t="str">
        <f t="shared" si="180"/>
        <v>H9K0</v>
      </c>
      <c r="Q1638" s="2" t="str">
        <f t="shared" si="181"/>
        <v>H9K0Brake LHR</v>
      </c>
      <c r="R1638" s="2" t="str">
        <f>New_Xref[[#This Row],[Serial Prefix]]&amp;IF(New_Xref[[#This Row],[Func Loc]]&lt;&gt;"",New_Xref[[#This Row],[Func Loc]],"NO MATCH")</f>
        <v>H9K0BRAK .SEBR.SBLR</v>
      </c>
      <c r="S1638" s="3" t="str">
        <f t="shared" si="176"/>
        <v>H9K0Brake LHR</v>
      </c>
      <c r="T1638" t="s">
        <v>205</v>
      </c>
      <c r="U1638" t="s">
        <v>96</v>
      </c>
      <c r="V1638" t="str">
        <f t="shared" si="175"/>
        <v>4251LR</v>
      </c>
    </row>
    <row r="1639" spans="1:22">
      <c r="A1639" t="s">
        <v>3558</v>
      </c>
      <c r="B1639" t="s">
        <v>6247</v>
      </c>
      <c r="I1639" t="s">
        <v>6251</v>
      </c>
      <c r="K1639" t="s">
        <v>6251</v>
      </c>
      <c r="L1639" t="s">
        <v>6121</v>
      </c>
      <c r="M1639" s="1" t="str">
        <f t="shared" si="177"/>
        <v>08H143</v>
      </c>
      <c r="N1639" s="1" t="str">
        <f t="shared" si="178"/>
        <v>C/O</v>
      </c>
      <c r="O1639" s="1" t="str">
        <f t="shared" si="179"/>
        <v>Brake RHR</v>
      </c>
      <c r="P1639" s="1" t="str">
        <f t="shared" si="180"/>
        <v>H9K0</v>
      </c>
      <c r="Q1639" s="2" t="str">
        <f t="shared" si="181"/>
        <v>H9K0Brake RHR</v>
      </c>
      <c r="R1639" s="2" t="str">
        <f>New_Xref[[#This Row],[Serial Prefix]]&amp;IF(New_Xref[[#This Row],[Func Loc]]&lt;&gt;"",New_Xref[[#This Row],[Func Loc]],"NO MATCH")</f>
        <v>H9K0BRAK .SEBR.SBRR</v>
      </c>
      <c r="S1639" s="3" t="str">
        <f t="shared" si="176"/>
        <v>H9K0Brake RHR</v>
      </c>
      <c r="T1639" t="s">
        <v>205</v>
      </c>
      <c r="U1639" t="s">
        <v>99</v>
      </c>
      <c r="V1639" t="str">
        <f t="shared" si="175"/>
        <v>4251RR</v>
      </c>
    </row>
    <row r="1640" spans="1:22">
      <c r="A1640" t="s">
        <v>3333</v>
      </c>
      <c r="B1640" t="s">
        <v>6252</v>
      </c>
      <c r="I1640" t="s">
        <v>6253</v>
      </c>
      <c r="K1640" t="s">
        <v>6253</v>
      </c>
      <c r="L1640" t="s">
        <v>3305</v>
      </c>
      <c r="M1640" s="1" t="str">
        <f t="shared" si="177"/>
        <v>06H737</v>
      </c>
      <c r="N1640" s="1" t="str">
        <f t="shared" si="178"/>
        <v>C/O</v>
      </c>
      <c r="O1640" s="1" t="str">
        <f t="shared" si="179"/>
        <v>Brake LHF</v>
      </c>
      <c r="P1640" s="1" t="str">
        <f t="shared" si="180"/>
        <v>RBT0</v>
      </c>
      <c r="Q1640" s="2" t="str">
        <f t="shared" si="181"/>
        <v>RBT0Brake LHF</v>
      </c>
      <c r="R1640" s="2" t="str">
        <f>New_Xref[[#This Row],[Serial Prefix]]&amp;IF(New_Xref[[#This Row],[Func Loc]]&lt;&gt;"",New_Xref[[#This Row],[Func Loc]],"NO MATCH")</f>
        <v>RBT0BRAK .SEBR.SBLF</v>
      </c>
      <c r="S1640" s="3" t="str">
        <f t="shared" si="176"/>
        <v>RBT0Brake LHF</v>
      </c>
      <c r="T1640" t="s">
        <v>205</v>
      </c>
      <c r="U1640" t="s">
        <v>89</v>
      </c>
      <c r="V1640" t="str">
        <f t="shared" si="175"/>
        <v>4251LF</v>
      </c>
    </row>
    <row r="1641" spans="1:22">
      <c r="A1641" t="s">
        <v>3333</v>
      </c>
      <c r="B1641" t="s">
        <v>6252</v>
      </c>
      <c r="I1641" t="s">
        <v>6254</v>
      </c>
      <c r="K1641" t="s">
        <v>6254</v>
      </c>
      <c r="L1641" t="s">
        <v>3308</v>
      </c>
      <c r="M1641" s="1" t="str">
        <f t="shared" si="177"/>
        <v>06H737</v>
      </c>
      <c r="N1641" s="1" t="str">
        <f t="shared" si="178"/>
        <v>C/O</v>
      </c>
      <c r="O1641" s="1" t="str">
        <f t="shared" si="179"/>
        <v>Brake RHF</v>
      </c>
      <c r="P1641" s="1" t="str">
        <f t="shared" si="180"/>
        <v>RBT0</v>
      </c>
      <c r="Q1641" s="2" t="str">
        <f t="shared" si="181"/>
        <v>RBT0Brake RHF</v>
      </c>
      <c r="R1641" s="2" t="str">
        <f>New_Xref[[#This Row],[Serial Prefix]]&amp;IF(New_Xref[[#This Row],[Func Loc]]&lt;&gt;"",New_Xref[[#This Row],[Func Loc]],"NO MATCH")</f>
        <v>RBT0BRAK .SEBR.SBRF</v>
      </c>
      <c r="S1641" s="3" t="str">
        <f t="shared" si="176"/>
        <v>RBT0Brake RHF</v>
      </c>
      <c r="T1641" t="s">
        <v>205</v>
      </c>
      <c r="U1641" t="s">
        <v>92</v>
      </c>
      <c r="V1641" t="str">
        <f t="shared" si="175"/>
        <v>4251RF</v>
      </c>
    </row>
    <row r="1642" spans="1:22">
      <c r="A1642" t="s">
        <v>3333</v>
      </c>
      <c r="B1642" t="s">
        <v>6252</v>
      </c>
      <c r="I1642" t="s">
        <v>6255</v>
      </c>
      <c r="K1642" t="s">
        <v>6255</v>
      </c>
      <c r="L1642" t="s">
        <v>6119</v>
      </c>
      <c r="M1642" s="1" t="str">
        <f t="shared" si="177"/>
        <v>06H737</v>
      </c>
      <c r="N1642" s="1" t="str">
        <f t="shared" si="178"/>
        <v>C/O</v>
      </c>
      <c r="O1642" s="1" t="str">
        <f t="shared" si="179"/>
        <v>Brake LHR</v>
      </c>
      <c r="P1642" s="1" t="str">
        <f t="shared" si="180"/>
        <v>RBT0</v>
      </c>
      <c r="Q1642" s="2" t="str">
        <f t="shared" si="181"/>
        <v>RBT0Brake LHR</v>
      </c>
      <c r="R1642" s="2" t="str">
        <f>New_Xref[[#This Row],[Serial Prefix]]&amp;IF(New_Xref[[#This Row],[Func Loc]]&lt;&gt;"",New_Xref[[#This Row],[Func Loc]],"NO MATCH")</f>
        <v>RBT0BRAK .SEBR.SBLR</v>
      </c>
      <c r="S1642" s="3" t="str">
        <f t="shared" si="176"/>
        <v>RBT0Brake LHR</v>
      </c>
      <c r="T1642" t="s">
        <v>205</v>
      </c>
      <c r="U1642" t="s">
        <v>96</v>
      </c>
      <c r="V1642" t="str">
        <f t="shared" si="175"/>
        <v>4251LR</v>
      </c>
    </row>
    <row r="1643" spans="1:22">
      <c r="A1643" t="s">
        <v>3333</v>
      </c>
      <c r="B1643" t="s">
        <v>6252</v>
      </c>
      <c r="I1643" t="s">
        <v>6256</v>
      </c>
      <c r="K1643" t="s">
        <v>6256</v>
      </c>
      <c r="L1643" t="s">
        <v>6121</v>
      </c>
      <c r="M1643" s="1" t="str">
        <f t="shared" si="177"/>
        <v>06H737</v>
      </c>
      <c r="N1643" s="1" t="str">
        <f t="shared" si="178"/>
        <v>C/O</v>
      </c>
      <c r="O1643" s="1" t="str">
        <f t="shared" si="179"/>
        <v>Brake RHR</v>
      </c>
      <c r="P1643" s="1" t="str">
        <f t="shared" si="180"/>
        <v>RBT0</v>
      </c>
      <c r="Q1643" s="2" t="str">
        <f t="shared" si="181"/>
        <v>RBT0Brake RHR</v>
      </c>
      <c r="R1643" s="2" t="str">
        <f>New_Xref[[#This Row],[Serial Prefix]]&amp;IF(New_Xref[[#This Row],[Func Loc]]&lt;&gt;"",New_Xref[[#This Row],[Func Loc]],"NO MATCH")</f>
        <v>RBT0BRAK .SEBR.SBRR</v>
      </c>
      <c r="S1643" s="3" t="str">
        <f t="shared" si="176"/>
        <v>RBT0Brake RHR</v>
      </c>
      <c r="T1643" t="s">
        <v>205</v>
      </c>
      <c r="U1643" t="s">
        <v>99</v>
      </c>
      <c r="V1643" t="str">
        <f t="shared" si="175"/>
        <v>4251RR</v>
      </c>
    </row>
    <row r="1644" spans="1:22">
      <c r="A1644" t="s">
        <v>6043</v>
      </c>
      <c r="B1644" t="s">
        <v>6257</v>
      </c>
      <c r="I1644" t="s">
        <v>6258</v>
      </c>
      <c r="K1644" t="s">
        <v>6258</v>
      </c>
      <c r="L1644" t="s">
        <v>3305</v>
      </c>
      <c r="M1644" s="1" t="str">
        <f t="shared" si="177"/>
        <v>06H463</v>
      </c>
      <c r="N1644" s="1" t="str">
        <f t="shared" si="178"/>
        <v>C/O</v>
      </c>
      <c r="O1644" s="1" t="str">
        <f t="shared" si="179"/>
        <v>Brake LHF</v>
      </c>
      <c r="P1644" s="1" t="str">
        <f t="shared" si="180"/>
        <v>TWN0</v>
      </c>
      <c r="Q1644" s="2" t="str">
        <f t="shared" si="181"/>
        <v>TWN0Brake LHF</v>
      </c>
      <c r="R1644" s="2" t="str">
        <f>New_Xref[[#This Row],[Serial Prefix]]&amp;IF(New_Xref[[#This Row],[Func Loc]]&lt;&gt;"",New_Xref[[#This Row],[Func Loc]],"NO MATCH")</f>
        <v>TWN0BRAK .SEBR.SBLF</v>
      </c>
      <c r="S1644" s="3" t="str">
        <f t="shared" si="176"/>
        <v>TWN0Brake LHF</v>
      </c>
      <c r="T1644" t="s">
        <v>205</v>
      </c>
      <c r="U1644" t="s">
        <v>89</v>
      </c>
      <c r="V1644" t="str">
        <f t="shared" si="175"/>
        <v>4251LF</v>
      </c>
    </row>
    <row r="1645" spans="1:22">
      <c r="A1645" t="s">
        <v>6043</v>
      </c>
      <c r="B1645" t="s">
        <v>6257</v>
      </c>
      <c r="I1645" t="s">
        <v>6259</v>
      </c>
      <c r="K1645" t="s">
        <v>6259</v>
      </c>
      <c r="L1645" t="s">
        <v>3308</v>
      </c>
      <c r="M1645" s="1" t="str">
        <f t="shared" si="177"/>
        <v>06H463</v>
      </c>
      <c r="N1645" s="1" t="str">
        <f t="shared" si="178"/>
        <v>C/O</v>
      </c>
      <c r="O1645" s="1" t="str">
        <f t="shared" si="179"/>
        <v>Brake RHF</v>
      </c>
      <c r="P1645" s="1" t="str">
        <f t="shared" si="180"/>
        <v>TWN0</v>
      </c>
      <c r="Q1645" s="2" t="str">
        <f t="shared" si="181"/>
        <v>TWN0Brake RHF</v>
      </c>
      <c r="R1645" s="2" t="str">
        <f>New_Xref[[#This Row],[Serial Prefix]]&amp;IF(New_Xref[[#This Row],[Func Loc]]&lt;&gt;"",New_Xref[[#This Row],[Func Loc]],"NO MATCH")</f>
        <v>TWN0BRAK .SEBR.SBRF</v>
      </c>
      <c r="S1645" s="3" t="str">
        <f t="shared" si="176"/>
        <v>TWN0Brake RHF</v>
      </c>
      <c r="T1645" t="s">
        <v>205</v>
      </c>
      <c r="U1645" t="s">
        <v>92</v>
      </c>
      <c r="V1645" t="str">
        <f t="shared" si="175"/>
        <v>4251RF</v>
      </c>
    </row>
    <row r="1646" spans="1:22">
      <c r="A1646" t="s">
        <v>6043</v>
      </c>
      <c r="B1646" t="s">
        <v>6257</v>
      </c>
      <c r="I1646" t="s">
        <v>6260</v>
      </c>
      <c r="K1646" t="s">
        <v>6260</v>
      </c>
      <c r="L1646" t="s">
        <v>6119</v>
      </c>
      <c r="M1646" s="1" t="str">
        <f t="shared" si="177"/>
        <v>06H463</v>
      </c>
      <c r="N1646" s="1" t="str">
        <f t="shared" si="178"/>
        <v>C/O</v>
      </c>
      <c r="O1646" s="1" t="str">
        <f t="shared" si="179"/>
        <v>Brake LHR</v>
      </c>
      <c r="P1646" s="1" t="str">
        <f t="shared" si="180"/>
        <v>TWN0</v>
      </c>
      <c r="Q1646" s="2" t="str">
        <f t="shared" si="181"/>
        <v>TWN0Brake LHR</v>
      </c>
      <c r="R1646" s="2" t="str">
        <f>New_Xref[[#This Row],[Serial Prefix]]&amp;IF(New_Xref[[#This Row],[Func Loc]]&lt;&gt;"",New_Xref[[#This Row],[Func Loc]],"NO MATCH")</f>
        <v>TWN0BRAK .SEBR.SBLR</v>
      </c>
      <c r="S1646" s="3" t="str">
        <f t="shared" si="176"/>
        <v>TWN0Brake LHR</v>
      </c>
      <c r="T1646" t="s">
        <v>205</v>
      </c>
      <c r="U1646" t="s">
        <v>96</v>
      </c>
      <c r="V1646" t="str">
        <f t="shared" si="175"/>
        <v>4251LR</v>
      </c>
    </row>
    <row r="1647" spans="1:22">
      <c r="A1647" t="s">
        <v>6043</v>
      </c>
      <c r="B1647" t="s">
        <v>6257</v>
      </c>
      <c r="I1647" t="s">
        <v>6261</v>
      </c>
      <c r="K1647" t="s">
        <v>6261</v>
      </c>
      <c r="L1647" t="s">
        <v>6121</v>
      </c>
      <c r="M1647" s="1" t="str">
        <f t="shared" si="177"/>
        <v>06H463</v>
      </c>
      <c r="N1647" s="1" t="str">
        <f t="shared" si="178"/>
        <v>C/O</v>
      </c>
      <c r="O1647" s="1" t="str">
        <f t="shared" si="179"/>
        <v>Brake RHR</v>
      </c>
      <c r="P1647" s="1" t="str">
        <f t="shared" si="180"/>
        <v>TWN0</v>
      </c>
      <c r="Q1647" s="2" t="str">
        <f t="shared" si="181"/>
        <v>TWN0Brake RHR</v>
      </c>
      <c r="R1647" s="2" t="str">
        <f>New_Xref[[#This Row],[Serial Prefix]]&amp;IF(New_Xref[[#This Row],[Func Loc]]&lt;&gt;"",New_Xref[[#This Row],[Func Loc]],"NO MATCH")</f>
        <v>TWN0BRAK .SEBR.SBRR</v>
      </c>
      <c r="S1647" s="3" t="str">
        <f t="shared" si="176"/>
        <v>TWN0Brake RHR</v>
      </c>
      <c r="T1647" t="s">
        <v>205</v>
      </c>
      <c r="U1647" t="s">
        <v>99</v>
      </c>
      <c r="V1647" t="str">
        <f t="shared" si="175"/>
        <v>4251RR</v>
      </c>
    </row>
    <row r="1648" spans="1:22">
      <c r="A1648" t="s">
        <v>3333</v>
      </c>
      <c r="B1648" t="s">
        <v>6262</v>
      </c>
      <c r="I1648" t="s">
        <v>6263</v>
      </c>
      <c r="K1648" t="s">
        <v>6263</v>
      </c>
      <c r="L1648" t="s">
        <v>3305</v>
      </c>
      <c r="M1648" s="1" t="str">
        <f t="shared" si="177"/>
        <v>06H542</v>
      </c>
      <c r="N1648" s="1" t="str">
        <f t="shared" si="178"/>
        <v>C/O</v>
      </c>
      <c r="O1648" s="1" t="str">
        <f t="shared" si="179"/>
        <v>Brake LHF</v>
      </c>
      <c r="P1648" s="1" t="str">
        <f t="shared" si="180"/>
        <v>SSP0</v>
      </c>
      <c r="Q1648" s="2" t="str">
        <f t="shared" si="181"/>
        <v>SSP0Brake LHF</v>
      </c>
      <c r="R1648" s="2" t="str">
        <f>New_Xref[[#This Row],[Serial Prefix]]&amp;IF(New_Xref[[#This Row],[Func Loc]]&lt;&gt;"",New_Xref[[#This Row],[Func Loc]],"NO MATCH")</f>
        <v>SSP0BRAK .SEBR.SBLF</v>
      </c>
      <c r="S1648" s="3" t="str">
        <f t="shared" si="176"/>
        <v>SSP0Brake LHF</v>
      </c>
      <c r="T1648" t="s">
        <v>205</v>
      </c>
      <c r="U1648" t="s">
        <v>89</v>
      </c>
      <c r="V1648" t="str">
        <f t="shared" si="175"/>
        <v>4251LF</v>
      </c>
    </row>
    <row r="1649" spans="1:22">
      <c r="A1649" t="s">
        <v>3333</v>
      </c>
      <c r="B1649" t="s">
        <v>6262</v>
      </c>
      <c r="I1649" t="s">
        <v>6264</v>
      </c>
      <c r="K1649" t="s">
        <v>6264</v>
      </c>
      <c r="L1649" t="s">
        <v>3308</v>
      </c>
      <c r="M1649" s="1" t="str">
        <f t="shared" si="177"/>
        <v>06H542</v>
      </c>
      <c r="N1649" s="1" t="str">
        <f t="shared" si="178"/>
        <v>C/O</v>
      </c>
      <c r="O1649" s="1" t="str">
        <f t="shared" si="179"/>
        <v>Brake RHF</v>
      </c>
      <c r="P1649" s="1" t="str">
        <f t="shared" si="180"/>
        <v>SSP0</v>
      </c>
      <c r="Q1649" s="2" t="str">
        <f t="shared" si="181"/>
        <v>SSP0Brake RHF</v>
      </c>
      <c r="R1649" s="2" t="str">
        <f>New_Xref[[#This Row],[Serial Prefix]]&amp;IF(New_Xref[[#This Row],[Func Loc]]&lt;&gt;"",New_Xref[[#This Row],[Func Loc]],"NO MATCH")</f>
        <v>SSP0BRAK .SEBR.SBRF</v>
      </c>
      <c r="S1649" s="3" t="str">
        <f t="shared" si="176"/>
        <v>SSP0Brake RHF</v>
      </c>
      <c r="T1649" t="s">
        <v>205</v>
      </c>
      <c r="U1649" t="s">
        <v>92</v>
      </c>
      <c r="V1649" t="str">
        <f t="shared" si="175"/>
        <v>4251RF</v>
      </c>
    </row>
    <row r="1650" spans="1:22">
      <c r="A1650" t="s">
        <v>3333</v>
      </c>
      <c r="B1650" t="s">
        <v>6262</v>
      </c>
      <c r="I1650" t="s">
        <v>6265</v>
      </c>
      <c r="K1650" t="s">
        <v>6265</v>
      </c>
      <c r="L1650" t="s">
        <v>6119</v>
      </c>
      <c r="M1650" s="1" t="str">
        <f t="shared" si="177"/>
        <v>06H542</v>
      </c>
      <c r="N1650" s="1" t="str">
        <f t="shared" si="178"/>
        <v>C/O</v>
      </c>
      <c r="O1650" s="1" t="str">
        <f t="shared" si="179"/>
        <v>Brake LHR</v>
      </c>
      <c r="P1650" s="1" t="str">
        <f t="shared" si="180"/>
        <v>SSP0</v>
      </c>
      <c r="Q1650" s="2" t="str">
        <f t="shared" si="181"/>
        <v>SSP0Brake LHR</v>
      </c>
      <c r="R1650" s="2" t="str">
        <f>New_Xref[[#This Row],[Serial Prefix]]&amp;IF(New_Xref[[#This Row],[Func Loc]]&lt;&gt;"",New_Xref[[#This Row],[Func Loc]],"NO MATCH")</f>
        <v>SSP0BRAK .SEBR.SBLR</v>
      </c>
      <c r="S1650" s="3" t="str">
        <f t="shared" si="176"/>
        <v>SSP0Brake LHR</v>
      </c>
      <c r="T1650" t="s">
        <v>205</v>
      </c>
      <c r="U1650" t="s">
        <v>96</v>
      </c>
      <c r="V1650" t="str">
        <f t="shared" si="175"/>
        <v>4251LR</v>
      </c>
    </row>
    <row r="1651" spans="1:22">
      <c r="A1651" t="s">
        <v>3333</v>
      </c>
      <c r="B1651" t="s">
        <v>6262</v>
      </c>
      <c r="I1651" t="s">
        <v>6266</v>
      </c>
      <c r="K1651" t="s">
        <v>6266</v>
      </c>
      <c r="L1651" t="s">
        <v>6121</v>
      </c>
      <c r="M1651" s="1" t="str">
        <f t="shared" si="177"/>
        <v>06H542</v>
      </c>
      <c r="N1651" s="1" t="str">
        <f t="shared" si="178"/>
        <v>C/O</v>
      </c>
      <c r="O1651" s="1" t="str">
        <f t="shared" si="179"/>
        <v>Brake RHR</v>
      </c>
      <c r="P1651" s="1" t="str">
        <f t="shared" si="180"/>
        <v>SSP0</v>
      </c>
      <c r="Q1651" s="2" t="str">
        <f t="shared" si="181"/>
        <v>SSP0Brake RHR</v>
      </c>
      <c r="R1651" s="2" t="str">
        <f>New_Xref[[#This Row],[Serial Prefix]]&amp;IF(New_Xref[[#This Row],[Func Loc]]&lt;&gt;"",New_Xref[[#This Row],[Func Loc]],"NO MATCH")</f>
        <v>SSP0BRAK .SEBR.SBRR</v>
      </c>
      <c r="S1651" s="3" t="str">
        <f t="shared" si="176"/>
        <v>SSP0Brake RHR</v>
      </c>
      <c r="T1651" t="s">
        <v>205</v>
      </c>
      <c r="U1651" t="s">
        <v>99</v>
      </c>
      <c r="V1651" t="str">
        <f t="shared" si="175"/>
        <v>4251RR</v>
      </c>
    </row>
    <row r="1652" spans="1:22">
      <c r="A1652" t="s">
        <v>1853</v>
      </c>
      <c r="B1652" t="s">
        <v>1854</v>
      </c>
      <c r="I1652" t="s">
        <v>6267</v>
      </c>
      <c r="K1652" t="s">
        <v>6267</v>
      </c>
      <c r="L1652" t="s">
        <v>1588</v>
      </c>
      <c r="M1652" s="1" t="str">
        <f t="shared" si="177"/>
        <v>12R05</v>
      </c>
      <c r="N1652" s="1" t="str">
        <f t="shared" si="178"/>
        <v>C/O</v>
      </c>
      <c r="O1652" s="1" t="str">
        <f t="shared" si="179"/>
        <v>Brake Tandem LHF</v>
      </c>
      <c r="P1652" s="1" t="str">
        <f t="shared" si="180"/>
        <v>7KK0</v>
      </c>
      <c r="Q1652" s="2" t="str">
        <f t="shared" si="181"/>
        <v>7KK0Brake Tandem LHF</v>
      </c>
      <c r="R1652" s="2" t="str">
        <f>New_Xref[[#This Row],[Serial Prefix]]&amp;IF(New_Xref[[#This Row],[Func Loc]]&lt;&gt;"",New_Xref[[#This Row],[Func Loc]],"NO MATCH")</f>
        <v>7KK0BRAK .SEBR.SB01</v>
      </c>
      <c r="S1652" s="3" t="str">
        <f t="shared" si="176"/>
        <v>7KK0Brake Tandem LHF</v>
      </c>
      <c r="T1652" t="s">
        <v>205</v>
      </c>
      <c r="U1652" t="s">
        <v>89</v>
      </c>
      <c r="V1652" t="str">
        <f t="shared" si="175"/>
        <v>4251LF</v>
      </c>
    </row>
    <row r="1653" spans="1:22">
      <c r="A1653" t="s">
        <v>1853</v>
      </c>
      <c r="B1653" t="s">
        <v>1854</v>
      </c>
      <c r="I1653" t="s">
        <v>6268</v>
      </c>
      <c r="K1653" t="s">
        <v>6268</v>
      </c>
      <c r="L1653" t="s">
        <v>1582</v>
      </c>
      <c r="M1653" s="1" t="str">
        <f t="shared" si="177"/>
        <v>12R05</v>
      </c>
      <c r="N1653" s="1" t="str">
        <f t="shared" si="178"/>
        <v>C/O</v>
      </c>
      <c r="O1653" s="1" t="str">
        <f t="shared" si="179"/>
        <v>Brake Tandem RHF</v>
      </c>
      <c r="P1653" s="1" t="str">
        <f t="shared" si="180"/>
        <v>7KK0</v>
      </c>
      <c r="Q1653" s="2" t="str">
        <f t="shared" si="181"/>
        <v>7KK0Brake Tandem RHF</v>
      </c>
      <c r="R1653" s="2" t="str">
        <f>New_Xref[[#This Row],[Serial Prefix]]&amp;IF(New_Xref[[#This Row],[Func Loc]]&lt;&gt;"",New_Xref[[#This Row],[Func Loc]],"NO MATCH")</f>
        <v>7KK0BRAK .SEBR.SB02</v>
      </c>
      <c r="S1653" s="3" t="str">
        <f t="shared" si="176"/>
        <v>7KK0Brake Tandem RHF</v>
      </c>
      <c r="T1653" t="s">
        <v>205</v>
      </c>
      <c r="U1653" t="s">
        <v>92</v>
      </c>
      <c r="V1653" t="str">
        <f t="shared" si="175"/>
        <v>4251RF</v>
      </c>
    </row>
    <row r="1654" spans="1:22">
      <c r="A1654" t="s">
        <v>1853</v>
      </c>
      <c r="B1654" t="s">
        <v>1854</v>
      </c>
      <c r="I1654" t="s">
        <v>6269</v>
      </c>
      <c r="K1654" t="s">
        <v>6269</v>
      </c>
      <c r="L1654" t="s">
        <v>1579</v>
      </c>
      <c r="M1654" s="1" t="str">
        <f t="shared" si="177"/>
        <v>12R05</v>
      </c>
      <c r="N1654" s="1" t="str">
        <f t="shared" si="178"/>
        <v>C/O</v>
      </c>
      <c r="O1654" s="1" t="str">
        <f t="shared" si="179"/>
        <v>Brake Tandem LHR</v>
      </c>
      <c r="P1654" s="1" t="str">
        <f t="shared" si="180"/>
        <v>7KK0</v>
      </c>
      <c r="Q1654" s="2" t="str">
        <f t="shared" si="181"/>
        <v>7KK0Brake Tandem LHR</v>
      </c>
      <c r="R1654" s="2" t="str">
        <f>New_Xref[[#This Row],[Serial Prefix]]&amp;IF(New_Xref[[#This Row],[Func Loc]]&lt;&gt;"",New_Xref[[#This Row],[Func Loc]],"NO MATCH")</f>
        <v>7KK0BRAK .SEBR.SB03</v>
      </c>
      <c r="S1654" s="3" t="str">
        <f t="shared" si="176"/>
        <v>7KK0Brake Tandem LHR</v>
      </c>
      <c r="T1654" t="s">
        <v>205</v>
      </c>
      <c r="U1654" t="s">
        <v>96</v>
      </c>
      <c r="V1654" t="str">
        <f t="shared" si="175"/>
        <v>4251LR</v>
      </c>
    </row>
    <row r="1655" spans="1:22">
      <c r="A1655" t="s">
        <v>1853</v>
      </c>
      <c r="B1655" t="s">
        <v>1854</v>
      </c>
      <c r="I1655" t="s">
        <v>6270</v>
      </c>
      <c r="K1655" t="s">
        <v>6270</v>
      </c>
      <c r="L1655" t="s">
        <v>1585</v>
      </c>
      <c r="M1655" s="1" t="str">
        <f t="shared" si="177"/>
        <v>12R05</v>
      </c>
      <c r="N1655" s="1" t="str">
        <f t="shared" si="178"/>
        <v>C/O</v>
      </c>
      <c r="O1655" s="1" t="str">
        <f t="shared" si="179"/>
        <v>Brake Tandem RHR</v>
      </c>
      <c r="P1655" s="1" t="str">
        <f t="shared" si="180"/>
        <v>7KK0</v>
      </c>
      <c r="Q1655" s="2" t="str">
        <f t="shared" si="181"/>
        <v>7KK0Brake Tandem RHR</v>
      </c>
      <c r="R1655" s="2" t="str">
        <f>New_Xref[[#This Row],[Serial Prefix]]&amp;IF(New_Xref[[#This Row],[Func Loc]]&lt;&gt;"",New_Xref[[#This Row],[Func Loc]],"NO MATCH")</f>
        <v>7KK0BRAK .SEBR.SB04</v>
      </c>
      <c r="S1655" s="3" t="str">
        <f t="shared" si="176"/>
        <v>7KK0Brake Tandem RHR</v>
      </c>
      <c r="T1655" t="s">
        <v>205</v>
      </c>
      <c r="U1655" t="s">
        <v>99</v>
      </c>
      <c r="V1655" t="str">
        <f t="shared" si="175"/>
        <v>4251RR</v>
      </c>
    </row>
    <row r="1656" spans="1:22">
      <c r="A1656" t="s">
        <v>22</v>
      </c>
      <c r="B1656" t="s">
        <v>23</v>
      </c>
      <c r="I1656" t="s">
        <v>6271</v>
      </c>
      <c r="K1656" t="s">
        <v>6271</v>
      </c>
      <c r="L1656" t="s">
        <v>83</v>
      </c>
      <c r="M1656" s="1" t="str">
        <f t="shared" si="177"/>
        <v>12W566</v>
      </c>
      <c r="N1656" s="1" t="str">
        <f t="shared" si="178"/>
        <v>C/O</v>
      </c>
      <c r="O1656" s="1" t="str">
        <f t="shared" si="179"/>
        <v>Brake LHF</v>
      </c>
      <c r="P1656" s="1" t="str">
        <f t="shared" si="180"/>
        <v>F520</v>
      </c>
      <c r="Q1656" s="2" t="str">
        <f t="shared" si="181"/>
        <v>F520Brake LHF</v>
      </c>
      <c r="R1656" s="2" t="str">
        <f>New_Xref[[#This Row],[Serial Prefix]]&amp;IF(New_Xref[[#This Row],[Func Loc]]&lt;&gt;"",New_Xref[[#This Row],[Func Loc]],"NO MATCH")</f>
        <v>F520NO MATCH</v>
      </c>
      <c r="S1656" s="3" t="str">
        <f t="shared" si="176"/>
        <v>F520Brake LHF</v>
      </c>
      <c r="T1656" t="s">
        <v>205</v>
      </c>
      <c r="U1656" t="s">
        <v>89</v>
      </c>
      <c r="V1656" t="str">
        <f t="shared" si="175"/>
        <v>4251LF</v>
      </c>
    </row>
    <row r="1657" spans="1:22">
      <c r="A1657" t="s">
        <v>22</v>
      </c>
      <c r="B1657" t="s">
        <v>23</v>
      </c>
      <c r="I1657" t="s">
        <v>6272</v>
      </c>
      <c r="K1657" t="s">
        <v>6272</v>
      </c>
      <c r="L1657" t="s">
        <v>83</v>
      </c>
      <c r="M1657" s="1" t="str">
        <f t="shared" si="177"/>
        <v>12W566</v>
      </c>
      <c r="N1657" s="1" t="str">
        <f t="shared" si="178"/>
        <v>C/O</v>
      </c>
      <c r="O1657" s="1" t="str">
        <f t="shared" si="179"/>
        <v>Brake RHF</v>
      </c>
      <c r="P1657" s="1" t="str">
        <f t="shared" si="180"/>
        <v>F520</v>
      </c>
      <c r="Q1657" s="2" t="str">
        <f t="shared" si="181"/>
        <v>F520Brake RHF</v>
      </c>
      <c r="R1657" s="2" t="str">
        <f>New_Xref[[#This Row],[Serial Prefix]]&amp;IF(New_Xref[[#This Row],[Func Loc]]&lt;&gt;"",New_Xref[[#This Row],[Func Loc]],"NO MATCH")</f>
        <v>F520NO MATCH</v>
      </c>
      <c r="S1657" s="3" t="str">
        <f t="shared" si="176"/>
        <v>F520Brake RHF</v>
      </c>
      <c r="T1657" t="s">
        <v>205</v>
      </c>
      <c r="U1657" t="s">
        <v>92</v>
      </c>
      <c r="V1657" t="str">
        <f t="shared" si="175"/>
        <v>4251RF</v>
      </c>
    </row>
    <row r="1658" spans="1:22">
      <c r="A1658" t="s">
        <v>22</v>
      </c>
      <c r="B1658" t="s">
        <v>23</v>
      </c>
      <c r="I1658" t="s">
        <v>6273</v>
      </c>
      <c r="K1658" t="s">
        <v>6273</v>
      </c>
      <c r="L1658" t="s">
        <v>83</v>
      </c>
      <c r="M1658" s="1" t="str">
        <f t="shared" si="177"/>
        <v>12W566</v>
      </c>
      <c r="N1658" s="1" t="str">
        <f t="shared" si="178"/>
        <v>C/O</v>
      </c>
      <c r="O1658" s="1" t="str">
        <f t="shared" si="179"/>
        <v>Brake LHR</v>
      </c>
      <c r="P1658" s="1" t="str">
        <f t="shared" si="180"/>
        <v>F520</v>
      </c>
      <c r="Q1658" s="2" t="str">
        <f t="shared" si="181"/>
        <v>F520Brake LHR</v>
      </c>
      <c r="R1658" s="2" t="str">
        <f>New_Xref[[#This Row],[Serial Prefix]]&amp;IF(New_Xref[[#This Row],[Func Loc]]&lt;&gt;"",New_Xref[[#This Row],[Func Loc]],"NO MATCH")</f>
        <v>F520NO MATCH</v>
      </c>
      <c r="S1658" s="3" t="str">
        <f t="shared" si="176"/>
        <v>F520Brake LHR</v>
      </c>
      <c r="T1658" t="s">
        <v>205</v>
      </c>
      <c r="U1658" t="s">
        <v>96</v>
      </c>
      <c r="V1658" t="str">
        <f t="shared" si="175"/>
        <v>4251LR</v>
      </c>
    </row>
    <row r="1659" spans="1:22">
      <c r="A1659" t="s">
        <v>22</v>
      </c>
      <c r="B1659" t="s">
        <v>23</v>
      </c>
      <c r="I1659" t="s">
        <v>6274</v>
      </c>
      <c r="K1659" t="s">
        <v>6274</v>
      </c>
      <c r="L1659" t="s">
        <v>83</v>
      </c>
      <c r="M1659" s="1" t="str">
        <f t="shared" si="177"/>
        <v>12W566</v>
      </c>
      <c r="N1659" s="1" t="str">
        <f t="shared" si="178"/>
        <v>C/O</v>
      </c>
      <c r="O1659" s="1" t="str">
        <f t="shared" si="179"/>
        <v>Brake RHR</v>
      </c>
      <c r="P1659" s="1" t="str">
        <f t="shared" si="180"/>
        <v>F520</v>
      </c>
      <c r="Q1659" s="2" t="str">
        <f t="shared" si="181"/>
        <v>F520Brake RHR</v>
      </c>
      <c r="R1659" s="2" t="str">
        <f>New_Xref[[#This Row],[Serial Prefix]]&amp;IF(New_Xref[[#This Row],[Func Loc]]&lt;&gt;"",New_Xref[[#This Row],[Func Loc]],"NO MATCH")</f>
        <v>F520NO MATCH</v>
      </c>
      <c r="S1659" s="3" t="str">
        <f t="shared" si="176"/>
        <v>F520Brake RHR</v>
      </c>
      <c r="T1659" t="s">
        <v>205</v>
      </c>
      <c r="U1659" t="s">
        <v>99</v>
      </c>
      <c r="V1659" t="str">
        <f t="shared" si="175"/>
        <v>4251RR</v>
      </c>
    </row>
    <row r="1660" spans="1:22">
      <c r="A1660" t="s">
        <v>4345</v>
      </c>
      <c r="B1660" t="s">
        <v>4346</v>
      </c>
      <c r="C1660" t="s">
        <v>4470</v>
      </c>
      <c r="D1660" t="s">
        <v>4471</v>
      </c>
      <c r="E1660" t="s">
        <v>4472</v>
      </c>
      <c r="F1660" t="s">
        <v>27</v>
      </c>
      <c r="G1660">
        <v>1</v>
      </c>
      <c r="H1660" t="s">
        <v>4473</v>
      </c>
      <c r="I1660" t="s">
        <v>6275</v>
      </c>
      <c r="K1660" t="s">
        <v>6275</v>
      </c>
      <c r="L1660" t="s">
        <v>3305</v>
      </c>
      <c r="M1660" s="1" t="str">
        <f t="shared" si="177"/>
        <v>07B307</v>
      </c>
      <c r="N1660" s="1" t="str">
        <f t="shared" si="178"/>
        <v>C/O</v>
      </c>
      <c r="O1660" s="1" t="str">
        <f t="shared" si="179"/>
        <v>Brake LHF</v>
      </c>
      <c r="P1660" s="1" t="str">
        <f t="shared" si="180"/>
        <v>MM90</v>
      </c>
      <c r="Q1660" s="2" t="str">
        <f t="shared" si="181"/>
        <v>MM90Brake LHF</v>
      </c>
      <c r="R1660" s="2" t="str">
        <f>New_Xref[[#This Row],[Serial Prefix]]&amp;IF(New_Xref[[#This Row],[Func Loc]]&lt;&gt;"",New_Xref[[#This Row],[Func Loc]],"NO MATCH")</f>
        <v>MM90BRAK .SEBR.SBLF</v>
      </c>
      <c r="S1660" s="3" t="str">
        <f t="shared" si="176"/>
        <v>MM905105052XBrake LHF</v>
      </c>
      <c r="T1660" t="s">
        <v>205</v>
      </c>
      <c r="U1660" t="s">
        <v>89</v>
      </c>
      <c r="V1660" t="str">
        <f t="shared" si="175"/>
        <v>4251LF</v>
      </c>
    </row>
    <row r="1661" spans="1:22">
      <c r="A1661" t="s">
        <v>4345</v>
      </c>
      <c r="B1661" t="s">
        <v>4346</v>
      </c>
      <c r="C1661" t="s">
        <v>4470</v>
      </c>
      <c r="D1661" t="s">
        <v>4471</v>
      </c>
      <c r="E1661" t="s">
        <v>4472</v>
      </c>
      <c r="F1661" t="s">
        <v>27</v>
      </c>
      <c r="G1661">
        <v>1</v>
      </c>
      <c r="H1661" t="s">
        <v>4473</v>
      </c>
      <c r="I1661" t="s">
        <v>6276</v>
      </c>
      <c r="K1661" t="s">
        <v>6276</v>
      </c>
      <c r="L1661" t="s">
        <v>3308</v>
      </c>
      <c r="M1661" s="1" t="str">
        <f t="shared" si="177"/>
        <v>07B307</v>
      </c>
      <c r="N1661" s="1" t="str">
        <f t="shared" si="178"/>
        <v>C/O</v>
      </c>
      <c r="O1661" s="1" t="str">
        <f t="shared" si="179"/>
        <v>Brake RHF</v>
      </c>
      <c r="P1661" s="1" t="str">
        <f t="shared" si="180"/>
        <v>MM90</v>
      </c>
      <c r="Q1661" s="2" t="str">
        <f t="shared" si="181"/>
        <v>MM90Brake RHF</v>
      </c>
      <c r="R1661" s="2" t="str">
        <f>New_Xref[[#This Row],[Serial Prefix]]&amp;IF(New_Xref[[#This Row],[Func Loc]]&lt;&gt;"",New_Xref[[#This Row],[Func Loc]],"NO MATCH")</f>
        <v>MM90BRAK .SEBR.SBRF</v>
      </c>
      <c r="S1661" s="3" t="str">
        <f t="shared" si="176"/>
        <v>MM905105052XBrake RHF</v>
      </c>
      <c r="T1661" t="s">
        <v>205</v>
      </c>
      <c r="U1661" t="s">
        <v>96</v>
      </c>
      <c r="V1661" t="str">
        <f t="shared" si="175"/>
        <v>4251LR</v>
      </c>
    </row>
    <row r="1662" spans="1:22">
      <c r="A1662" t="s">
        <v>4345</v>
      </c>
      <c r="B1662" t="s">
        <v>4346</v>
      </c>
      <c r="C1662" t="s">
        <v>4470</v>
      </c>
      <c r="D1662" t="s">
        <v>4471</v>
      </c>
      <c r="E1662" t="s">
        <v>4472</v>
      </c>
      <c r="F1662" t="s">
        <v>27</v>
      </c>
      <c r="G1662">
        <v>1</v>
      </c>
      <c r="H1662" t="s">
        <v>4473</v>
      </c>
      <c r="I1662" t="s">
        <v>6277</v>
      </c>
      <c r="K1662" t="s">
        <v>6277</v>
      </c>
      <c r="L1662" t="s">
        <v>6119</v>
      </c>
      <c r="M1662" s="1" t="str">
        <f t="shared" si="177"/>
        <v>07B307</v>
      </c>
      <c r="N1662" s="1" t="str">
        <f t="shared" si="178"/>
        <v>C/O</v>
      </c>
      <c r="O1662" s="1" t="str">
        <f t="shared" si="179"/>
        <v>Brake LHR</v>
      </c>
      <c r="P1662" s="1" t="str">
        <f t="shared" si="180"/>
        <v>MM90</v>
      </c>
      <c r="Q1662" s="2" t="str">
        <f t="shared" si="181"/>
        <v>MM90Brake LHR</v>
      </c>
      <c r="R1662" s="2" t="str">
        <f>New_Xref[[#This Row],[Serial Prefix]]&amp;IF(New_Xref[[#This Row],[Func Loc]]&lt;&gt;"",New_Xref[[#This Row],[Func Loc]],"NO MATCH")</f>
        <v>MM90BRAK .SEBR.SBLR</v>
      </c>
      <c r="S1662" s="3" t="str">
        <f t="shared" si="176"/>
        <v>MM905105052XBrake LHR</v>
      </c>
      <c r="T1662" t="s">
        <v>205</v>
      </c>
      <c r="U1662" t="s">
        <v>92</v>
      </c>
      <c r="V1662" t="str">
        <f t="shared" si="175"/>
        <v>4251RF</v>
      </c>
    </row>
    <row r="1663" spans="1:22">
      <c r="A1663" t="s">
        <v>4345</v>
      </c>
      <c r="B1663" t="s">
        <v>4346</v>
      </c>
      <c r="C1663" t="s">
        <v>4470</v>
      </c>
      <c r="D1663" t="s">
        <v>4471</v>
      </c>
      <c r="E1663" t="s">
        <v>4472</v>
      </c>
      <c r="F1663" t="s">
        <v>27</v>
      </c>
      <c r="G1663">
        <v>1</v>
      </c>
      <c r="H1663" t="s">
        <v>4473</v>
      </c>
      <c r="I1663" t="s">
        <v>6278</v>
      </c>
      <c r="K1663" t="s">
        <v>6278</v>
      </c>
      <c r="L1663" t="s">
        <v>6121</v>
      </c>
      <c r="M1663" s="1" t="str">
        <f t="shared" si="177"/>
        <v>07B307</v>
      </c>
      <c r="N1663" s="1" t="str">
        <f t="shared" si="178"/>
        <v>C/O</v>
      </c>
      <c r="O1663" s="1" t="str">
        <f t="shared" si="179"/>
        <v>Brake RHR</v>
      </c>
      <c r="P1663" s="1" t="str">
        <f t="shared" si="180"/>
        <v>MM90</v>
      </c>
      <c r="Q1663" s="2" t="str">
        <f t="shared" si="181"/>
        <v>MM90Brake RHR</v>
      </c>
      <c r="R1663" s="2" t="str">
        <f>New_Xref[[#This Row],[Serial Prefix]]&amp;IF(New_Xref[[#This Row],[Func Loc]]&lt;&gt;"",New_Xref[[#This Row],[Func Loc]],"NO MATCH")</f>
        <v>MM90BRAK .SEBR.SBRR</v>
      </c>
      <c r="S1663" s="3" t="str">
        <f t="shared" si="176"/>
        <v>MM905105052XBrake RHR</v>
      </c>
      <c r="T1663" t="s">
        <v>205</v>
      </c>
      <c r="U1663" t="s">
        <v>99</v>
      </c>
      <c r="V1663" t="str">
        <f t="shared" si="175"/>
        <v>4251RR</v>
      </c>
    </row>
    <row r="1664" spans="1:22">
      <c r="A1664" t="s">
        <v>155</v>
      </c>
      <c r="B1664" t="s">
        <v>156</v>
      </c>
      <c r="C1664" t="s">
        <v>199</v>
      </c>
      <c r="D1664" t="s">
        <v>200</v>
      </c>
      <c r="E1664" t="s">
        <v>201</v>
      </c>
      <c r="F1664" t="s">
        <v>27</v>
      </c>
      <c r="G1664">
        <v>1</v>
      </c>
      <c r="H1664" t="s">
        <v>202</v>
      </c>
      <c r="I1664" t="s">
        <v>6279</v>
      </c>
      <c r="J1664" t="s">
        <v>204</v>
      </c>
      <c r="K1664" t="s">
        <v>6279</v>
      </c>
      <c r="L1664" t="s">
        <v>1741</v>
      </c>
      <c r="M1664" s="1" t="str">
        <f t="shared" si="177"/>
        <v>12B501</v>
      </c>
      <c r="N1664" s="1" t="str">
        <f t="shared" si="178"/>
        <v>C/O</v>
      </c>
      <c r="O1664" s="1" t="str">
        <f t="shared" si="179"/>
        <v>Brake Tandem LHF</v>
      </c>
      <c r="P1664" s="1" t="str">
        <f t="shared" si="180"/>
        <v>NN60</v>
      </c>
      <c r="Q1664" s="2" t="str">
        <f t="shared" si="181"/>
        <v>NN60Brake Tandem LHF</v>
      </c>
      <c r="R1664" s="2" t="str">
        <f>New_Xref[[#This Row],[Serial Prefix]]&amp;IF(New_Xref[[#This Row],[Func Loc]]&lt;&gt;"",New_Xref[[#This Row],[Func Loc]],"NO MATCH")</f>
        <v>NN60BRAK .SEBR.BLTF</v>
      </c>
      <c r="S1664" s="3" t="str">
        <f t="shared" si="176"/>
        <v>NN6020R9995Brake Tandem LHF</v>
      </c>
      <c r="T1664" t="s">
        <v>205</v>
      </c>
      <c r="U1664" t="s">
        <v>89</v>
      </c>
      <c r="V1664" t="str">
        <f t="shared" si="175"/>
        <v>4251LF</v>
      </c>
    </row>
    <row r="1665" spans="1:22">
      <c r="A1665" t="s">
        <v>155</v>
      </c>
      <c r="B1665" t="s">
        <v>156</v>
      </c>
      <c r="C1665" t="s">
        <v>199</v>
      </c>
      <c r="D1665" t="s">
        <v>200</v>
      </c>
      <c r="E1665" t="s">
        <v>201</v>
      </c>
      <c r="F1665" t="s">
        <v>27</v>
      </c>
      <c r="G1665">
        <v>1</v>
      </c>
      <c r="H1665" t="s">
        <v>206</v>
      </c>
      <c r="I1665" t="s">
        <v>6280</v>
      </c>
      <c r="J1665" t="s">
        <v>208</v>
      </c>
      <c r="K1665" t="s">
        <v>6280</v>
      </c>
      <c r="L1665" t="s">
        <v>1751</v>
      </c>
      <c r="M1665" s="1" t="str">
        <f t="shared" si="177"/>
        <v>12B501</v>
      </c>
      <c r="N1665" s="1" t="str">
        <f t="shared" si="178"/>
        <v>C/O</v>
      </c>
      <c r="O1665" s="1" t="str">
        <f t="shared" si="179"/>
        <v>Brake Tandem LHR</v>
      </c>
      <c r="P1665" s="1" t="str">
        <f t="shared" si="180"/>
        <v>NN60</v>
      </c>
      <c r="Q1665" s="2" t="str">
        <f t="shared" si="181"/>
        <v>NN60Brake Tandem LHR</v>
      </c>
      <c r="R1665" s="2" t="str">
        <f>New_Xref[[#This Row],[Serial Prefix]]&amp;IF(New_Xref[[#This Row],[Func Loc]]&lt;&gt;"",New_Xref[[#This Row],[Func Loc]],"NO MATCH")</f>
        <v>NN60BRAK .SEBR.BLTR</v>
      </c>
      <c r="S1665" s="3" t="str">
        <f t="shared" si="176"/>
        <v>NN6020R9995Brake Tandem LHR</v>
      </c>
      <c r="T1665" t="s">
        <v>205</v>
      </c>
      <c r="U1665" t="s">
        <v>96</v>
      </c>
      <c r="V1665" t="str">
        <f t="shared" si="175"/>
        <v>4251LR</v>
      </c>
    </row>
    <row r="1666" spans="1:22">
      <c r="A1666" t="s">
        <v>155</v>
      </c>
      <c r="B1666" t="s">
        <v>156</v>
      </c>
      <c r="C1666" t="s">
        <v>199</v>
      </c>
      <c r="D1666" t="s">
        <v>200</v>
      </c>
      <c r="E1666" t="s">
        <v>201</v>
      </c>
      <c r="F1666" t="s">
        <v>27</v>
      </c>
      <c r="G1666">
        <v>1</v>
      </c>
      <c r="H1666" t="s">
        <v>202</v>
      </c>
      <c r="I1666" t="s">
        <v>6281</v>
      </c>
      <c r="J1666" t="s">
        <v>210</v>
      </c>
      <c r="K1666" t="s">
        <v>6281</v>
      </c>
      <c r="L1666" t="s">
        <v>1744</v>
      </c>
      <c r="M1666" s="1" t="str">
        <f t="shared" si="177"/>
        <v>12B501</v>
      </c>
      <c r="N1666" s="1" t="str">
        <f t="shared" si="178"/>
        <v>C/O</v>
      </c>
      <c r="O1666" s="1" t="str">
        <f t="shared" si="179"/>
        <v>Brake Tandem RHF</v>
      </c>
      <c r="P1666" s="1" t="str">
        <f t="shared" si="180"/>
        <v>NN60</v>
      </c>
      <c r="Q1666" s="2" t="str">
        <f t="shared" si="181"/>
        <v>NN60Brake Tandem RHF</v>
      </c>
      <c r="R1666" s="2" t="str">
        <f>New_Xref[[#This Row],[Serial Prefix]]&amp;IF(New_Xref[[#This Row],[Func Loc]]&lt;&gt;"",New_Xref[[#This Row],[Func Loc]],"NO MATCH")</f>
        <v>NN60BRAK .SEBR.BRTF</v>
      </c>
      <c r="S1666" s="3" t="str">
        <f t="shared" si="176"/>
        <v>NN6020R9995Brake Tandem RHF</v>
      </c>
      <c r="T1666" t="s">
        <v>205</v>
      </c>
      <c r="U1666" t="s">
        <v>92</v>
      </c>
      <c r="V1666" t="str">
        <f t="shared" ref="V1666:V1729" si="182">LEFT(T1666,FIND(" -",T1666,1)-1)&amp;LEFT(U1666,FIND(" -",U1666,1)-1)</f>
        <v>4251RF</v>
      </c>
    </row>
    <row r="1667" spans="1:22">
      <c r="A1667" t="s">
        <v>155</v>
      </c>
      <c r="B1667" t="s">
        <v>156</v>
      </c>
      <c r="C1667" t="s">
        <v>199</v>
      </c>
      <c r="D1667" t="s">
        <v>200</v>
      </c>
      <c r="E1667" t="s">
        <v>201</v>
      </c>
      <c r="F1667" t="s">
        <v>27</v>
      </c>
      <c r="G1667">
        <v>1</v>
      </c>
      <c r="H1667" t="s">
        <v>206</v>
      </c>
      <c r="I1667" t="s">
        <v>6282</v>
      </c>
      <c r="J1667" t="s">
        <v>212</v>
      </c>
      <c r="K1667" t="s">
        <v>6282</v>
      </c>
      <c r="L1667" t="s">
        <v>1748</v>
      </c>
      <c r="M1667" s="1" t="str">
        <f t="shared" si="177"/>
        <v>12B501</v>
      </c>
      <c r="N1667" s="1" t="str">
        <f t="shared" si="178"/>
        <v>C/O</v>
      </c>
      <c r="O1667" s="1" t="str">
        <f t="shared" si="179"/>
        <v>Brake Tandem RHR</v>
      </c>
      <c r="P1667" s="1" t="str">
        <f t="shared" si="180"/>
        <v>NN60</v>
      </c>
      <c r="Q1667" s="2" t="str">
        <f t="shared" si="181"/>
        <v>NN60Brake Tandem RHR</v>
      </c>
      <c r="R1667" s="2" t="str">
        <f>New_Xref[[#This Row],[Serial Prefix]]&amp;IF(New_Xref[[#This Row],[Func Loc]]&lt;&gt;"",New_Xref[[#This Row],[Func Loc]],"NO MATCH")</f>
        <v>NN60BRAK .SEBR.BRTR</v>
      </c>
      <c r="S1667" s="3" t="str">
        <f t="shared" ref="S1667:S1730" si="183">P1667&amp;D1667&amp;O1667</f>
        <v>NN6020R9995Brake Tandem RHR</v>
      </c>
      <c r="T1667" t="s">
        <v>205</v>
      </c>
      <c r="U1667" t="s">
        <v>99</v>
      </c>
      <c r="V1667" t="str">
        <f t="shared" si="182"/>
        <v>4251RR</v>
      </c>
    </row>
    <row r="1668" spans="1:22">
      <c r="A1668" t="s">
        <v>1928</v>
      </c>
      <c r="B1668" t="s">
        <v>1937</v>
      </c>
      <c r="C1668" t="s">
        <v>2008</v>
      </c>
      <c r="D1668" t="s">
        <v>2009</v>
      </c>
      <c r="E1668" t="s">
        <v>2010</v>
      </c>
      <c r="F1668" t="s">
        <v>27</v>
      </c>
      <c r="G1668">
        <v>1</v>
      </c>
      <c r="H1668" t="s">
        <v>2021</v>
      </c>
      <c r="I1668" t="s">
        <v>6283</v>
      </c>
      <c r="J1668" t="s">
        <v>2023</v>
      </c>
      <c r="K1668" t="s">
        <v>6283</v>
      </c>
      <c r="L1668" t="s">
        <v>1588</v>
      </c>
      <c r="M1668" s="1" t="str">
        <f t="shared" ref="M1668:M1731" si="184">LEFT(K1668,FIND(" ",K1668,1)-1)</f>
        <v>12H227</v>
      </c>
      <c r="N1668" s="1" t="str">
        <f t="shared" ref="N1668:N1731" si="185">MID(K1668,LEN(M1668)+2,FIND(" ",K1668,LEN(M1668)+2)-LEN(M1668)-2)</f>
        <v>C/O</v>
      </c>
      <c r="O1668" s="1" t="str">
        <f t="shared" ref="O1668:O1731" si="186">MID(K1668,FIND(N1668,K1668,1)+LEN(N1668)+1, 150)</f>
        <v>Brake Tandem LHF</v>
      </c>
      <c r="P1668" s="1" t="str">
        <f t="shared" ref="P1668:P1731" si="187">LEFT(B1668,4)</f>
        <v>B9K0</v>
      </c>
      <c r="Q1668" s="2" t="str">
        <f t="shared" ref="Q1668:Q1731" si="188">P1668&amp;O1668</f>
        <v>B9K0Brake Tandem LHF</v>
      </c>
      <c r="R1668" s="2" t="str">
        <f>New_Xref[[#This Row],[Serial Prefix]]&amp;IF(New_Xref[[#This Row],[Func Loc]]&lt;&gt;"",New_Xref[[#This Row],[Func Loc]],"NO MATCH")</f>
        <v>B9K0BRAK .SEBR.SB01</v>
      </c>
      <c r="S1668" s="3" t="str">
        <f t="shared" si="183"/>
        <v>B9K020R4839Brake Tandem LHF</v>
      </c>
      <c r="T1668" t="s">
        <v>205</v>
      </c>
      <c r="U1668" t="s">
        <v>89</v>
      </c>
      <c r="V1668" t="str">
        <f t="shared" si="182"/>
        <v>4251LF</v>
      </c>
    </row>
    <row r="1669" spans="1:22">
      <c r="A1669" t="s">
        <v>1928</v>
      </c>
      <c r="B1669" t="s">
        <v>1937</v>
      </c>
      <c r="C1669" t="s">
        <v>2008</v>
      </c>
      <c r="D1669" t="s">
        <v>2009</v>
      </c>
      <c r="E1669" t="s">
        <v>2010</v>
      </c>
      <c r="F1669" t="s">
        <v>27</v>
      </c>
      <c r="G1669">
        <v>1</v>
      </c>
      <c r="H1669" t="s">
        <v>2024</v>
      </c>
      <c r="I1669" t="s">
        <v>6284</v>
      </c>
      <c r="J1669" t="s">
        <v>2026</v>
      </c>
      <c r="K1669" t="s">
        <v>6284</v>
      </c>
      <c r="L1669" t="s">
        <v>1579</v>
      </c>
      <c r="M1669" s="1" t="str">
        <f t="shared" si="184"/>
        <v>12H227</v>
      </c>
      <c r="N1669" s="1" t="str">
        <f t="shared" si="185"/>
        <v>C/O</v>
      </c>
      <c r="O1669" s="1" t="str">
        <f t="shared" si="186"/>
        <v>Brake Tandem LHR</v>
      </c>
      <c r="P1669" s="1" t="str">
        <f t="shared" si="187"/>
        <v>B9K0</v>
      </c>
      <c r="Q1669" s="2" t="str">
        <f t="shared" si="188"/>
        <v>B9K0Brake Tandem LHR</v>
      </c>
      <c r="R1669" s="2" t="str">
        <f>New_Xref[[#This Row],[Serial Prefix]]&amp;IF(New_Xref[[#This Row],[Func Loc]]&lt;&gt;"",New_Xref[[#This Row],[Func Loc]],"NO MATCH")</f>
        <v>B9K0BRAK .SEBR.SB03</v>
      </c>
      <c r="S1669" s="3" t="str">
        <f t="shared" si="183"/>
        <v>B9K020R4839Brake Tandem LHR</v>
      </c>
      <c r="T1669" t="s">
        <v>205</v>
      </c>
      <c r="U1669" t="s">
        <v>96</v>
      </c>
      <c r="V1669" t="str">
        <f t="shared" si="182"/>
        <v>4251LR</v>
      </c>
    </row>
    <row r="1670" spans="1:22">
      <c r="A1670" t="s">
        <v>1928</v>
      </c>
      <c r="B1670" t="s">
        <v>1937</v>
      </c>
      <c r="C1670" t="s">
        <v>2008</v>
      </c>
      <c r="D1670" t="s">
        <v>2009</v>
      </c>
      <c r="E1670" t="s">
        <v>2010</v>
      </c>
      <c r="F1670" t="s">
        <v>27</v>
      </c>
      <c r="G1670">
        <v>1</v>
      </c>
      <c r="H1670" t="s">
        <v>2021</v>
      </c>
      <c r="I1670" t="s">
        <v>6285</v>
      </c>
      <c r="J1670" t="s">
        <v>2028</v>
      </c>
      <c r="K1670" t="s">
        <v>6285</v>
      </c>
      <c r="L1670" t="s">
        <v>1582</v>
      </c>
      <c r="M1670" s="1" t="str">
        <f t="shared" si="184"/>
        <v>12H227</v>
      </c>
      <c r="N1670" s="1" t="str">
        <f t="shared" si="185"/>
        <v>C/O</v>
      </c>
      <c r="O1670" s="1" t="str">
        <f t="shared" si="186"/>
        <v>Brake Tandem RHF</v>
      </c>
      <c r="P1670" s="1" t="str">
        <f t="shared" si="187"/>
        <v>B9K0</v>
      </c>
      <c r="Q1670" s="2" t="str">
        <f t="shared" si="188"/>
        <v>B9K0Brake Tandem RHF</v>
      </c>
      <c r="R1670" s="2" t="str">
        <f>New_Xref[[#This Row],[Serial Prefix]]&amp;IF(New_Xref[[#This Row],[Func Loc]]&lt;&gt;"",New_Xref[[#This Row],[Func Loc]],"NO MATCH")</f>
        <v>B9K0BRAK .SEBR.SB02</v>
      </c>
      <c r="S1670" s="3" t="str">
        <f t="shared" si="183"/>
        <v>B9K020R4839Brake Tandem RHF</v>
      </c>
      <c r="T1670" t="s">
        <v>205</v>
      </c>
      <c r="U1670" t="s">
        <v>92</v>
      </c>
      <c r="V1670" t="str">
        <f t="shared" si="182"/>
        <v>4251RF</v>
      </c>
    </row>
    <row r="1671" spans="1:22">
      <c r="A1671" t="s">
        <v>1928</v>
      </c>
      <c r="B1671" t="s">
        <v>1937</v>
      </c>
      <c r="C1671" t="s">
        <v>2008</v>
      </c>
      <c r="D1671" t="s">
        <v>2009</v>
      </c>
      <c r="E1671" t="s">
        <v>2010</v>
      </c>
      <c r="F1671" t="s">
        <v>27</v>
      </c>
      <c r="G1671">
        <v>1</v>
      </c>
      <c r="H1671" t="s">
        <v>2024</v>
      </c>
      <c r="I1671" t="s">
        <v>6286</v>
      </c>
      <c r="J1671" t="s">
        <v>2030</v>
      </c>
      <c r="K1671" t="s">
        <v>6286</v>
      </c>
      <c r="L1671" t="s">
        <v>1585</v>
      </c>
      <c r="M1671" s="1" t="str">
        <f t="shared" si="184"/>
        <v>12H227</v>
      </c>
      <c r="N1671" s="1" t="str">
        <f t="shared" si="185"/>
        <v>C/O</v>
      </c>
      <c r="O1671" s="1" t="str">
        <f t="shared" si="186"/>
        <v>Brake Tandem RHR</v>
      </c>
      <c r="P1671" s="1" t="str">
        <f t="shared" si="187"/>
        <v>B9K0</v>
      </c>
      <c r="Q1671" s="2" t="str">
        <f t="shared" si="188"/>
        <v>B9K0Brake Tandem RHR</v>
      </c>
      <c r="R1671" s="2" t="str">
        <f>New_Xref[[#This Row],[Serial Prefix]]&amp;IF(New_Xref[[#This Row],[Func Loc]]&lt;&gt;"",New_Xref[[#This Row],[Func Loc]],"NO MATCH")</f>
        <v>B9K0BRAK .SEBR.SB04</v>
      </c>
      <c r="S1671" s="3" t="str">
        <f t="shared" si="183"/>
        <v>B9K020R4839Brake Tandem RHR</v>
      </c>
      <c r="T1671" t="s">
        <v>205</v>
      </c>
      <c r="U1671" t="s">
        <v>99</v>
      </c>
      <c r="V1671" t="str">
        <f t="shared" si="182"/>
        <v>4251RR</v>
      </c>
    </row>
    <row r="1672" spans="1:22">
      <c r="A1672" t="s">
        <v>22</v>
      </c>
      <c r="B1672" t="s">
        <v>23</v>
      </c>
      <c r="I1672" t="s">
        <v>6287</v>
      </c>
      <c r="K1672" t="s">
        <v>6287</v>
      </c>
      <c r="L1672" t="s">
        <v>1741</v>
      </c>
      <c r="M1672" s="1" t="str">
        <f t="shared" si="184"/>
        <v>12W566</v>
      </c>
      <c r="N1672" s="1" t="str">
        <f t="shared" si="185"/>
        <v>C/O</v>
      </c>
      <c r="O1672" s="1" t="str">
        <f t="shared" si="186"/>
        <v>Brake Tandem LHF</v>
      </c>
      <c r="P1672" s="1" t="str">
        <f t="shared" si="187"/>
        <v>F520</v>
      </c>
      <c r="Q1672" s="2" t="str">
        <f t="shared" si="188"/>
        <v>F520Brake Tandem LHF</v>
      </c>
      <c r="R1672" s="2" t="str">
        <f>New_Xref[[#This Row],[Serial Prefix]]&amp;IF(New_Xref[[#This Row],[Func Loc]]&lt;&gt;"",New_Xref[[#This Row],[Func Loc]],"NO MATCH")</f>
        <v>F520BRAK .SEBR.BLTF</v>
      </c>
      <c r="S1672" s="3" t="str">
        <f t="shared" si="183"/>
        <v>F520Brake Tandem LHF</v>
      </c>
      <c r="T1672" t="s">
        <v>205</v>
      </c>
      <c r="U1672" t="s">
        <v>89</v>
      </c>
      <c r="V1672" t="str">
        <f t="shared" si="182"/>
        <v>4251LF</v>
      </c>
    </row>
    <row r="1673" spans="1:22">
      <c r="A1673" t="s">
        <v>22</v>
      </c>
      <c r="B1673" t="s">
        <v>23</v>
      </c>
      <c r="I1673" t="s">
        <v>6288</v>
      </c>
      <c r="K1673" t="s">
        <v>6288</v>
      </c>
      <c r="L1673" t="s">
        <v>1744</v>
      </c>
      <c r="M1673" s="1" t="str">
        <f t="shared" si="184"/>
        <v>12W566</v>
      </c>
      <c r="N1673" s="1" t="str">
        <f t="shared" si="185"/>
        <v>C/O</v>
      </c>
      <c r="O1673" s="1" t="str">
        <f t="shared" si="186"/>
        <v>Brake Tandem RHF</v>
      </c>
      <c r="P1673" s="1" t="str">
        <f t="shared" si="187"/>
        <v>F520</v>
      </c>
      <c r="Q1673" s="2" t="str">
        <f t="shared" si="188"/>
        <v>F520Brake Tandem RHF</v>
      </c>
      <c r="R1673" s="2" t="str">
        <f>New_Xref[[#This Row],[Serial Prefix]]&amp;IF(New_Xref[[#This Row],[Func Loc]]&lt;&gt;"",New_Xref[[#This Row],[Func Loc]],"NO MATCH")</f>
        <v>F520BRAK .SEBR.BRTF</v>
      </c>
      <c r="S1673" s="3" t="str">
        <f t="shared" si="183"/>
        <v>F520Brake Tandem RHF</v>
      </c>
      <c r="T1673" t="s">
        <v>205</v>
      </c>
      <c r="U1673" t="s">
        <v>92</v>
      </c>
      <c r="V1673" t="str">
        <f t="shared" si="182"/>
        <v>4251RF</v>
      </c>
    </row>
    <row r="1674" spans="1:22">
      <c r="A1674" t="s">
        <v>22</v>
      </c>
      <c r="B1674" t="s">
        <v>23</v>
      </c>
      <c r="I1674" t="s">
        <v>6289</v>
      </c>
      <c r="K1674" t="s">
        <v>6289</v>
      </c>
      <c r="L1674" t="s">
        <v>1751</v>
      </c>
      <c r="M1674" s="1" t="str">
        <f t="shared" si="184"/>
        <v>12W566</v>
      </c>
      <c r="N1674" s="1" t="str">
        <f t="shared" si="185"/>
        <v>C/O</v>
      </c>
      <c r="O1674" s="1" t="str">
        <f t="shared" si="186"/>
        <v>Brake Tandem LHR</v>
      </c>
      <c r="P1674" s="1" t="str">
        <f t="shared" si="187"/>
        <v>F520</v>
      </c>
      <c r="Q1674" s="2" t="str">
        <f t="shared" si="188"/>
        <v>F520Brake Tandem LHR</v>
      </c>
      <c r="R1674" s="2" t="str">
        <f>New_Xref[[#This Row],[Serial Prefix]]&amp;IF(New_Xref[[#This Row],[Func Loc]]&lt;&gt;"",New_Xref[[#This Row],[Func Loc]],"NO MATCH")</f>
        <v>F520BRAK .SEBR.BLTR</v>
      </c>
      <c r="S1674" s="3" t="str">
        <f t="shared" si="183"/>
        <v>F520Brake Tandem LHR</v>
      </c>
      <c r="T1674" t="s">
        <v>205</v>
      </c>
      <c r="U1674" t="s">
        <v>96</v>
      </c>
      <c r="V1674" t="str">
        <f t="shared" si="182"/>
        <v>4251LR</v>
      </c>
    </row>
    <row r="1675" spans="1:22">
      <c r="A1675" t="s">
        <v>22</v>
      </c>
      <c r="B1675" t="s">
        <v>23</v>
      </c>
      <c r="I1675" t="s">
        <v>6290</v>
      </c>
      <c r="K1675" t="s">
        <v>6290</v>
      </c>
      <c r="L1675" t="s">
        <v>1748</v>
      </c>
      <c r="M1675" s="1" t="str">
        <f t="shared" si="184"/>
        <v>12W566</v>
      </c>
      <c r="N1675" s="1" t="str">
        <f t="shared" si="185"/>
        <v>C/O</v>
      </c>
      <c r="O1675" s="1" t="str">
        <f t="shared" si="186"/>
        <v>Brake Tandem RHR</v>
      </c>
      <c r="P1675" s="1" t="str">
        <f t="shared" si="187"/>
        <v>F520</v>
      </c>
      <c r="Q1675" s="2" t="str">
        <f t="shared" si="188"/>
        <v>F520Brake Tandem RHR</v>
      </c>
      <c r="R1675" s="2" t="str">
        <f>New_Xref[[#This Row],[Serial Prefix]]&amp;IF(New_Xref[[#This Row],[Func Loc]]&lt;&gt;"",New_Xref[[#This Row],[Func Loc]],"NO MATCH")</f>
        <v>F520BRAK .SEBR.BRTR</v>
      </c>
      <c r="S1675" s="3" t="str">
        <f t="shared" si="183"/>
        <v>F520Brake Tandem RHR</v>
      </c>
      <c r="T1675" t="s">
        <v>205</v>
      </c>
      <c r="U1675" t="s">
        <v>99</v>
      </c>
      <c r="V1675" t="str">
        <f t="shared" si="182"/>
        <v>4251RR</v>
      </c>
    </row>
    <row r="1676" spans="1:22">
      <c r="A1676" t="s">
        <v>3558</v>
      </c>
      <c r="B1676" t="s">
        <v>3671</v>
      </c>
      <c r="C1676" t="s">
        <v>585</v>
      </c>
      <c r="D1676" t="s">
        <v>586</v>
      </c>
      <c r="E1676" t="s">
        <v>587</v>
      </c>
      <c r="F1676" t="s">
        <v>27</v>
      </c>
      <c r="G1676">
        <v>1</v>
      </c>
      <c r="H1676" t="s">
        <v>3718</v>
      </c>
      <c r="I1676" t="s">
        <v>6291</v>
      </c>
      <c r="J1676" t="s">
        <v>3720</v>
      </c>
      <c r="K1676" t="s">
        <v>6291</v>
      </c>
      <c r="L1676" t="s">
        <v>2170</v>
      </c>
      <c r="M1676" s="1" t="str">
        <f t="shared" si="184"/>
        <v>08H92</v>
      </c>
      <c r="N1676" s="1" t="str">
        <f t="shared" si="185"/>
        <v>C/O</v>
      </c>
      <c r="O1676" s="1" t="str">
        <f t="shared" si="186"/>
        <v>Main Pump Dr Trans with Torque Converter</v>
      </c>
      <c r="P1676" s="1" t="str">
        <f t="shared" si="187"/>
        <v>2210</v>
      </c>
      <c r="Q1676" s="2" t="str">
        <f t="shared" si="188"/>
        <v>2210Main Pump Dr Trans with Torque Converter</v>
      </c>
      <c r="R1676" s="2" t="str">
        <f>New_Xref[[#This Row],[Serial Prefix]]&amp;IF(New_Xref[[#This Row],[Func Loc]]&lt;&gt;"",New_Xref[[#This Row],[Func Loc]],"NO MATCH")</f>
        <v>2210TRAN .MPDT</v>
      </c>
      <c r="S1676" s="3" t="str">
        <f t="shared" si="183"/>
        <v>22103465837XMain Pump Dr Trans with Torque Converter</v>
      </c>
      <c r="T1676" s="3" t="s">
        <v>305</v>
      </c>
      <c r="U1676" s="3" t="s">
        <v>34</v>
      </c>
      <c r="V1676" t="str">
        <f t="shared" si="182"/>
        <v>310100</v>
      </c>
    </row>
    <row r="1677" spans="1:22">
      <c r="A1677" t="s">
        <v>3558</v>
      </c>
      <c r="B1677" t="s">
        <v>3574</v>
      </c>
      <c r="C1677" t="s">
        <v>585</v>
      </c>
      <c r="D1677" t="s">
        <v>586</v>
      </c>
      <c r="E1677" t="s">
        <v>587</v>
      </c>
      <c r="F1677" t="s">
        <v>27</v>
      </c>
      <c r="G1677">
        <v>1</v>
      </c>
      <c r="H1677" t="s">
        <v>3721</v>
      </c>
      <c r="I1677" t="s">
        <v>6292</v>
      </c>
      <c r="J1677" t="s">
        <v>3723</v>
      </c>
      <c r="K1677" t="s">
        <v>6292</v>
      </c>
      <c r="L1677" t="s">
        <v>2170</v>
      </c>
      <c r="M1677" s="1" t="str">
        <f t="shared" si="184"/>
        <v>08D226</v>
      </c>
      <c r="N1677" s="1" t="str">
        <f t="shared" si="185"/>
        <v>C/O</v>
      </c>
      <c r="O1677" s="1" t="str">
        <f t="shared" si="186"/>
        <v>Main Pump Dr Trans with Torque Converter</v>
      </c>
      <c r="P1677" s="1" t="str">
        <f t="shared" si="187"/>
        <v>H9K0</v>
      </c>
      <c r="Q1677" s="2" t="str">
        <f t="shared" si="188"/>
        <v>H9K0Main Pump Dr Trans with Torque Converter</v>
      </c>
      <c r="R1677" s="2" t="str">
        <f>New_Xref[[#This Row],[Serial Prefix]]&amp;IF(New_Xref[[#This Row],[Func Loc]]&lt;&gt;"",New_Xref[[#This Row],[Func Loc]],"NO MATCH")</f>
        <v>H9K0TRAN .MPDT</v>
      </c>
      <c r="S1677" s="3" t="str">
        <f t="shared" si="183"/>
        <v>H9K03465837XMain Pump Dr Trans with Torque Converter</v>
      </c>
      <c r="T1677" s="3" t="s">
        <v>305</v>
      </c>
      <c r="U1677" s="3" t="s">
        <v>34</v>
      </c>
      <c r="V1677" t="str">
        <f t="shared" si="182"/>
        <v>310100</v>
      </c>
    </row>
    <row r="1678" spans="1:22">
      <c r="A1678" t="s">
        <v>3917</v>
      </c>
      <c r="B1678" t="s">
        <v>3923</v>
      </c>
      <c r="H1678" t="s">
        <v>4065</v>
      </c>
      <c r="I1678" t="s">
        <v>6293</v>
      </c>
      <c r="J1678" t="s">
        <v>4067</v>
      </c>
      <c r="K1678" t="s">
        <v>6293</v>
      </c>
      <c r="L1678" t="s">
        <v>2170</v>
      </c>
      <c r="M1678" s="1" t="str">
        <f t="shared" si="184"/>
        <v>07H117</v>
      </c>
      <c r="N1678" s="1" t="str">
        <f t="shared" si="185"/>
        <v>C/O</v>
      </c>
      <c r="O1678" s="1" t="str">
        <f t="shared" si="186"/>
        <v>Main Pump Dr Trans with Torque Converter</v>
      </c>
      <c r="P1678" s="1" t="str">
        <f t="shared" si="187"/>
        <v>H4C0</v>
      </c>
      <c r="Q1678" s="2" t="str">
        <f t="shared" si="188"/>
        <v>H4C0Main Pump Dr Trans with Torque Converter</v>
      </c>
      <c r="R1678" s="2" t="str">
        <f>New_Xref[[#This Row],[Serial Prefix]]&amp;IF(New_Xref[[#This Row],[Func Loc]]&lt;&gt;"",New_Xref[[#This Row],[Func Loc]],"NO MATCH")</f>
        <v>H4C0TRAN .MPDT</v>
      </c>
      <c r="S1678" s="3" t="str">
        <f t="shared" si="183"/>
        <v>H4C0Main Pump Dr Trans with Torque Converter</v>
      </c>
      <c r="T1678" s="3" t="s">
        <v>305</v>
      </c>
      <c r="U1678" s="3" t="s">
        <v>34</v>
      </c>
      <c r="V1678" t="str">
        <f t="shared" si="182"/>
        <v>310100</v>
      </c>
    </row>
    <row r="1679" spans="1:22">
      <c r="A1679" t="s">
        <v>3917</v>
      </c>
      <c r="B1679" t="s">
        <v>3941</v>
      </c>
      <c r="H1679" t="s">
        <v>4072</v>
      </c>
      <c r="I1679" t="s">
        <v>6294</v>
      </c>
      <c r="J1679" t="s">
        <v>4074</v>
      </c>
      <c r="K1679" t="s">
        <v>6294</v>
      </c>
      <c r="L1679" t="s">
        <v>2170</v>
      </c>
      <c r="M1679" s="1" t="str">
        <f t="shared" si="184"/>
        <v>07H167</v>
      </c>
      <c r="N1679" s="1" t="str">
        <f t="shared" si="185"/>
        <v>C/O</v>
      </c>
      <c r="O1679" s="1" t="str">
        <f t="shared" si="186"/>
        <v>Main Pump Dr Trans with Torque Converter</v>
      </c>
      <c r="P1679" s="1" t="str">
        <f t="shared" si="187"/>
        <v>ZMX0</v>
      </c>
      <c r="Q1679" s="2" t="str">
        <f t="shared" si="188"/>
        <v>ZMX0Main Pump Dr Trans with Torque Converter</v>
      </c>
      <c r="R1679" s="2" t="str">
        <f>New_Xref[[#This Row],[Serial Prefix]]&amp;IF(New_Xref[[#This Row],[Func Loc]]&lt;&gt;"",New_Xref[[#This Row],[Func Loc]],"NO MATCH")</f>
        <v>ZMX0TRAN .MPDT</v>
      </c>
      <c r="S1679" s="3" t="str">
        <f t="shared" si="183"/>
        <v>ZMX0Main Pump Dr Trans with Torque Converter</v>
      </c>
      <c r="T1679" s="3" t="s">
        <v>305</v>
      </c>
      <c r="U1679" s="3" t="s">
        <v>34</v>
      </c>
      <c r="V1679" t="str">
        <f t="shared" si="182"/>
        <v>310100</v>
      </c>
    </row>
    <row r="1680" spans="1:22">
      <c r="A1680" t="s">
        <v>3917</v>
      </c>
      <c r="B1680" t="s">
        <v>3931</v>
      </c>
      <c r="H1680" t="s">
        <v>6295</v>
      </c>
      <c r="I1680" t="s">
        <v>6296</v>
      </c>
      <c r="J1680" t="s">
        <v>6297</v>
      </c>
      <c r="K1680" t="s">
        <v>6296</v>
      </c>
      <c r="L1680" t="s">
        <v>83</v>
      </c>
      <c r="M1680" s="1" t="str">
        <f t="shared" si="184"/>
        <v>07H363</v>
      </c>
      <c r="N1680" s="1" t="str">
        <f t="shared" si="185"/>
        <v>C/O</v>
      </c>
      <c r="O1680" s="1" t="str">
        <f t="shared" si="186"/>
        <v>Main Pump Drive Trans with TC</v>
      </c>
      <c r="P1680" s="1" t="str">
        <f t="shared" si="187"/>
        <v>RM20</v>
      </c>
      <c r="Q1680" s="2" t="str">
        <f t="shared" si="188"/>
        <v>RM20Main Pump Drive Trans with TC</v>
      </c>
      <c r="R1680" s="2" t="str">
        <f>New_Xref[[#This Row],[Serial Prefix]]&amp;IF(New_Xref[[#This Row],[Func Loc]]&lt;&gt;"",New_Xref[[#This Row],[Func Loc]],"NO MATCH")</f>
        <v>RM20NO MATCH</v>
      </c>
      <c r="S1680" s="3" t="str">
        <f t="shared" si="183"/>
        <v>RM20Main Pump Drive Trans with TC</v>
      </c>
      <c r="T1680" s="3" t="s">
        <v>305</v>
      </c>
      <c r="U1680" s="3" t="s">
        <v>34</v>
      </c>
      <c r="V1680" t="str">
        <f t="shared" si="182"/>
        <v>310100</v>
      </c>
    </row>
    <row r="1681" spans="1:22">
      <c r="A1681" t="s">
        <v>3917</v>
      </c>
      <c r="B1681" t="s">
        <v>3918</v>
      </c>
      <c r="H1681" t="s">
        <v>6298</v>
      </c>
      <c r="I1681" t="s">
        <v>6299</v>
      </c>
      <c r="J1681" t="s">
        <v>6300</v>
      </c>
      <c r="K1681" t="s">
        <v>6299</v>
      </c>
      <c r="L1681" t="s">
        <v>83</v>
      </c>
      <c r="M1681" s="1" t="str">
        <f t="shared" si="184"/>
        <v>07H313</v>
      </c>
      <c r="N1681" s="1" t="str">
        <f t="shared" si="185"/>
        <v>C/O</v>
      </c>
      <c r="O1681" s="1" t="str">
        <f t="shared" si="186"/>
        <v>Main Pump Drive Trans with TC</v>
      </c>
      <c r="P1681" s="1" t="str">
        <f t="shared" si="187"/>
        <v>8800</v>
      </c>
      <c r="Q1681" s="2" t="str">
        <f t="shared" si="188"/>
        <v>8800Main Pump Drive Trans with TC</v>
      </c>
      <c r="R1681" s="2" t="str">
        <f>New_Xref[[#This Row],[Serial Prefix]]&amp;IF(New_Xref[[#This Row],[Func Loc]]&lt;&gt;"",New_Xref[[#This Row],[Func Loc]],"NO MATCH")</f>
        <v>8800NO MATCH</v>
      </c>
      <c r="S1681" s="3" t="str">
        <f t="shared" si="183"/>
        <v>8800Main Pump Drive Trans with TC</v>
      </c>
      <c r="T1681" s="3" t="s">
        <v>305</v>
      </c>
      <c r="U1681" s="3" t="s">
        <v>34</v>
      </c>
      <c r="V1681" t="str">
        <f t="shared" si="182"/>
        <v>310100</v>
      </c>
    </row>
    <row r="1682" spans="1:22">
      <c r="A1682" t="s">
        <v>3917</v>
      </c>
      <c r="B1682" t="s">
        <v>3918</v>
      </c>
      <c r="H1682" t="s">
        <v>6298</v>
      </c>
      <c r="I1682" t="s">
        <v>6301</v>
      </c>
      <c r="J1682" t="s">
        <v>6300</v>
      </c>
      <c r="K1682" t="s">
        <v>6301</v>
      </c>
      <c r="L1682" t="s">
        <v>2170</v>
      </c>
      <c r="M1682" s="1" t="str">
        <f t="shared" si="184"/>
        <v>07H313</v>
      </c>
      <c r="N1682" s="1" t="str">
        <f t="shared" si="185"/>
        <v>C/O</v>
      </c>
      <c r="O1682" s="1" t="str">
        <f t="shared" si="186"/>
        <v>Main Pump Dr Trans with Torque Converter</v>
      </c>
      <c r="P1682" s="1" t="str">
        <f t="shared" si="187"/>
        <v>8800</v>
      </c>
      <c r="Q1682" s="2" t="str">
        <f t="shared" si="188"/>
        <v>8800Main Pump Dr Trans with Torque Converter</v>
      </c>
      <c r="R1682" s="2" t="str">
        <f>New_Xref[[#This Row],[Serial Prefix]]&amp;IF(New_Xref[[#This Row],[Func Loc]]&lt;&gt;"",New_Xref[[#This Row],[Func Loc]],"NO MATCH")</f>
        <v>8800TRAN .MPDT</v>
      </c>
      <c r="S1682" s="3" t="str">
        <f t="shared" si="183"/>
        <v>8800Main Pump Dr Trans with Torque Converter</v>
      </c>
      <c r="T1682" s="3" t="s">
        <v>305</v>
      </c>
      <c r="U1682" s="3" t="s">
        <v>34</v>
      </c>
      <c r="V1682" t="str">
        <f t="shared" si="182"/>
        <v>310100</v>
      </c>
    </row>
    <row r="1683" spans="1:22">
      <c r="A1683" t="s">
        <v>3558</v>
      </c>
      <c r="B1683" t="s">
        <v>3590</v>
      </c>
      <c r="C1683" t="s">
        <v>585</v>
      </c>
      <c r="D1683" t="s">
        <v>586</v>
      </c>
      <c r="E1683" t="s">
        <v>587</v>
      </c>
      <c r="F1683" t="s">
        <v>27</v>
      </c>
      <c r="G1683">
        <v>1</v>
      </c>
      <c r="H1683" t="s">
        <v>3724</v>
      </c>
      <c r="I1683" t="s">
        <v>6302</v>
      </c>
      <c r="J1683" t="s">
        <v>3726</v>
      </c>
      <c r="K1683" t="s">
        <v>6302</v>
      </c>
      <c r="L1683" t="s">
        <v>2170</v>
      </c>
      <c r="M1683" s="1" t="str">
        <f t="shared" si="184"/>
        <v>08H208</v>
      </c>
      <c r="N1683" s="1" t="str">
        <f t="shared" si="185"/>
        <v>C/O</v>
      </c>
      <c r="O1683" s="1" t="str">
        <f t="shared" si="186"/>
        <v>Main Pump Dr Trans with Torque Converter</v>
      </c>
      <c r="P1683" s="1" t="str">
        <f t="shared" si="187"/>
        <v>RM30</v>
      </c>
      <c r="Q1683" s="2" t="str">
        <f t="shared" si="188"/>
        <v>RM30Main Pump Dr Trans with Torque Converter</v>
      </c>
      <c r="R1683" s="2" t="str">
        <f>New_Xref[[#This Row],[Serial Prefix]]&amp;IF(New_Xref[[#This Row],[Func Loc]]&lt;&gt;"",New_Xref[[#This Row],[Func Loc]],"NO MATCH")</f>
        <v>RM30TRAN .MPDT</v>
      </c>
      <c r="S1683" s="3" t="str">
        <f t="shared" si="183"/>
        <v>RM303465837XMain Pump Dr Trans with Torque Converter</v>
      </c>
      <c r="T1683" s="3" t="s">
        <v>305</v>
      </c>
      <c r="U1683" s="3" t="s">
        <v>34</v>
      </c>
      <c r="V1683" t="str">
        <f t="shared" si="182"/>
        <v>310100</v>
      </c>
    </row>
    <row r="1684" spans="1:22">
      <c r="A1684" t="s">
        <v>3558</v>
      </c>
      <c r="B1684" t="s">
        <v>3594</v>
      </c>
      <c r="C1684" t="s">
        <v>585</v>
      </c>
      <c r="D1684" t="s">
        <v>586</v>
      </c>
      <c r="E1684" t="s">
        <v>587</v>
      </c>
      <c r="F1684" t="s">
        <v>27</v>
      </c>
      <c r="G1684">
        <v>1</v>
      </c>
      <c r="H1684" t="s">
        <v>3727</v>
      </c>
      <c r="I1684" t="s">
        <v>6303</v>
      </c>
      <c r="J1684" t="s">
        <v>3729</v>
      </c>
      <c r="K1684" t="s">
        <v>6303</v>
      </c>
      <c r="L1684" t="s">
        <v>2170</v>
      </c>
      <c r="M1684" s="1" t="str">
        <f t="shared" si="184"/>
        <v>08B223</v>
      </c>
      <c r="N1684" s="1" t="str">
        <f t="shared" si="185"/>
        <v>C/O</v>
      </c>
      <c r="O1684" s="1" t="str">
        <f t="shared" si="186"/>
        <v>Main Pump Dr Trans with Torque Converter</v>
      </c>
      <c r="P1684" s="1" t="str">
        <f t="shared" si="187"/>
        <v>RM60</v>
      </c>
      <c r="Q1684" s="2" t="str">
        <f t="shared" si="188"/>
        <v>RM60Main Pump Dr Trans with Torque Converter</v>
      </c>
      <c r="R1684" s="2" t="str">
        <f>New_Xref[[#This Row],[Serial Prefix]]&amp;IF(New_Xref[[#This Row],[Func Loc]]&lt;&gt;"",New_Xref[[#This Row],[Func Loc]],"NO MATCH")</f>
        <v>RM60TRAN .MPDT</v>
      </c>
      <c r="S1684" s="3" t="str">
        <f t="shared" si="183"/>
        <v>RM603465837XMain Pump Dr Trans with Torque Converter</v>
      </c>
      <c r="T1684" s="3" t="s">
        <v>305</v>
      </c>
      <c r="U1684" s="3" t="s">
        <v>34</v>
      </c>
      <c r="V1684" t="str">
        <f t="shared" si="182"/>
        <v>310100</v>
      </c>
    </row>
    <row r="1685" spans="1:22">
      <c r="A1685" t="s">
        <v>3917</v>
      </c>
      <c r="B1685" t="s">
        <v>4068</v>
      </c>
      <c r="H1685" t="s">
        <v>4069</v>
      </c>
      <c r="I1685" t="s">
        <v>6304</v>
      </c>
      <c r="J1685" t="s">
        <v>4071</v>
      </c>
      <c r="K1685" t="s">
        <v>6304</v>
      </c>
      <c r="L1685" t="s">
        <v>2170</v>
      </c>
      <c r="M1685" s="1" t="str">
        <f t="shared" si="184"/>
        <v>07H425</v>
      </c>
      <c r="N1685" s="1" t="str">
        <f t="shared" si="185"/>
        <v>C/O</v>
      </c>
      <c r="O1685" s="1" t="str">
        <f t="shared" si="186"/>
        <v>Main Pump Dr Trans with Torque Converter</v>
      </c>
      <c r="P1685" s="1" t="str">
        <f t="shared" si="187"/>
        <v>RM50</v>
      </c>
      <c r="Q1685" s="2" t="str">
        <f t="shared" si="188"/>
        <v>RM50Main Pump Dr Trans with Torque Converter</v>
      </c>
      <c r="R1685" s="2" t="str">
        <f>New_Xref[[#This Row],[Serial Prefix]]&amp;IF(New_Xref[[#This Row],[Func Loc]]&lt;&gt;"",New_Xref[[#This Row],[Func Loc]],"NO MATCH")</f>
        <v>RM50TRAN .MPDT</v>
      </c>
      <c r="S1685" s="3" t="str">
        <f t="shared" si="183"/>
        <v>RM50Main Pump Dr Trans with Torque Converter</v>
      </c>
      <c r="T1685" s="3" t="s">
        <v>305</v>
      </c>
      <c r="U1685" s="3" t="s">
        <v>34</v>
      </c>
      <c r="V1685" t="str">
        <f t="shared" si="182"/>
        <v>310100</v>
      </c>
    </row>
    <row r="1686" spans="1:22">
      <c r="A1686" t="s">
        <v>3917</v>
      </c>
      <c r="B1686" t="s">
        <v>3931</v>
      </c>
      <c r="H1686" t="s">
        <v>6295</v>
      </c>
      <c r="I1686" t="s">
        <v>6305</v>
      </c>
      <c r="J1686" t="s">
        <v>6297</v>
      </c>
      <c r="K1686" t="s">
        <v>6305</v>
      </c>
      <c r="L1686" t="s">
        <v>2170</v>
      </c>
      <c r="M1686" s="1" t="str">
        <f t="shared" si="184"/>
        <v>07H363</v>
      </c>
      <c r="N1686" s="1" t="str">
        <f t="shared" si="185"/>
        <v>C/O</v>
      </c>
      <c r="O1686" s="1" t="str">
        <f t="shared" si="186"/>
        <v>Main Pump Dr Trans with Torque Converter</v>
      </c>
      <c r="P1686" s="1" t="str">
        <f t="shared" si="187"/>
        <v>RM20</v>
      </c>
      <c r="Q1686" s="2" t="str">
        <f t="shared" si="188"/>
        <v>RM20Main Pump Dr Trans with Torque Converter</v>
      </c>
      <c r="R1686" s="2" t="str">
        <f>New_Xref[[#This Row],[Serial Prefix]]&amp;IF(New_Xref[[#This Row],[Func Loc]]&lt;&gt;"",New_Xref[[#This Row],[Func Loc]],"NO MATCH")</f>
        <v>RM20TRAN .MPDT</v>
      </c>
      <c r="S1686" s="3" t="str">
        <f t="shared" si="183"/>
        <v>RM20Main Pump Dr Trans with Torque Converter</v>
      </c>
      <c r="T1686" s="3" t="s">
        <v>305</v>
      </c>
      <c r="U1686" s="3" t="s">
        <v>34</v>
      </c>
      <c r="V1686" t="str">
        <f t="shared" si="182"/>
        <v>310100</v>
      </c>
    </row>
    <row r="1687" spans="1:22">
      <c r="A1687" t="s">
        <v>4236</v>
      </c>
      <c r="B1687" t="s">
        <v>4237</v>
      </c>
      <c r="I1687" t="s">
        <v>6306</v>
      </c>
      <c r="K1687" t="s">
        <v>6306</v>
      </c>
      <c r="L1687" t="s">
        <v>4462</v>
      </c>
      <c r="M1687" s="1" t="str">
        <f t="shared" si="184"/>
        <v>07H126</v>
      </c>
      <c r="N1687" s="1" t="str">
        <f t="shared" si="185"/>
        <v>C/O</v>
      </c>
      <c r="O1687" s="1" t="str">
        <f t="shared" si="186"/>
        <v>Final Drive LHF</v>
      </c>
      <c r="P1687" s="1" t="str">
        <f t="shared" si="187"/>
        <v>Z9K0</v>
      </c>
      <c r="Q1687" s="2" t="str">
        <f t="shared" si="188"/>
        <v>Z9K0Final Drive LHF</v>
      </c>
      <c r="R1687" s="2" t="str">
        <f>New_Xref[[#This Row],[Serial Prefix]]&amp;IF(New_Xref[[#This Row],[Func Loc]]&lt;&gt;"",New_Xref[[#This Row],[Func Loc]],"NO MATCH")</f>
        <v>Z9K0FDRV .AXAF.FDLH</v>
      </c>
      <c r="S1687" s="3" t="str">
        <f t="shared" si="183"/>
        <v>Z9K0Final Drive LHF</v>
      </c>
      <c r="T1687" t="s">
        <v>6307</v>
      </c>
      <c r="U1687" t="s">
        <v>89</v>
      </c>
      <c r="V1687" t="str">
        <f t="shared" si="182"/>
        <v>4051LF</v>
      </c>
    </row>
    <row r="1688" spans="1:22">
      <c r="A1688" t="s">
        <v>4236</v>
      </c>
      <c r="B1688" t="s">
        <v>4237</v>
      </c>
      <c r="I1688" t="s">
        <v>6308</v>
      </c>
      <c r="K1688" t="s">
        <v>6308</v>
      </c>
      <c r="L1688" t="s">
        <v>4467</v>
      </c>
      <c r="M1688" s="1" t="str">
        <f t="shared" si="184"/>
        <v>07H126</v>
      </c>
      <c r="N1688" s="1" t="str">
        <f t="shared" si="185"/>
        <v>C/O</v>
      </c>
      <c r="O1688" s="1" t="str">
        <f t="shared" si="186"/>
        <v>Final Drive RHF</v>
      </c>
      <c r="P1688" s="1" t="str">
        <f t="shared" si="187"/>
        <v>Z9K0</v>
      </c>
      <c r="Q1688" s="2" t="str">
        <f t="shared" si="188"/>
        <v>Z9K0Final Drive RHF</v>
      </c>
      <c r="R1688" s="2" t="str">
        <f>New_Xref[[#This Row],[Serial Prefix]]&amp;IF(New_Xref[[#This Row],[Func Loc]]&lt;&gt;"",New_Xref[[#This Row],[Func Loc]],"NO MATCH")</f>
        <v>Z9K0FDRV .AXAF.FDRH</v>
      </c>
      <c r="S1688" s="3" t="str">
        <f t="shared" si="183"/>
        <v>Z9K0Final Drive RHF</v>
      </c>
      <c r="T1688" t="s">
        <v>6307</v>
      </c>
      <c r="U1688" t="s">
        <v>92</v>
      </c>
      <c r="V1688" t="str">
        <f t="shared" si="182"/>
        <v>4051RF</v>
      </c>
    </row>
    <row r="1689" spans="1:22">
      <c r="A1689" t="s">
        <v>4236</v>
      </c>
      <c r="B1689" t="s">
        <v>4237</v>
      </c>
      <c r="I1689" t="s">
        <v>6309</v>
      </c>
      <c r="K1689" t="s">
        <v>6309</v>
      </c>
      <c r="L1689" t="s">
        <v>1605</v>
      </c>
      <c r="M1689" s="1" t="str">
        <f t="shared" si="184"/>
        <v>07H126</v>
      </c>
      <c r="N1689" s="1" t="str">
        <f t="shared" si="185"/>
        <v>C/O</v>
      </c>
      <c r="O1689" s="1" t="str">
        <f t="shared" si="186"/>
        <v>Final Drive LHR</v>
      </c>
      <c r="P1689" s="1" t="str">
        <f t="shared" si="187"/>
        <v>Z9K0</v>
      </c>
      <c r="Q1689" s="2" t="str">
        <f t="shared" si="188"/>
        <v>Z9K0Final Drive LHR</v>
      </c>
      <c r="R1689" s="2" t="str">
        <f>New_Xref[[#This Row],[Serial Prefix]]&amp;IF(New_Xref[[#This Row],[Func Loc]]&lt;&gt;"",New_Xref[[#This Row],[Func Loc]],"NO MATCH")</f>
        <v>Z9K0FDRV .AXAR.FDLH</v>
      </c>
      <c r="S1689" s="3" t="str">
        <f t="shared" si="183"/>
        <v>Z9K0Final Drive LHR</v>
      </c>
      <c r="T1689" t="s">
        <v>6307</v>
      </c>
      <c r="U1689" t="s">
        <v>96</v>
      </c>
      <c r="V1689" t="str">
        <f t="shared" si="182"/>
        <v>4051LR</v>
      </c>
    </row>
    <row r="1690" spans="1:22">
      <c r="A1690" t="s">
        <v>4236</v>
      </c>
      <c r="B1690" t="s">
        <v>4237</v>
      </c>
      <c r="I1690" t="s">
        <v>6310</v>
      </c>
      <c r="K1690" t="s">
        <v>6310</v>
      </c>
      <c r="L1690" t="s">
        <v>1608</v>
      </c>
      <c r="M1690" s="1" t="str">
        <f t="shared" si="184"/>
        <v>07H126</v>
      </c>
      <c r="N1690" s="1" t="str">
        <f t="shared" si="185"/>
        <v>C/O</v>
      </c>
      <c r="O1690" s="1" t="str">
        <f t="shared" si="186"/>
        <v>Final Drive RHR</v>
      </c>
      <c r="P1690" s="1" t="str">
        <f t="shared" si="187"/>
        <v>Z9K0</v>
      </c>
      <c r="Q1690" s="2" t="str">
        <f t="shared" si="188"/>
        <v>Z9K0Final Drive RHR</v>
      </c>
      <c r="R1690" s="2" t="str">
        <f>New_Xref[[#This Row],[Serial Prefix]]&amp;IF(New_Xref[[#This Row],[Func Loc]]&lt;&gt;"",New_Xref[[#This Row],[Func Loc]],"NO MATCH")</f>
        <v>Z9K0FDRV .AXAR.FDRH</v>
      </c>
      <c r="S1690" s="3" t="str">
        <f t="shared" si="183"/>
        <v>Z9K0Final Drive RHR</v>
      </c>
      <c r="T1690" t="s">
        <v>6307</v>
      </c>
      <c r="U1690" t="s">
        <v>99</v>
      </c>
      <c r="V1690" t="str">
        <f t="shared" si="182"/>
        <v>4051RR</v>
      </c>
    </row>
    <row r="1691" spans="1:22">
      <c r="A1691" t="s">
        <v>643</v>
      </c>
      <c r="B1691" t="s">
        <v>644</v>
      </c>
      <c r="H1691" t="s">
        <v>661</v>
      </c>
      <c r="I1691" t="s">
        <v>6311</v>
      </c>
      <c r="J1691" t="s">
        <v>663</v>
      </c>
      <c r="K1691" t="s">
        <v>6311</v>
      </c>
      <c r="L1691" t="s">
        <v>304</v>
      </c>
      <c r="M1691" s="1" t="str">
        <f t="shared" si="184"/>
        <v>07B447</v>
      </c>
      <c r="N1691" s="1" t="str">
        <f t="shared" si="185"/>
        <v>C/O</v>
      </c>
      <c r="O1691" s="1" t="str">
        <f t="shared" si="186"/>
        <v>Torque Converter</v>
      </c>
      <c r="P1691" s="1" t="str">
        <f t="shared" si="187"/>
        <v>AP70</v>
      </c>
      <c r="Q1691" s="2" t="str">
        <f t="shared" si="188"/>
        <v>AP70Torque Converter</v>
      </c>
      <c r="R1691" s="2" t="str">
        <f>New_Xref[[#This Row],[Serial Prefix]]&amp;IF(New_Xref[[#This Row],[Func Loc]]&lt;&gt;"",New_Xref[[#This Row],[Func Loc]],"NO MATCH")</f>
        <v>AP70TRAN .TOCO</v>
      </c>
      <c r="S1691" s="3" t="str">
        <f t="shared" si="183"/>
        <v>AP70Torque Converter</v>
      </c>
      <c r="T1691" t="s">
        <v>305</v>
      </c>
      <c r="U1691" t="s">
        <v>34</v>
      </c>
      <c r="V1691" t="str">
        <f t="shared" si="182"/>
        <v>310100</v>
      </c>
    </row>
    <row r="1692" spans="1:22">
      <c r="A1692" t="s">
        <v>6043</v>
      </c>
      <c r="B1692" t="s">
        <v>6044</v>
      </c>
      <c r="I1692" t="s">
        <v>6312</v>
      </c>
      <c r="K1692" t="s">
        <v>6312</v>
      </c>
      <c r="L1692" t="s">
        <v>3449</v>
      </c>
      <c r="M1692" s="1" t="str">
        <f t="shared" si="184"/>
        <v>06H462</v>
      </c>
      <c r="N1692" s="1" t="str">
        <f t="shared" si="185"/>
        <v>C/O</v>
      </c>
      <c r="O1692" s="1" t="str">
        <f t="shared" si="186"/>
        <v>Final Drive LH</v>
      </c>
      <c r="P1692" s="1" t="str">
        <f t="shared" si="187"/>
        <v>TWN0</v>
      </c>
      <c r="Q1692" s="2" t="str">
        <f t="shared" si="188"/>
        <v>TWN0Final Drive LH</v>
      </c>
      <c r="R1692" s="2" t="str">
        <f>New_Xref[[#This Row],[Serial Prefix]]&amp;IF(New_Xref[[#This Row],[Func Loc]]&lt;&gt;"",New_Xref[[#This Row],[Func Loc]],"NO MATCH")</f>
        <v>TWN0FDRV .AXAR.FIDL</v>
      </c>
      <c r="S1692" s="3" t="str">
        <f t="shared" si="183"/>
        <v>TWN0Final Drive LH</v>
      </c>
      <c r="T1692" t="s">
        <v>2105</v>
      </c>
      <c r="U1692" t="s">
        <v>96</v>
      </c>
      <c r="V1692" t="str">
        <f t="shared" si="182"/>
        <v>4008LR</v>
      </c>
    </row>
    <row r="1693" spans="1:22">
      <c r="A1693" t="s">
        <v>6043</v>
      </c>
      <c r="B1693" t="s">
        <v>6044</v>
      </c>
      <c r="I1693" t="s">
        <v>6312</v>
      </c>
      <c r="K1693" t="s">
        <v>6312</v>
      </c>
      <c r="L1693" t="s">
        <v>3449</v>
      </c>
      <c r="M1693" s="1" t="str">
        <f t="shared" si="184"/>
        <v>06H462</v>
      </c>
      <c r="N1693" s="1" t="str">
        <f t="shared" si="185"/>
        <v>C/O</v>
      </c>
      <c r="O1693" s="1" t="str">
        <f t="shared" si="186"/>
        <v>Final Drive LH</v>
      </c>
      <c r="P1693" s="1" t="str">
        <f t="shared" si="187"/>
        <v>TWN0</v>
      </c>
      <c r="Q1693" s="2" t="str">
        <f t="shared" si="188"/>
        <v>TWN0Final Drive LH</v>
      </c>
      <c r="R1693" s="2" t="str">
        <f>New_Xref[[#This Row],[Serial Prefix]]&amp;IF(New_Xref[[#This Row],[Func Loc]]&lt;&gt;"",New_Xref[[#This Row],[Func Loc]],"NO MATCH")</f>
        <v>TWN0FDRV .AXAR.FIDL</v>
      </c>
      <c r="S1693" s="3" t="str">
        <f t="shared" si="183"/>
        <v>TWN0Final Drive LH</v>
      </c>
      <c r="T1693" t="s">
        <v>2105</v>
      </c>
      <c r="U1693" t="s">
        <v>99</v>
      </c>
      <c r="V1693" t="str">
        <f t="shared" si="182"/>
        <v>4008RR</v>
      </c>
    </row>
    <row r="1694" spans="1:22">
      <c r="A1694" t="s">
        <v>6043</v>
      </c>
      <c r="B1694" t="s">
        <v>6044</v>
      </c>
      <c r="I1694" t="s">
        <v>6313</v>
      </c>
      <c r="K1694" t="s">
        <v>6313</v>
      </c>
      <c r="L1694" t="s">
        <v>32</v>
      </c>
      <c r="M1694" s="1" t="str">
        <f t="shared" si="184"/>
        <v>06H462</v>
      </c>
      <c r="N1694" s="1" t="str">
        <f t="shared" si="185"/>
        <v>C/O</v>
      </c>
      <c r="O1694" s="1" t="str">
        <f t="shared" si="186"/>
        <v>Engine</v>
      </c>
      <c r="P1694" s="1" t="str">
        <f t="shared" si="187"/>
        <v>TWN0</v>
      </c>
      <c r="Q1694" s="2" t="str">
        <f t="shared" si="188"/>
        <v>TWN0Engine</v>
      </c>
      <c r="R1694" s="2" t="str">
        <f>New_Xref[[#This Row],[Serial Prefix]]&amp;IF(New_Xref[[#This Row],[Func Loc]]&lt;&gt;"",New_Xref[[#This Row],[Func Loc]],"NO MATCH")</f>
        <v>TWN0ENGD</v>
      </c>
      <c r="S1694" s="3" t="str">
        <f t="shared" si="183"/>
        <v>TWN0Engine</v>
      </c>
      <c r="T1694" t="s">
        <v>33</v>
      </c>
      <c r="U1694" t="s">
        <v>34</v>
      </c>
      <c r="V1694" t="str">
        <f t="shared" si="182"/>
        <v>100000</v>
      </c>
    </row>
    <row r="1695" spans="1:22">
      <c r="A1695" t="s">
        <v>6043</v>
      </c>
      <c r="B1695" t="s">
        <v>6044</v>
      </c>
      <c r="I1695" t="s">
        <v>6314</v>
      </c>
      <c r="K1695" t="s">
        <v>6314</v>
      </c>
      <c r="L1695" t="s">
        <v>463</v>
      </c>
      <c r="M1695" s="1" t="str">
        <f t="shared" si="184"/>
        <v>06H462</v>
      </c>
      <c r="N1695" s="1" t="str">
        <f t="shared" si="185"/>
        <v>C/O</v>
      </c>
      <c r="O1695" s="1" t="str">
        <f t="shared" si="186"/>
        <v>Differential</v>
      </c>
      <c r="P1695" s="1" t="str">
        <f t="shared" si="187"/>
        <v>TWN0</v>
      </c>
      <c r="Q1695" s="2" t="str">
        <f t="shared" si="188"/>
        <v>TWN0Differential</v>
      </c>
      <c r="R1695" s="2" t="str">
        <f>New_Xref[[#This Row],[Serial Prefix]]&amp;IF(New_Xref[[#This Row],[Func Loc]]&lt;&gt;"",New_Xref[[#This Row],[Func Loc]],"NO MATCH")</f>
        <v>TWN0FDRV .AXAR.DIFF</v>
      </c>
      <c r="S1695" s="3" t="str">
        <f t="shared" si="183"/>
        <v>TWN0Differential</v>
      </c>
      <c r="T1695" t="s">
        <v>464</v>
      </c>
      <c r="U1695" t="s">
        <v>34</v>
      </c>
      <c r="V1695" t="str">
        <f t="shared" si="182"/>
        <v>325800</v>
      </c>
    </row>
    <row r="1696" spans="1:22">
      <c r="A1696" t="s">
        <v>6043</v>
      </c>
      <c r="B1696" t="s">
        <v>6044</v>
      </c>
      <c r="I1696" t="s">
        <v>6315</v>
      </c>
      <c r="K1696" t="s">
        <v>6315</v>
      </c>
      <c r="L1696" t="s">
        <v>304</v>
      </c>
      <c r="M1696" s="1" t="str">
        <f t="shared" si="184"/>
        <v>06H462</v>
      </c>
      <c r="N1696" s="1" t="str">
        <f t="shared" si="185"/>
        <v>C/O</v>
      </c>
      <c r="O1696" s="1" t="str">
        <f t="shared" si="186"/>
        <v>Torque Converter</v>
      </c>
      <c r="P1696" s="1" t="str">
        <f t="shared" si="187"/>
        <v>TWN0</v>
      </c>
      <c r="Q1696" s="2" t="str">
        <f t="shared" si="188"/>
        <v>TWN0Torque Converter</v>
      </c>
      <c r="R1696" s="2" t="str">
        <f>New_Xref[[#This Row],[Serial Prefix]]&amp;IF(New_Xref[[#This Row],[Func Loc]]&lt;&gt;"",New_Xref[[#This Row],[Func Loc]],"NO MATCH")</f>
        <v>TWN0TRAN .TOCO</v>
      </c>
      <c r="S1696" s="3" t="str">
        <f t="shared" si="183"/>
        <v>TWN0Torque Converter</v>
      </c>
      <c r="T1696" t="s">
        <v>305</v>
      </c>
      <c r="U1696" t="s">
        <v>34</v>
      </c>
      <c r="V1696" t="str">
        <f t="shared" si="182"/>
        <v>310100</v>
      </c>
    </row>
    <row r="1697" spans="1:22">
      <c r="A1697" t="s">
        <v>6043</v>
      </c>
      <c r="B1697" t="s">
        <v>6044</v>
      </c>
      <c r="I1697" t="s">
        <v>6316</v>
      </c>
      <c r="K1697" t="s">
        <v>6316</v>
      </c>
      <c r="L1697" t="s">
        <v>761</v>
      </c>
      <c r="M1697" s="1" t="str">
        <f t="shared" si="184"/>
        <v>06H462</v>
      </c>
      <c r="N1697" s="1" t="str">
        <f t="shared" si="185"/>
        <v>C/O</v>
      </c>
      <c r="O1697" s="1" t="str">
        <f t="shared" si="186"/>
        <v>Hub &amp; Spindle LH</v>
      </c>
      <c r="P1697" s="1" t="str">
        <f t="shared" si="187"/>
        <v>TWN0</v>
      </c>
      <c r="Q1697" s="2" t="str">
        <f t="shared" si="188"/>
        <v>TWN0Hub &amp; Spindle LH</v>
      </c>
      <c r="R1697" s="2" t="str">
        <f>New_Xref[[#This Row],[Serial Prefix]]&amp;IF(New_Xref[[#This Row],[Func Loc]]&lt;&gt;"",New_Xref[[#This Row],[Func Loc]],"NO MATCH")</f>
        <v>TWN0FDRV .AXAF.HASL</v>
      </c>
      <c r="S1697" s="3" t="str">
        <f t="shared" si="183"/>
        <v>TWN0Hub &amp; Spindle LH</v>
      </c>
      <c r="T1697" t="s">
        <v>2441</v>
      </c>
      <c r="U1697" t="s">
        <v>89</v>
      </c>
      <c r="V1697" t="str">
        <f t="shared" si="182"/>
        <v>4016LF</v>
      </c>
    </row>
    <row r="1698" spans="1:22">
      <c r="A1698" t="s">
        <v>6043</v>
      </c>
      <c r="B1698" t="s">
        <v>6044</v>
      </c>
      <c r="I1698" t="s">
        <v>6317</v>
      </c>
      <c r="K1698" t="s">
        <v>6317</v>
      </c>
      <c r="L1698" t="s">
        <v>757</v>
      </c>
      <c r="M1698" s="1" t="str">
        <f t="shared" si="184"/>
        <v>06H462</v>
      </c>
      <c r="N1698" s="1" t="str">
        <f t="shared" si="185"/>
        <v>C/O</v>
      </c>
      <c r="O1698" s="1" t="str">
        <f t="shared" si="186"/>
        <v>Hub &amp; Spindle RH</v>
      </c>
      <c r="P1698" s="1" t="str">
        <f t="shared" si="187"/>
        <v>TWN0</v>
      </c>
      <c r="Q1698" s="2" t="str">
        <f t="shared" si="188"/>
        <v>TWN0Hub &amp; Spindle RH</v>
      </c>
      <c r="R1698" s="2" t="str">
        <f>New_Xref[[#This Row],[Serial Prefix]]&amp;IF(New_Xref[[#This Row],[Func Loc]]&lt;&gt;"",New_Xref[[#This Row],[Func Loc]],"NO MATCH")</f>
        <v>TWN0FDRV .AXAF.HASR</v>
      </c>
      <c r="S1698" s="3" t="str">
        <f t="shared" si="183"/>
        <v>TWN0Hub &amp; Spindle RH</v>
      </c>
      <c r="T1698" t="s">
        <v>2441</v>
      </c>
      <c r="U1698" t="s">
        <v>92</v>
      </c>
      <c r="V1698" t="str">
        <f t="shared" si="182"/>
        <v>4016RF</v>
      </c>
    </row>
    <row r="1699" spans="1:22">
      <c r="A1699" t="s">
        <v>6043</v>
      </c>
      <c r="B1699" t="s">
        <v>6044</v>
      </c>
      <c r="I1699" t="s">
        <v>6318</v>
      </c>
      <c r="K1699" t="s">
        <v>6318</v>
      </c>
      <c r="L1699" t="s">
        <v>597</v>
      </c>
      <c r="M1699" s="1" t="str">
        <f t="shared" si="184"/>
        <v>06H462</v>
      </c>
      <c r="N1699" s="1" t="str">
        <f t="shared" si="185"/>
        <v>C/O</v>
      </c>
      <c r="O1699" s="1" t="str">
        <f t="shared" si="186"/>
        <v>Steering Cylinder LH</v>
      </c>
      <c r="P1699" s="1" t="str">
        <f t="shared" si="187"/>
        <v>TWN0</v>
      </c>
      <c r="Q1699" s="2" t="str">
        <f t="shared" si="188"/>
        <v>TWN0Steering Cylinder LH</v>
      </c>
      <c r="R1699" s="2" t="str">
        <f>New_Xref[[#This Row],[Serial Prefix]]&amp;IF(New_Xref[[#This Row],[Func Loc]]&lt;&gt;"",New_Xref[[#This Row],[Func Loc]],"NO MATCH")</f>
        <v>TWN0STRG .CYLI.STCL</v>
      </c>
      <c r="S1699" s="3" t="str">
        <f t="shared" si="183"/>
        <v>TWN0Steering Cylinder LH</v>
      </c>
      <c r="T1699" t="s">
        <v>107</v>
      </c>
      <c r="U1699" t="s">
        <v>108</v>
      </c>
      <c r="V1699" t="str">
        <f t="shared" si="182"/>
        <v>4303LT</v>
      </c>
    </row>
    <row r="1700" spans="1:22">
      <c r="A1700" t="s">
        <v>6043</v>
      </c>
      <c r="B1700" t="s">
        <v>6044</v>
      </c>
      <c r="I1700" t="s">
        <v>6319</v>
      </c>
      <c r="K1700" t="s">
        <v>6319</v>
      </c>
      <c r="L1700" t="s">
        <v>600</v>
      </c>
      <c r="M1700" s="1" t="str">
        <f t="shared" si="184"/>
        <v>06H462</v>
      </c>
      <c r="N1700" s="1" t="str">
        <f t="shared" si="185"/>
        <v>C/O</v>
      </c>
      <c r="O1700" s="1" t="str">
        <f t="shared" si="186"/>
        <v>Steering Cylinder RH</v>
      </c>
      <c r="P1700" s="1" t="str">
        <f t="shared" si="187"/>
        <v>TWN0</v>
      </c>
      <c r="Q1700" s="2" t="str">
        <f t="shared" si="188"/>
        <v>TWN0Steering Cylinder RH</v>
      </c>
      <c r="R1700" s="2" t="str">
        <f>New_Xref[[#This Row],[Serial Prefix]]&amp;IF(New_Xref[[#This Row],[Func Loc]]&lt;&gt;"",New_Xref[[#This Row],[Func Loc]],"NO MATCH")</f>
        <v>TWN0STRG .CYLI.STCR</v>
      </c>
      <c r="S1700" s="3" t="str">
        <f t="shared" si="183"/>
        <v>TWN0Steering Cylinder RH</v>
      </c>
      <c r="T1700" t="s">
        <v>107</v>
      </c>
      <c r="U1700" t="s">
        <v>115</v>
      </c>
      <c r="V1700" t="str">
        <f t="shared" si="182"/>
        <v>4303RI</v>
      </c>
    </row>
    <row r="1701" spans="1:22">
      <c r="A1701" t="s">
        <v>6043</v>
      </c>
      <c r="B1701" t="s">
        <v>6044</v>
      </c>
      <c r="I1701" t="s">
        <v>6320</v>
      </c>
      <c r="K1701" t="s">
        <v>6320</v>
      </c>
      <c r="L1701" t="s">
        <v>67</v>
      </c>
      <c r="M1701" s="1" t="str">
        <f t="shared" si="184"/>
        <v>06H462</v>
      </c>
      <c r="N1701" s="1" t="str">
        <f t="shared" si="185"/>
        <v>C/O</v>
      </c>
      <c r="O1701" s="1" t="str">
        <f t="shared" si="186"/>
        <v>Engine Radiator</v>
      </c>
      <c r="P1701" s="1" t="str">
        <f t="shared" si="187"/>
        <v>TWN0</v>
      </c>
      <c r="Q1701" s="2" t="str">
        <f t="shared" si="188"/>
        <v>TWN0Engine Radiator</v>
      </c>
      <c r="R1701" s="2" t="str">
        <f>New_Xref[[#This Row],[Serial Prefix]]&amp;IF(New_Xref[[#This Row],[Func Loc]]&lt;&gt;"",New_Xref[[#This Row],[Func Loc]],"NO MATCH")</f>
        <v>TWN0ENGD .ENCS.RADI</v>
      </c>
      <c r="S1701" s="3" t="str">
        <f t="shared" si="183"/>
        <v>TWN0Engine Radiator</v>
      </c>
      <c r="T1701" t="s">
        <v>68</v>
      </c>
      <c r="U1701" t="s">
        <v>34</v>
      </c>
      <c r="V1701" t="str">
        <f t="shared" si="182"/>
        <v>135300</v>
      </c>
    </row>
    <row r="1702" spans="1:22">
      <c r="A1702" t="s">
        <v>6043</v>
      </c>
      <c r="B1702" t="s">
        <v>6044</v>
      </c>
      <c r="I1702" t="s">
        <v>6321</v>
      </c>
      <c r="K1702" t="s">
        <v>6321</v>
      </c>
      <c r="L1702" t="s">
        <v>72</v>
      </c>
      <c r="M1702" s="1" t="str">
        <f t="shared" si="184"/>
        <v>06H462</v>
      </c>
      <c r="N1702" s="1" t="str">
        <f t="shared" si="185"/>
        <v>C/O</v>
      </c>
      <c r="O1702" s="1" t="str">
        <f t="shared" si="186"/>
        <v>Transmission</v>
      </c>
      <c r="P1702" s="1" t="str">
        <f t="shared" si="187"/>
        <v>TWN0</v>
      </c>
      <c r="Q1702" s="2" t="str">
        <f t="shared" si="188"/>
        <v>TWN0Transmission</v>
      </c>
      <c r="R1702" s="2" t="str">
        <f>New_Xref[[#This Row],[Serial Prefix]]&amp;IF(New_Xref[[#This Row],[Func Loc]]&lt;&gt;"",New_Xref[[#This Row],[Func Loc]],"NO MATCH")</f>
        <v>TWN0TRAN .TRAN</v>
      </c>
      <c r="S1702" s="3" t="str">
        <f t="shared" si="183"/>
        <v>TWN0Transmission</v>
      </c>
      <c r="T1702" t="s">
        <v>73</v>
      </c>
      <c r="U1702" t="s">
        <v>34</v>
      </c>
      <c r="V1702" t="str">
        <f t="shared" si="182"/>
        <v>303000</v>
      </c>
    </row>
    <row r="1703" spans="1:22">
      <c r="A1703" t="s">
        <v>2138</v>
      </c>
      <c r="B1703" t="s">
        <v>6208</v>
      </c>
      <c r="I1703" t="s">
        <v>6322</v>
      </c>
      <c r="K1703" t="s">
        <v>6322</v>
      </c>
      <c r="L1703" t="s">
        <v>1605</v>
      </c>
      <c r="M1703" s="1" t="str">
        <f t="shared" si="184"/>
        <v>06H255</v>
      </c>
      <c r="N1703" s="1" t="str">
        <f t="shared" si="185"/>
        <v>C/O</v>
      </c>
      <c r="O1703" s="1" t="str">
        <f t="shared" si="186"/>
        <v>Final Drive LH</v>
      </c>
      <c r="P1703" s="1" t="str">
        <f t="shared" si="187"/>
        <v>AGC0</v>
      </c>
      <c r="Q1703" s="2" t="str">
        <f t="shared" si="188"/>
        <v>AGC0Final Drive LH</v>
      </c>
      <c r="R1703" s="2" t="str">
        <f>New_Xref[[#This Row],[Serial Prefix]]&amp;IF(New_Xref[[#This Row],[Func Loc]]&lt;&gt;"",New_Xref[[#This Row],[Func Loc]],"NO MATCH")</f>
        <v>AGC0FDRV .AXAR.FDLH</v>
      </c>
      <c r="S1703" s="3" t="str">
        <f t="shared" si="183"/>
        <v>AGC0Final Drive LH</v>
      </c>
      <c r="T1703" t="s">
        <v>2105</v>
      </c>
      <c r="U1703" t="s">
        <v>96</v>
      </c>
      <c r="V1703" t="str">
        <f t="shared" si="182"/>
        <v>4008LR</v>
      </c>
    </row>
    <row r="1704" spans="1:22">
      <c r="A1704" t="s">
        <v>2138</v>
      </c>
      <c r="B1704" t="s">
        <v>6208</v>
      </c>
      <c r="I1704" t="s">
        <v>6323</v>
      </c>
      <c r="K1704" t="s">
        <v>6323</v>
      </c>
      <c r="L1704" t="s">
        <v>1608</v>
      </c>
      <c r="M1704" s="1" t="str">
        <f t="shared" si="184"/>
        <v>06H255</v>
      </c>
      <c r="N1704" s="1" t="str">
        <f t="shared" si="185"/>
        <v>C/O</v>
      </c>
      <c r="O1704" s="1" t="str">
        <f t="shared" si="186"/>
        <v>Final Drive RH</v>
      </c>
      <c r="P1704" s="1" t="str">
        <f t="shared" si="187"/>
        <v>AGC0</v>
      </c>
      <c r="Q1704" s="2" t="str">
        <f t="shared" si="188"/>
        <v>AGC0Final Drive RH</v>
      </c>
      <c r="R1704" s="2" t="str">
        <f>New_Xref[[#This Row],[Serial Prefix]]&amp;IF(New_Xref[[#This Row],[Func Loc]]&lt;&gt;"",New_Xref[[#This Row],[Func Loc]],"NO MATCH")</f>
        <v>AGC0FDRV .AXAR.FDRH</v>
      </c>
      <c r="S1704" s="3" t="str">
        <f t="shared" si="183"/>
        <v>AGC0Final Drive RH</v>
      </c>
      <c r="T1704" t="s">
        <v>2105</v>
      </c>
      <c r="U1704" t="s">
        <v>99</v>
      </c>
      <c r="V1704" t="str">
        <f t="shared" si="182"/>
        <v>4008RR</v>
      </c>
    </row>
    <row r="1705" spans="1:22">
      <c r="A1705" t="s">
        <v>1648</v>
      </c>
      <c r="B1705" t="s">
        <v>1781</v>
      </c>
      <c r="C1705" t="s">
        <v>1782</v>
      </c>
      <c r="D1705" t="s">
        <v>1783</v>
      </c>
      <c r="E1705" t="s">
        <v>1784</v>
      </c>
      <c r="F1705" t="s">
        <v>27</v>
      </c>
      <c r="G1705">
        <v>1</v>
      </c>
      <c r="H1705" t="s">
        <v>1785</v>
      </c>
      <c r="I1705" t="s">
        <v>1786</v>
      </c>
      <c r="J1705" t="s">
        <v>1787</v>
      </c>
      <c r="K1705" t="s">
        <v>1786</v>
      </c>
      <c r="L1705" t="s">
        <v>2610</v>
      </c>
      <c r="M1705" s="1" t="str">
        <f t="shared" si="184"/>
        <v>12H206</v>
      </c>
      <c r="N1705" s="1" t="str">
        <f t="shared" si="185"/>
        <v>C/O</v>
      </c>
      <c r="O1705" s="1" t="str">
        <f t="shared" si="186"/>
        <v>Implement Pump</v>
      </c>
      <c r="P1705" s="1" t="str">
        <f t="shared" si="187"/>
        <v>B9H0</v>
      </c>
      <c r="Q1705" s="2" t="str">
        <f t="shared" si="188"/>
        <v>B9H0Implement Pump</v>
      </c>
      <c r="R1705" s="2" t="str">
        <f>New_Xref[[#This Row],[Serial Prefix]]&amp;IF(New_Xref[[#This Row],[Func Loc]]&lt;&gt;"",New_Xref[[#This Row],[Func Loc]],"NO MATCH")</f>
        <v>B9H0MYHD .PUMP</v>
      </c>
      <c r="S1705" s="3" t="str">
        <f t="shared" si="183"/>
        <v>B9H020R0010Implement Pump</v>
      </c>
      <c r="T1705" s="3" t="s">
        <v>220</v>
      </c>
      <c r="U1705" s="3" t="s">
        <v>34</v>
      </c>
      <c r="V1705" t="str">
        <f t="shared" si="182"/>
        <v>507000</v>
      </c>
    </row>
    <row r="1706" spans="1:22">
      <c r="A1706" t="s">
        <v>2494</v>
      </c>
      <c r="B1706" t="s">
        <v>2587</v>
      </c>
      <c r="H1706" t="s">
        <v>2588</v>
      </c>
      <c r="I1706" t="s">
        <v>2589</v>
      </c>
      <c r="J1706" t="s">
        <v>2590</v>
      </c>
      <c r="K1706" t="s">
        <v>2591</v>
      </c>
      <c r="L1706" s="2" t="s">
        <v>6324</v>
      </c>
      <c r="M1706" s="1" t="str">
        <f t="shared" si="184"/>
        <v>06H108</v>
      </c>
      <c r="N1706" s="1" t="str">
        <f t="shared" si="185"/>
        <v>C/O</v>
      </c>
      <c r="O1706" s="1" t="str">
        <f t="shared" si="186"/>
        <v>Steering Cylinder LH</v>
      </c>
      <c r="P1706" s="1" t="str">
        <f t="shared" si="187"/>
        <v>APX0</v>
      </c>
      <c r="Q1706" s="2" t="str">
        <f t="shared" si="188"/>
        <v>APX0Steering Cylinder LH</v>
      </c>
      <c r="R1706" s="2" t="str">
        <f>New_Xref[[#This Row],[Serial Prefix]]&amp;IF(New_Xref[[#This Row],[Func Loc]]&lt;&gt;"",New_Xref[[#This Row],[Func Loc]],"NO MATCH")</f>
        <v>APX0STRG</v>
      </c>
      <c r="S1706" s="3" t="str">
        <f t="shared" si="183"/>
        <v>APX0Steering Cylinder LH</v>
      </c>
      <c r="T1706" s="3" t="s">
        <v>107</v>
      </c>
      <c r="U1706" s="3" t="s">
        <v>108</v>
      </c>
      <c r="V1706" t="str">
        <f t="shared" si="182"/>
        <v>4303LT</v>
      </c>
    </row>
    <row r="1707" spans="1:22">
      <c r="A1707" t="s">
        <v>2494</v>
      </c>
      <c r="B1707" t="s">
        <v>2495</v>
      </c>
      <c r="H1707" t="s">
        <v>2588</v>
      </c>
      <c r="I1707" t="s">
        <v>2592</v>
      </c>
      <c r="J1707" t="s">
        <v>2593</v>
      </c>
      <c r="K1707" t="s">
        <v>2594</v>
      </c>
      <c r="L1707" s="2" t="s">
        <v>6324</v>
      </c>
      <c r="M1707" s="1" t="str">
        <f t="shared" si="184"/>
        <v>06D27</v>
      </c>
      <c r="N1707" s="1" t="str">
        <f t="shared" si="185"/>
        <v>C/O</v>
      </c>
      <c r="O1707" s="1" t="str">
        <f t="shared" si="186"/>
        <v>Steering Cylinder RH</v>
      </c>
      <c r="P1707" s="1" t="str">
        <f t="shared" si="187"/>
        <v>APX0</v>
      </c>
      <c r="Q1707" s="2" t="str">
        <f t="shared" si="188"/>
        <v>APX0Steering Cylinder RH</v>
      </c>
      <c r="R1707" s="2" t="str">
        <f>New_Xref[[#This Row],[Serial Prefix]]&amp;IF(New_Xref[[#This Row],[Func Loc]]&lt;&gt;"",New_Xref[[#This Row],[Func Loc]],"NO MATCH")</f>
        <v>APX0STRG</v>
      </c>
      <c r="S1707" s="3" t="str">
        <f t="shared" si="183"/>
        <v>APX0Steering Cylinder RH</v>
      </c>
      <c r="T1707" s="3" t="s">
        <v>107</v>
      </c>
      <c r="U1707" s="3" t="s">
        <v>115</v>
      </c>
      <c r="V1707" t="str">
        <f t="shared" si="182"/>
        <v>4303RI</v>
      </c>
    </row>
    <row r="1708" spans="1:22">
      <c r="A1708" t="s">
        <v>2494</v>
      </c>
      <c r="B1708" t="s">
        <v>2495</v>
      </c>
      <c r="C1708" t="s">
        <v>2600</v>
      </c>
      <c r="D1708" t="s">
        <v>2601</v>
      </c>
      <c r="E1708" t="s">
        <v>2602</v>
      </c>
      <c r="F1708" t="s">
        <v>27</v>
      </c>
      <c r="G1708">
        <v>1</v>
      </c>
      <c r="H1708" t="s">
        <v>2603</v>
      </c>
      <c r="I1708" t="s">
        <v>2608</v>
      </c>
      <c r="J1708" t="s">
        <v>2609</v>
      </c>
      <c r="K1708" t="s">
        <v>2608</v>
      </c>
      <c r="L1708" t="s">
        <v>2453</v>
      </c>
      <c r="M1708" s="1" t="str">
        <f t="shared" si="184"/>
        <v>06D27</v>
      </c>
      <c r="N1708" s="1" t="str">
        <f t="shared" si="185"/>
        <v>C/O</v>
      </c>
      <c r="O1708" s="1" t="str">
        <f t="shared" si="186"/>
        <v>Hoist &amp; Brake Cooling Pump</v>
      </c>
      <c r="P1708" s="1" t="str">
        <f t="shared" si="187"/>
        <v>APX0</v>
      </c>
      <c r="Q1708" s="2" t="str">
        <f t="shared" si="188"/>
        <v>APX0Hoist &amp; Brake Cooling Pump</v>
      </c>
      <c r="R1708" s="2" t="str">
        <f>New_Xref[[#This Row],[Serial Prefix]]&amp;IF(New_Xref[[#This Row],[Func Loc]]&lt;&gt;"",New_Xref[[#This Row],[Func Loc]],"NO MATCH")</f>
        <v>APX0MYHD .PUMP.HP01</v>
      </c>
      <c r="S1708" s="3" t="str">
        <f t="shared" si="183"/>
        <v>APX010R7971Hoist &amp; Brake Cooling Pump</v>
      </c>
      <c r="T1708" s="3" t="s">
        <v>2607</v>
      </c>
      <c r="U1708" s="3" t="s">
        <v>34</v>
      </c>
      <c r="V1708" t="str">
        <f t="shared" si="182"/>
        <v>508300</v>
      </c>
    </row>
    <row r="1709" spans="1:22">
      <c r="A1709" t="s">
        <v>2494</v>
      </c>
      <c r="B1709" t="s">
        <v>2495</v>
      </c>
      <c r="C1709" t="s">
        <v>2573</v>
      </c>
      <c r="D1709" t="s">
        <v>2574</v>
      </c>
      <c r="E1709" t="s">
        <v>2575</v>
      </c>
      <c r="F1709" t="s">
        <v>27</v>
      </c>
      <c r="G1709">
        <v>1</v>
      </c>
      <c r="H1709" t="s">
        <v>2576</v>
      </c>
      <c r="I1709" t="s">
        <v>6173</v>
      </c>
      <c r="J1709" t="s">
        <v>2578</v>
      </c>
      <c r="K1709" t="s">
        <v>6173</v>
      </c>
      <c r="L1709" s="2" t="s">
        <v>6325</v>
      </c>
      <c r="M1709" s="1" t="str">
        <f t="shared" si="184"/>
        <v>06D27</v>
      </c>
      <c r="N1709" s="1" t="str">
        <f t="shared" si="185"/>
        <v>C/O</v>
      </c>
      <c r="O1709" s="1" t="str">
        <f t="shared" si="186"/>
        <v>Final Drive LH</v>
      </c>
      <c r="P1709" s="1" t="str">
        <f t="shared" si="187"/>
        <v>APX0</v>
      </c>
      <c r="Q1709" s="2" t="str">
        <f t="shared" si="188"/>
        <v>APX0Final Drive LH</v>
      </c>
      <c r="R1709" s="2" t="str">
        <f>New_Xref[[#This Row],[Serial Prefix]]&amp;IF(New_Xref[[#This Row],[Func Loc]]&lt;&gt;"",New_Xref[[#This Row],[Func Loc]],"NO MATCH")</f>
        <v>APX0TRAN</v>
      </c>
      <c r="S1709" s="3" t="str">
        <f t="shared" si="183"/>
        <v>APX03178378XFinal Drive LH</v>
      </c>
      <c r="T1709" t="s">
        <v>2105</v>
      </c>
      <c r="U1709" t="s">
        <v>96</v>
      </c>
      <c r="V1709" t="str">
        <f t="shared" si="182"/>
        <v>4008LR</v>
      </c>
    </row>
    <row r="1710" spans="1:22">
      <c r="A1710" t="s">
        <v>2494</v>
      </c>
      <c r="B1710" t="s">
        <v>2495</v>
      </c>
      <c r="C1710" t="s">
        <v>2573</v>
      </c>
      <c r="D1710" t="s">
        <v>2574</v>
      </c>
      <c r="E1710" t="s">
        <v>2575</v>
      </c>
      <c r="F1710" t="s">
        <v>27</v>
      </c>
      <c r="G1710">
        <v>1</v>
      </c>
      <c r="H1710" t="s">
        <v>2576</v>
      </c>
      <c r="I1710" t="s">
        <v>6174</v>
      </c>
      <c r="J1710" t="s">
        <v>2580</v>
      </c>
      <c r="K1710" t="s">
        <v>6174</v>
      </c>
      <c r="L1710" s="2" t="s">
        <v>6325</v>
      </c>
      <c r="M1710" s="1" t="str">
        <f t="shared" si="184"/>
        <v>06D27</v>
      </c>
      <c r="N1710" s="1" t="str">
        <f t="shared" si="185"/>
        <v>C/O</v>
      </c>
      <c r="O1710" s="1" t="str">
        <f t="shared" si="186"/>
        <v>Final Drive RH</v>
      </c>
      <c r="P1710" s="1" t="str">
        <f t="shared" si="187"/>
        <v>APX0</v>
      </c>
      <c r="Q1710" s="2" t="str">
        <f t="shared" si="188"/>
        <v>APX0Final Drive RH</v>
      </c>
      <c r="R1710" s="2" t="str">
        <f>New_Xref[[#This Row],[Serial Prefix]]&amp;IF(New_Xref[[#This Row],[Func Loc]]&lt;&gt;"",New_Xref[[#This Row],[Func Loc]],"NO MATCH")</f>
        <v>APX0TRAN</v>
      </c>
      <c r="S1710" s="3" t="str">
        <f t="shared" si="183"/>
        <v>APX03178378XFinal Drive RH</v>
      </c>
      <c r="T1710" t="s">
        <v>2105</v>
      </c>
      <c r="U1710" t="s">
        <v>99</v>
      </c>
      <c r="V1710" t="str">
        <f t="shared" si="182"/>
        <v>4008RR</v>
      </c>
    </row>
    <row r="1711" spans="1:22">
      <c r="A1711" t="s">
        <v>4689</v>
      </c>
      <c r="B1711" t="s">
        <v>4690</v>
      </c>
      <c r="C1711" t="s">
        <v>4716</v>
      </c>
      <c r="D1711" t="s">
        <v>4717</v>
      </c>
      <c r="E1711" t="s">
        <v>2527</v>
      </c>
      <c r="F1711" t="s">
        <v>27</v>
      </c>
      <c r="G1711">
        <v>1</v>
      </c>
      <c r="H1711" t="s">
        <v>4718</v>
      </c>
      <c r="I1711" t="s">
        <v>4719</v>
      </c>
      <c r="J1711" t="s">
        <v>4720</v>
      </c>
      <c r="K1711" t="s">
        <v>4719</v>
      </c>
      <c r="L1711" t="s">
        <v>6325</v>
      </c>
      <c r="M1711" s="1" t="str">
        <f t="shared" si="184"/>
        <v>08D3</v>
      </c>
      <c r="N1711" s="1" t="str">
        <f t="shared" si="185"/>
        <v>C/O</v>
      </c>
      <c r="O1711" s="1" t="str">
        <f t="shared" si="186"/>
        <v>Transmission</v>
      </c>
      <c r="P1711" s="1" t="str">
        <f t="shared" si="187"/>
        <v>RJG0</v>
      </c>
      <c r="Q1711" s="2" t="str">
        <f t="shared" si="188"/>
        <v>RJG0Transmission</v>
      </c>
      <c r="R1711" s="2" t="str">
        <f>New_Xref[[#This Row],[Serial Prefix]]&amp;IF(New_Xref[[#This Row],[Func Loc]]&lt;&gt;"",New_Xref[[#This Row],[Func Loc]],"NO MATCH")</f>
        <v>RJG0TRAN</v>
      </c>
      <c r="S1711" s="3" t="str">
        <f t="shared" si="183"/>
        <v>RJG02135171XTransmission</v>
      </c>
      <c r="T1711" s="3" t="s">
        <v>4721</v>
      </c>
      <c r="U1711" s="3" t="s">
        <v>34</v>
      </c>
      <c r="V1711" t="str">
        <f t="shared" si="182"/>
        <v>300600</v>
      </c>
    </row>
    <row r="1712" spans="1:22">
      <c r="A1712" t="s">
        <v>3333</v>
      </c>
      <c r="B1712" t="s">
        <v>3382</v>
      </c>
      <c r="C1712" t="s">
        <v>875</v>
      </c>
      <c r="D1712" t="s">
        <v>876</v>
      </c>
      <c r="E1712" t="s">
        <v>3383</v>
      </c>
      <c r="F1712" t="s">
        <v>27</v>
      </c>
      <c r="G1712">
        <v>1</v>
      </c>
      <c r="H1712" t="s">
        <v>3384</v>
      </c>
      <c r="I1712" t="s">
        <v>3385</v>
      </c>
      <c r="J1712" t="s">
        <v>3386</v>
      </c>
      <c r="K1712" t="s">
        <v>3387</v>
      </c>
      <c r="L1712" t="s">
        <v>6326</v>
      </c>
      <c r="M1712" s="1" t="str">
        <f t="shared" si="184"/>
        <v>06H111</v>
      </c>
      <c r="N1712" s="1" t="str">
        <f t="shared" si="185"/>
        <v>C/O</v>
      </c>
      <c r="O1712" s="1" t="str">
        <f t="shared" si="186"/>
        <v>Starter Motor LH</v>
      </c>
      <c r="P1712" s="1" t="str">
        <f t="shared" si="187"/>
        <v>RBT0</v>
      </c>
      <c r="Q1712" s="2" t="str">
        <f t="shared" si="188"/>
        <v>RBT0Starter Motor LH</v>
      </c>
      <c r="R1712" s="2" t="str">
        <f>New_Xref[[#This Row],[Serial Prefix]]&amp;IF(New_Xref[[#This Row],[Func Loc]]&lt;&gt;"",New_Xref[[#This Row],[Func Loc]],"NO MATCH")</f>
        <v>RBT0LVEL .STSY.STMD</v>
      </c>
      <c r="S1712" s="3" t="str">
        <f t="shared" si="183"/>
        <v>RBT020R1312Starter Motor LH</v>
      </c>
      <c r="T1712" s="3" t="s">
        <v>881</v>
      </c>
      <c r="U1712" s="3" t="s">
        <v>108</v>
      </c>
      <c r="V1712" t="str">
        <f t="shared" si="182"/>
        <v>1453LT</v>
      </c>
    </row>
    <row r="1713" spans="1:22">
      <c r="A1713" t="s">
        <v>3333</v>
      </c>
      <c r="B1713" t="s">
        <v>3334</v>
      </c>
      <c r="I1713" t="s">
        <v>6095</v>
      </c>
      <c r="K1713" t="s">
        <v>6095</v>
      </c>
      <c r="L1713" t="s">
        <v>778</v>
      </c>
      <c r="M1713" s="1" t="str">
        <f t="shared" si="184"/>
        <v>06B352</v>
      </c>
      <c r="N1713" s="1" t="str">
        <f t="shared" si="185"/>
        <v>C/O</v>
      </c>
      <c r="O1713" s="1" t="str">
        <f t="shared" si="186"/>
        <v>Suspension LHF</v>
      </c>
      <c r="P1713" s="1" t="str">
        <f t="shared" si="187"/>
        <v>RBT0</v>
      </c>
      <c r="Q1713" s="2" t="str">
        <f t="shared" si="188"/>
        <v>RBT0Suspension LHF</v>
      </c>
      <c r="R1713" s="2" t="str">
        <f>New_Xref[[#This Row],[Serial Prefix]]&amp;IF(New_Xref[[#This Row],[Func Loc]]&lt;&gt;"",New_Xref[[#This Row],[Func Loc]],"NO MATCH")</f>
        <v>RBT0STRU .SUGR.SG01</v>
      </c>
      <c r="S1713" s="3" t="str">
        <f t="shared" si="183"/>
        <v>RBT0Suspension LHF</v>
      </c>
      <c r="T1713" t="s">
        <v>511</v>
      </c>
      <c r="U1713" t="s">
        <v>89</v>
      </c>
      <c r="V1713" t="str">
        <f t="shared" si="182"/>
        <v>7201LF</v>
      </c>
    </row>
    <row r="1714" spans="1:22">
      <c r="A1714" t="s">
        <v>3333</v>
      </c>
      <c r="B1714" t="s">
        <v>3334</v>
      </c>
      <c r="I1714" t="s">
        <v>6096</v>
      </c>
      <c r="K1714" t="s">
        <v>6096</v>
      </c>
      <c r="L1714" t="s">
        <v>781</v>
      </c>
      <c r="M1714" s="1" t="str">
        <f t="shared" si="184"/>
        <v>06B352</v>
      </c>
      <c r="N1714" s="1" t="str">
        <f t="shared" si="185"/>
        <v>C/O</v>
      </c>
      <c r="O1714" s="1" t="str">
        <f t="shared" si="186"/>
        <v>Suspension RHF</v>
      </c>
      <c r="P1714" s="1" t="str">
        <f t="shared" si="187"/>
        <v>RBT0</v>
      </c>
      <c r="Q1714" s="2" t="str">
        <f t="shared" si="188"/>
        <v>RBT0Suspension RHF</v>
      </c>
      <c r="R1714" s="2" t="str">
        <f>New_Xref[[#This Row],[Serial Prefix]]&amp;IF(New_Xref[[#This Row],[Func Loc]]&lt;&gt;"",New_Xref[[#This Row],[Func Loc]],"NO MATCH")</f>
        <v>RBT0STRU .SUGR.SG02</v>
      </c>
      <c r="S1714" s="3" t="str">
        <f t="shared" si="183"/>
        <v>RBT0Suspension RHF</v>
      </c>
      <c r="T1714" t="s">
        <v>511</v>
      </c>
      <c r="U1714" t="s">
        <v>92</v>
      </c>
      <c r="V1714" t="str">
        <f t="shared" si="182"/>
        <v>7201RF</v>
      </c>
    </row>
    <row r="1715" spans="1:22">
      <c r="A1715" t="s">
        <v>5654</v>
      </c>
      <c r="B1715" t="s">
        <v>5764</v>
      </c>
      <c r="H1715" t="s">
        <v>5765</v>
      </c>
      <c r="I1715" t="s">
        <v>5766</v>
      </c>
      <c r="J1715" t="s">
        <v>5767</v>
      </c>
      <c r="K1715" t="s">
        <v>5766</v>
      </c>
      <c r="L1715" t="s">
        <v>5527</v>
      </c>
      <c r="M1715" s="1" t="str">
        <f t="shared" si="184"/>
        <v>21R398</v>
      </c>
      <c r="N1715" s="1" t="str">
        <f t="shared" si="185"/>
        <v>C/O</v>
      </c>
      <c r="O1715" s="1" t="str">
        <f t="shared" si="186"/>
        <v>Travel Motor CS</v>
      </c>
      <c r="P1715" s="1" t="str">
        <f t="shared" si="187"/>
        <v>DLK0</v>
      </c>
      <c r="Q1715" s="2" t="str">
        <f t="shared" si="188"/>
        <v>DLK0Travel Motor CS</v>
      </c>
      <c r="R1715" s="2" t="str">
        <f>New_Xref[[#This Row],[Serial Prefix]]&amp;IF(New_Xref[[#This Row],[Func Loc]]&lt;&gt;"",New_Xref[[#This Row],[Func Loc]],"NO MATCH")</f>
        <v>DLK0MYHD .MOTO.TRMC</v>
      </c>
      <c r="S1715" s="3" t="str">
        <f t="shared" si="183"/>
        <v>DLK0Travel Motor CS</v>
      </c>
      <c r="T1715" s="3" t="s">
        <v>964</v>
      </c>
      <c r="U1715" s="3" t="s">
        <v>115</v>
      </c>
      <c r="V1715" t="str">
        <f t="shared" si="182"/>
        <v>4351RI</v>
      </c>
    </row>
    <row r="1716" spans="1:22">
      <c r="A1716" t="s">
        <v>5654</v>
      </c>
      <c r="B1716" t="s">
        <v>5764</v>
      </c>
      <c r="H1716" t="s">
        <v>5765</v>
      </c>
      <c r="I1716" t="s">
        <v>5769</v>
      </c>
      <c r="J1716" t="s">
        <v>5770</v>
      </c>
      <c r="K1716" t="s">
        <v>5769</v>
      </c>
      <c r="L1716" t="s">
        <v>5530</v>
      </c>
      <c r="M1716" s="1" t="str">
        <f t="shared" si="184"/>
        <v>21R398</v>
      </c>
      <c r="N1716" s="1" t="str">
        <f t="shared" si="185"/>
        <v>C/O</v>
      </c>
      <c r="O1716" s="1" t="str">
        <f t="shared" si="186"/>
        <v>Travel Motor NCS</v>
      </c>
      <c r="P1716" s="1" t="str">
        <f t="shared" si="187"/>
        <v>DLK0</v>
      </c>
      <c r="Q1716" s="2" t="str">
        <f t="shared" si="188"/>
        <v>DLK0Travel Motor NCS</v>
      </c>
      <c r="R1716" s="2" t="str">
        <f>New_Xref[[#This Row],[Serial Prefix]]&amp;IF(New_Xref[[#This Row],[Func Loc]]&lt;&gt;"",New_Xref[[#This Row],[Func Loc]],"NO MATCH")</f>
        <v>DLK0MYHD .MOTO.TRMN</v>
      </c>
      <c r="S1716" s="3" t="str">
        <f t="shared" si="183"/>
        <v>DLK0Travel Motor NCS</v>
      </c>
      <c r="T1716" s="3" t="s">
        <v>964</v>
      </c>
      <c r="U1716" s="3" t="s">
        <v>108</v>
      </c>
      <c r="V1716" t="str">
        <f t="shared" si="182"/>
        <v>4351LT</v>
      </c>
    </row>
    <row r="1717" spans="1:22">
      <c r="A1717" t="s">
        <v>5654</v>
      </c>
      <c r="B1717" t="s">
        <v>5655</v>
      </c>
      <c r="C1717" t="s">
        <v>5531</v>
      </c>
      <c r="D1717" t="s">
        <v>5532</v>
      </c>
      <c r="E1717" t="s">
        <v>5533</v>
      </c>
      <c r="F1717" t="s">
        <v>27</v>
      </c>
      <c r="G1717">
        <v>1</v>
      </c>
      <c r="H1717" t="s">
        <v>5772</v>
      </c>
      <c r="I1717" t="s">
        <v>5773</v>
      </c>
      <c r="J1717" t="s">
        <v>5774</v>
      </c>
      <c r="K1717" t="s">
        <v>5773</v>
      </c>
      <c r="L1717" t="s">
        <v>5537</v>
      </c>
      <c r="M1717" s="1" t="str">
        <f t="shared" si="184"/>
        <v>21B290</v>
      </c>
      <c r="N1717" s="1" t="str">
        <f t="shared" si="185"/>
        <v>C/O</v>
      </c>
      <c r="O1717" s="1" t="str">
        <f t="shared" si="186"/>
        <v>Auxiliary Hydraulic Pump</v>
      </c>
      <c r="P1717" s="1" t="str">
        <f t="shared" si="187"/>
        <v>DLK0</v>
      </c>
      <c r="Q1717" s="2" t="str">
        <f t="shared" si="188"/>
        <v>DLK0Auxiliary Hydraulic Pump</v>
      </c>
      <c r="R1717" s="2" t="str">
        <f>New_Xref[[#This Row],[Serial Prefix]]&amp;IF(New_Xref[[#This Row],[Func Loc]]&lt;&gt;"",New_Xref[[#This Row],[Func Loc]],"NO MATCH")</f>
        <v>DLK0MYHD .PUMP.AUCP</v>
      </c>
      <c r="S1717" s="3" t="str">
        <f t="shared" si="183"/>
        <v>DLK020R9457Auxiliary Hydraulic Pump</v>
      </c>
      <c r="T1717" s="3" t="s">
        <v>220</v>
      </c>
      <c r="U1717" s="3" t="s">
        <v>4144</v>
      </c>
      <c r="V1717" t="str">
        <f t="shared" si="182"/>
        <v>5070CE</v>
      </c>
    </row>
    <row r="1718" spans="1:22">
      <c r="A1718" t="s">
        <v>3857</v>
      </c>
      <c r="B1718" t="s">
        <v>3858</v>
      </c>
      <c r="H1718" t="s">
        <v>3894</v>
      </c>
      <c r="I1718" t="s">
        <v>3895</v>
      </c>
      <c r="J1718" t="s">
        <v>3896</v>
      </c>
      <c r="K1718" t="s">
        <v>3895</v>
      </c>
      <c r="L1718" t="s">
        <v>6327</v>
      </c>
      <c r="M1718" s="1" t="str">
        <f t="shared" si="184"/>
        <v>07H139</v>
      </c>
      <c r="N1718" s="1" t="str">
        <f t="shared" si="185"/>
        <v>C/O</v>
      </c>
      <c r="O1718" s="1" t="str">
        <f t="shared" si="186"/>
        <v>Steering Cylinder LH</v>
      </c>
      <c r="P1718" s="1" t="str">
        <f t="shared" si="187"/>
        <v>AZX0</v>
      </c>
      <c r="Q1718" s="2" t="str">
        <f t="shared" si="188"/>
        <v>AZX0Steering Cylinder LH</v>
      </c>
      <c r="R1718" s="2" t="str">
        <f>New_Xref[[#This Row],[Serial Prefix]]&amp;IF(New_Xref[[#This Row],[Func Loc]]&lt;&gt;"",New_Xref[[#This Row],[Func Loc]],"NO MATCH")</f>
        <v>AZX0STRG .CYLD.SC01</v>
      </c>
      <c r="S1718" s="3" t="str">
        <f t="shared" si="183"/>
        <v>AZX0Steering Cylinder LH</v>
      </c>
      <c r="T1718" s="3" t="s">
        <v>107</v>
      </c>
      <c r="U1718" s="3" t="s">
        <v>108</v>
      </c>
      <c r="V1718" t="str">
        <f t="shared" si="182"/>
        <v>4303LT</v>
      </c>
    </row>
    <row r="1719" spans="1:22">
      <c r="A1719" t="s">
        <v>3857</v>
      </c>
      <c r="B1719" t="s">
        <v>3858</v>
      </c>
      <c r="H1719" t="s">
        <v>3894</v>
      </c>
      <c r="I1719" t="s">
        <v>3897</v>
      </c>
      <c r="J1719" t="s">
        <v>3898</v>
      </c>
      <c r="K1719" t="s">
        <v>3897</v>
      </c>
      <c r="L1719" t="s">
        <v>6328</v>
      </c>
      <c r="M1719" s="1" t="str">
        <f t="shared" si="184"/>
        <v>07H139</v>
      </c>
      <c r="N1719" s="1" t="str">
        <f t="shared" si="185"/>
        <v>C/O</v>
      </c>
      <c r="O1719" s="1" t="str">
        <f t="shared" si="186"/>
        <v>Steering Cylinder RH</v>
      </c>
      <c r="P1719" s="1" t="str">
        <f t="shared" si="187"/>
        <v>AZX0</v>
      </c>
      <c r="Q1719" s="2" t="str">
        <f t="shared" si="188"/>
        <v>AZX0Steering Cylinder RH</v>
      </c>
      <c r="R1719" s="2" t="str">
        <f>New_Xref[[#This Row],[Serial Prefix]]&amp;IF(New_Xref[[#This Row],[Func Loc]]&lt;&gt;"",New_Xref[[#This Row],[Func Loc]],"NO MATCH")</f>
        <v>AZX0STRG .CYLD.SC02</v>
      </c>
      <c r="S1719" s="3" t="str">
        <f t="shared" si="183"/>
        <v>AZX0Steering Cylinder RH</v>
      </c>
      <c r="T1719" s="3" t="s">
        <v>107</v>
      </c>
      <c r="U1719" s="3" t="s">
        <v>115</v>
      </c>
      <c r="V1719" t="str">
        <f t="shared" si="182"/>
        <v>4303RI</v>
      </c>
    </row>
    <row r="1720" spans="1:22">
      <c r="A1720" t="s">
        <v>1928</v>
      </c>
      <c r="B1720" t="s">
        <v>1929</v>
      </c>
      <c r="I1720" t="s">
        <v>6329</v>
      </c>
      <c r="K1720" t="s">
        <v>6329</v>
      </c>
      <c r="L1720" t="s">
        <v>463</v>
      </c>
      <c r="M1720" s="1" t="str">
        <f t="shared" si="184"/>
        <v>12H446</v>
      </c>
      <c r="N1720" s="1" t="str">
        <f t="shared" si="185"/>
        <v>C/O</v>
      </c>
      <c r="O1720" s="1" t="str">
        <f t="shared" si="186"/>
        <v>Differential &amp; Bevel Gear</v>
      </c>
      <c r="P1720" s="1" t="str">
        <f t="shared" si="187"/>
        <v>B930</v>
      </c>
      <c r="Q1720" s="2" t="str">
        <f t="shared" si="188"/>
        <v>B930Differential &amp; Bevel Gear</v>
      </c>
      <c r="R1720" s="2" t="str">
        <f>New_Xref[[#This Row],[Serial Prefix]]&amp;IF(New_Xref[[#This Row],[Func Loc]]&lt;&gt;"",New_Xref[[#This Row],[Func Loc]],"NO MATCH")</f>
        <v>B930FDRV .AXAR.DIFF</v>
      </c>
      <c r="S1720" s="3" t="str">
        <f t="shared" si="183"/>
        <v>B930Differential &amp; Bevel Gear</v>
      </c>
      <c r="T1720" s="3" t="s">
        <v>464</v>
      </c>
      <c r="U1720" s="3" t="s">
        <v>34</v>
      </c>
      <c r="V1720" t="str">
        <f t="shared" si="182"/>
        <v>325800</v>
      </c>
    </row>
    <row r="1721" spans="1:22">
      <c r="A1721" t="s">
        <v>1928</v>
      </c>
      <c r="B1721" t="s">
        <v>1937</v>
      </c>
      <c r="I1721" t="s">
        <v>6330</v>
      </c>
      <c r="K1721" t="s">
        <v>6330</v>
      </c>
      <c r="L1721" t="s">
        <v>463</v>
      </c>
      <c r="M1721" s="1" t="str">
        <f t="shared" si="184"/>
        <v>12H227</v>
      </c>
      <c r="N1721" s="1" t="str">
        <f t="shared" si="185"/>
        <v>C/O</v>
      </c>
      <c r="O1721" s="1" t="str">
        <f t="shared" si="186"/>
        <v>Differential &amp; Bevel Gear</v>
      </c>
      <c r="P1721" s="1" t="str">
        <f t="shared" si="187"/>
        <v>B9K0</v>
      </c>
      <c r="Q1721" s="2" t="str">
        <f t="shared" si="188"/>
        <v>B9K0Differential &amp; Bevel Gear</v>
      </c>
      <c r="R1721" s="2" t="str">
        <f>New_Xref[[#This Row],[Serial Prefix]]&amp;IF(New_Xref[[#This Row],[Func Loc]]&lt;&gt;"",New_Xref[[#This Row],[Func Loc]],"NO MATCH")</f>
        <v>B9K0FDRV .AXAR.DIFF</v>
      </c>
      <c r="S1721" s="3" t="str">
        <f t="shared" si="183"/>
        <v>B9K0Differential &amp; Bevel Gear</v>
      </c>
      <c r="T1721" s="3" t="s">
        <v>464</v>
      </c>
      <c r="U1721" s="3" t="s">
        <v>34</v>
      </c>
      <c r="V1721" t="str">
        <f t="shared" si="182"/>
        <v>325800</v>
      </c>
    </row>
    <row r="1722" spans="1:22">
      <c r="A1722" t="s">
        <v>1928</v>
      </c>
      <c r="B1722" t="s">
        <v>1929</v>
      </c>
      <c r="C1722" t="s">
        <v>1884</v>
      </c>
      <c r="D1722" t="s">
        <v>1885</v>
      </c>
      <c r="E1722" t="s">
        <v>1886</v>
      </c>
      <c r="F1722" t="s">
        <v>27</v>
      </c>
      <c r="G1722">
        <v>1</v>
      </c>
      <c r="H1722" t="s">
        <v>2003</v>
      </c>
      <c r="I1722" t="s">
        <v>6331</v>
      </c>
      <c r="J1722" t="s">
        <v>2005</v>
      </c>
      <c r="K1722" t="s">
        <v>6331</v>
      </c>
      <c r="L1722" t="s">
        <v>1605</v>
      </c>
      <c r="M1722" s="1" t="str">
        <f t="shared" si="184"/>
        <v>12H446</v>
      </c>
      <c r="N1722" s="1" t="str">
        <f t="shared" si="185"/>
        <v>C/O</v>
      </c>
      <c r="O1722" s="1" t="str">
        <f t="shared" si="186"/>
        <v>Final Drive LH</v>
      </c>
      <c r="P1722" s="1" t="str">
        <f t="shared" si="187"/>
        <v>B930</v>
      </c>
      <c r="Q1722" s="2" t="str">
        <f t="shared" si="188"/>
        <v>B930Final Drive LH</v>
      </c>
      <c r="R1722" s="2" t="str">
        <f>New_Xref[[#This Row],[Serial Prefix]]&amp;IF(New_Xref[[#This Row],[Func Loc]]&lt;&gt;"",New_Xref[[#This Row],[Func Loc]],"NO MATCH")</f>
        <v>B930FDRV .AXAR.FDLH</v>
      </c>
      <c r="S1722" s="3" t="str">
        <f t="shared" si="183"/>
        <v>B9301659955XFinal Drive LH</v>
      </c>
      <c r="T1722" s="3" t="s">
        <v>908</v>
      </c>
      <c r="U1722" s="3" t="s">
        <v>108</v>
      </c>
      <c r="V1722" t="str">
        <f t="shared" si="182"/>
        <v>4050LT</v>
      </c>
    </row>
    <row r="1723" spans="1:22">
      <c r="A1723" t="s">
        <v>1928</v>
      </c>
      <c r="B1723" t="s">
        <v>1929</v>
      </c>
      <c r="C1723" t="s">
        <v>1884</v>
      </c>
      <c r="D1723" t="s">
        <v>1885</v>
      </c>
      <c r="E1723" t="s">
        <v>1886</v>
      </c>
      <c r="F1723" t="s">
        <v>27</v>
      </c>
      <c r="G1723">
        <v>1</v>
      </c>
      <c r="H1723" t="s">
        <v>2003</v>
      </c>
      <c r="I1723" t="s">
        <v>6332</v>
      </c>
      <c r="J1723" t="s">
        <v>2007</v>
      </c>
      <c r="K1723" t="s">
        <v>6332</v>
      </c>
      <c r="L1723" t="s">
        <v>1608</v>
      </c>
      <c r="M1723" s="1" t="str">
        <f t="shared" si="184"/>
        <v>12H446</v>
      </c>
      <c r="N1723" s="1" t="str">
        <f t="shared" si="185"/>
        <v>C/O</v>
      </c>
      <c r="O1723" s="1" t="str">
        <f t="shared" si="186"/>
        <v>Final Drive RH</v>
      </c>
      <c r="P1723" s="1" t="str">
        <f t="shared" si="187"/>
        <v>B930</v>
      </c>
      <c r="Q1723" s="2" t="str">
        <f t="shared" si="188"/>
        <v>B930Final Drive RH</v>
      </c>
      <c r="R1723" s="2" t="str">
        <f>New_Xref[[#This Row],[Serial Prefix]]&amp;IF(New_Xref[[#This Row],[Func Loc]]&lt;&gt;"",New_Xref[[#This Row],[Func Loc]],"NO MATCH")</f>
        <v>B930FDRV .AXAR.FDRH</v>
      </c>
      <c r="S1723" s="3" t="str">
        <f t="shared" si="183"/>
        <v>B9301659955XFinal Drive RH</v>
      </c>
      <c r="T1723" s="3" t="s">
        <v>908</v>
      </c>
      <c r="U1723" s="3" t="s">
        <v>115</v>
      </c>
      <c r="V1723" t="str">
        <f t="shared" si="182"/>
        <v>4050RI</v>
      </c>
    </row>
    <row r="1724" spans="1:22">
      <c r="A1724" t="s">
        <v>4236</v>
      </c>
      <c r="B1724" t="s">
        <v>4237</v>
      </c>
      <c r="I1724" t="s">
        <v>6333</v>
      </c>
      <c r="K1724" t="s">
        <v>6333</v>
      </c>
      <c r="L1724" t="s">
        <v>678</v>
      </c>
      <c r="M1724" s="1" t="str">
        <f t="shared" si="184"/>
        <v>07H126</v>
      </c>
      <c r="N1724" s="1" t="str">
        <f t="shared" si="185"/>
        <v>C/O</v>
      </c>
      <c r="O1724" s="1" t="str">
        <f t="shared" si="186"/>
        <v>Differential Front</v>
      </c>
      <c r="P1724" s="1" t="str">
        <f t="shared" si="187"/>
        <v>Z9K0</v>
      </c>
      <c r="Q1724" s="2" t="str">
        <f t="shared" si="188"/>
        <v>Z9K0Differential Front</v>
      </c>
      <c r="R1724" s="2" t="str">
        <f>New_Xref[[#This Row],[Serial Prefix]]&amp;IF(New_Xref[[#This Row],[Func Loc]]&lt;&gt;"",New_Xref[[#This Row],[Func Loc]],"NO MATCH")</f>
        <v>Z9K0FDRV .AXAF.DIFF</v>
      </c>
      <c r="S1724" s="3" t="str">
        <f t="shared" si="183"/>
        <v>Z9K0Differential Front</v>
      </c>
      <c r="T1724" t="s">
        <v>464</v>
      </c>
      <c r="U1724" t="s">
        <v>386</v>
      </c>
      <c r="V1724" t="str">
        <f t="shared" si="182"/>
        <v>3258FR</v>
      </c>
    </row>
    <row r="1725" spans="1:22">
      <c r="A1725" t="s">
        <v>4236</v>
      </c>
      <c r="B1725" t="s">
        <v>4237</v>
      </c>
      <c r="I1725" t="s">
        <v>6334</v>
      </c>
      <c r="K1725" t="s">
        <v>6334</v>
      </c>
      <c r="L1725" t="s">
        <v>463</v>
      </c>
      <c r="M1725" s="1" t="str">
        <f t="shared" si="184"/>
        <v>07H126</v>
      </c>
      <c r="N1725" s="1" t="str">
        <f t="shared" si="185"/>
        <v>C/O</v>
      </c>
      <c r="O1725" s="1" t="str">
        <f t="shared" si="186"/>
        <v>Differential Rear</v>
      </c>
      <c r="P1725" s="1" t="str">
        <f t="shared" si="187"/>
        <v>Z9K0</v>
      </c>
      <c r="Q1725" s="2" t="str">
        <f t="shared" si="188"/>
        <v>Z9K0Differential Rear</v>
      </c>
      <c r="R1725" s="2" t="str">
        <f>New_Xref[[#This Row],[Serial Prefix]]&amp;IF(New_Xref[[#This Row],[Func Loc]]&lt;&gt;"",New_Xref[[#This Row],[Func Loc]],"NO MATCH")</f>
        <v>Z9K0FDRV .AXAR.DIFF</v>
      </c>
      <c r="S1725" s="3" t="str">
        <f t="shared" si="183"/>
        <v>Z9K0Differential Rear</v>
      </c>
      <c r="T1725" t="s">
        <v>464</v>
      </c>
      <c r="U1725" t="s">
        <v>317</v>
      </c>
      <c r="V1725" t="str">
        <f t="shared" si="182"/>
        <v>3258RE</v>
      </c>
    </row>
    <row r="1726" spans="1:22">
      <c r="A1726" t="s">
        <v>1086</v>
      </c>
      <c r="B1726" t="s">
        <v>1102</v>
      </c>
      <c r="I1726" t="s">
        <v>1538</v>
      </c>
      <c r="J1726" t="s">
        <v>1539</v>
      </c>
      <c r="K1726" t="s">
        <v>1538</v>
      </c>
      <c r="L1726" t="s">
        <v>856</v>
      </c>
      <c r="M1726" s="1" t="str">
        <f t="shared" si="184"/>
        <v>15B405</v>
      </c>
      <c r="N1726" s="1" t="str">
        <f t="shared" si="185"/>
        <v>C/O</v>
      </c>
      <c r="O1726" s="1" t="str">
        <f t="shared" si="186"/>
        <v>Engine LH Cooling Fan Motor</v>
      </c>
      <c r="P1726" s="1" t="str">
        <f t="shared" si="187"/>
        <v>6P60</v>
      </c>
      <c r="Q1726" s="2" t="str">
        <f t="shared" si="188"/>
        <v>6P60Engine LH Cooling Fan Motor</v>
      </c>
      <c r="R1726" s="2" t="str">
        <f>New_Xref[[#This Row],[Serial Prefix]]&amp;IF(New_Xref[[#This Row],[Func Loc]]&lt;&gt;"",New_Xref[[#This Row],[Func Loc]],"NO MATCH")</f>
        <v>6P60MYHD .MOTO.EFML</v>
      </c>
      <c r="S1726" s="3" t="str">
        <f t="shared" si="183"/>
        <v>6P60Engine LH Cooling Fan Motor</v>
      </c>
      <c r="T1726" s="3" t="s">
        <v>1535</v>
      </c>
      <c r="U1726" s="3" t="s">
        <v>108</v>
      </c>
      <c r="V1726" t="str">
        <f t="shared" si="182"/>
        <v>89CSLT</v>
      </c>
    </row>
    <row r="1727" spans="1:22">
      <c r="A1727" t="s">
        <v>1086</v>
      </c>
      <c r="B1727" t="s">
        <v>1102</v>
      </c>
      <c r="I1727" t="s">
        <v>1540</v>
      </c>
      <c r="J1727" t="s">
        <v>1541</v>
      </c>
      <c r="K1727" t="s">
        <v>1540</v>
      </c>
      <c r="L1727" t="s">
        <v>859</v>
      </c>
      <c r="M1727" s="1" t="str">
        <f t="shared" si="184"/>
        <v>15B405</v>
      </c>
      <c r="N1727" s="1" t="str">
        <f t="shared" si="185"/>
        <v>C/O</v>
      </c>
      <c r="O1727" s="1" t="str">
        <f t="shared" si="186"/>
        <v>Engine RH Cooling Fan Motor</v>
      </c>
      <c r="P1727" s="1" t="str">
        <f t="shared" si="187"/>
        <v>6P60</v>
      </c>
      <c r="Q1727" s="2" t="str">
        <f t="shared" si="188"/>
        <v>6P60Engine RH Cooling Fan Motor</v>
      </c>
      <c r="R1727" s="2" t="str">
        <f>New_Xref[[#This Row],[Serial Prefix]]&amp;IF(New_Xref[[#This Row],[Func Loc]]&lt;&gt;"",New_Xref[[#This Row],[Func Loc]],"NO MATCH")</f>
        <v>6P60MYHD .MOTO.EFMR</v>
      </c>
      <c r="S1727" s="3" t="str">
        <f t="shared" si="183"/>
        <v>6P60Engine RH Cooling Fan Motor</v>
      </c>
      <c r="T1727" s="3" t="s">
        <v>1535</v>
      </c>
      <c r="U1727" s="3" t="s">
        <v>115</v>
      </c>
      <c r="V1727" t="str">
        <f t="shared" si="182"/>
        <v>89CSRI</v>
      </c>
    </row>
    <row r="1728" spans="1:22">
      <c r="A1728" t="s">
        <v>1086</v>
      </c>
      <c r="B1728" t="s">
        <v>1087</v>
      </c>
      <c r="C1728" t="s">
        <v>1378</v>
      </c>
      <c r="D1728" t="s">
        <v>1379</v>
      </c>
      <c r="E1728" t="s">
        <v>6335</v>
      </c>
      <c r="F1728" t="s">
        <v>27</v>
      </c>
      <c r="G1728">
        <v>1</v>
      </c>
      <c r="H1728" t="s">
        <v>6336</v>
      </c>
      <c r="I1728" t="s">
        <v>6337</v>
      </c>
      <c r="J1728" t="s">
        <v>1386</v>
      </c>
      <c r="K1728" t="s">
        <v>1387</v>
      </c>
      <c r="L1728" t="s">
        <v>6338</v>
      </c>
      <c r="M1728" s="1" t="str">
        <f t="shared" si="184"/>
        <v>15B290</v>
      </c>
      <c r="N1728" s="1" t="str">
        <f t="shared" si="185"/>
        <v>C/O</v>
      </c>
      <c r="O1728" s="1" t="str">
        <f t="shared" si="186"/>
        <v>Main Hydraulic Pump 3 &amp; 4</v>
      </c>
      <c r="P1728" s="1" t="str">
        <f t="shared" si="187"/>
        <v>6D60</v>
      </c>
      <c r="Q1728" s="2" t="str">
        <f t="shared" si="188"/>
        <v>6D60Main Hydraulic Pump 3 &amp; 4</v>
      </c>
      <c r="R1728" s="2" t="str">
        <f>New_Xref[[#This Row],[Serial Prefix]]&amp;IF(New_Xref[[#This Row],[Func Loc]]&lt;&gt;"",New_Xref[[#This Row],[Func Loc]],"NO MATCH")</f>
        <v>6D60MYHD .PUMP.MP34</v>
      </c>
      <c r="S1728" s="3" t="str">
        <f t="shared" si="183"/>
        <v>6D6020R2009Main Hydraulic Pump 3 &amp; 4</v>
      </c>
      <c r="T1728" s="3" t="s">
        <v>371</v>
      </c>
      <c r="U1728" s="3" t="s">
        <v>92</v>
      </c>
      <c r="V1728" t="str">
        <f t="shared" si="182"/>
        <v>5084RF</v>
      </c>
    </row>
    <row r="1729" spans="1:22">
      <c r="A1729" t="s">
        <v>1086</v>
      </c>
      <c r="B1729" t="s">
        <v>1087</v>
      </c>
      <c r="C1729" t="s">
        <v>1378</v>
      </c>
      <c r="D1729" t="s">
        <v>1379</v>
      </c>
      <c r="E1729" t="s">
        <v>6335</v>
      </c>
      <c r="F1729" t="s">
        <v>27</v>
      </c>
      <c r="G1729">
        <v>1</v>
      </c>
      <c r="H1729" t="s">
        <v>6336</v>
      </c>
      <c r="I1729" t="s">
        <v>6339</v>
      </c>
      <c r="J1729" t="s">
        <v>1392</v>
      </c>
      <c r="K1729" t="s">
        <v>1393</v>
      </c>
      <c r="L1729" t="s">
        <v>6340</v>
      </c>
      <c r="M1729" s="1" t="str">
        <f t="shared" si="184"/>
        <v>15B290</v>
      </c>
      <c r="N1729" s="1" t="str">
        <f t="shared" si="185"/>
        <v>C/O</v>
      </c>
      <c r="O1729" s="1" t="str">
        <f t="shared" si="186"/>
        <v>Main Hydraulic Pump 7 &amp; 8</v>
      </c>
      <c r="P1729" s="1" t="str">
        <f t="shared" si="187"/>
        <v>6D60</v>
      </c>
      <c r="Q1729" s="2" t="str">
        <f t="shared" si="188"/>
        <v>6D60Main Hydraulic Pump 7 &amp; 8</v>
      </c>
      <c r="R1729" s="2" t="str">
        <f>New_Xref[[#This Row],[Serial Prefix]]&amp;IF(New_Xref[[#This Row],[Func Loc]]&lt;&gt;"",New_Xref[[#This Row],[Func Loc]],"NO MATCH")</f>
        <v>6D60MYHD .PUMP.MP78</v>
      </c>
      <c r="S1729" s="3" t="str">
        <f t="shared" si="183"/>
        <v>6D6020R2009Main Hydraulic Pump 7 &amp; 8</v>
      </c>
      <c r="T1729" s="3" t="s">
        <v>371</v>
      </c>
      <c r="U1729" s="3" t="s">
        <v>96</v>
      </c>
      <c r="V1729" t="str">
        <f t="shared" si="182"/>
        <v>5084LR</v>
      </c>
    </row>
    <row r="1730" spans="1:22">
      <c r="A1730" t="s">
        <v>1086</v>
      </c>
      <c r="B1730" t="s">
        <v>1087</v>
      </c>
      <c r="C1730" t="s">
        <v>1378</v>
      </c>
      <c r="D1730" t="s">
        <v>1379</v>
      </c>
      <c r="E1730" t="s">
        <v>6335</v>
      </c>
      <c r="F1730" t="s">
        <v>27</v>
      </c>
      <c r="G1730">
        <v>1</v>
      </c>
      <c r="H1730" t="s">
        <v>6336</v>
      </c>
      <c r="I1730" t="s">
        <v>6341</v>
      </c>
      <c r="J1730" t="s">
        <v>1383</v>
      </c>
      <c r="K1730" t="s">
        <v>1384</v>
      </c>
      <c r="L1730" t="s">
        <v>6342</v>
      </c>
      <c r="M1730" s="1" t="str">
        <f t="shared" si="184"/>
        <v>15B290</v>
      </c>
      <c r="N1730" s="1" t="str">
        <f t="shared" si="185"/>
        <v>C/O</v>
      </c>
      <c r="O1730" s="1" t="str">
        <f t="shared" si="186"/>
        <v>Main Hydraulic Pump 1 &amp; 2</v>
      </c>
      <c r="P1730" s="1" t="str">
        <f t="shared" si="187"/>
        <v>6D60</v>
      </c>
      <c r="Q1730" s="2" t="str">
        <f t="shared" si="188"/>
        <v>6D60Main Hydraulic Pump 1 &amp; 2</v>
      </c>
      <c r="R1730" s="2" t="str">
        <f>New_Xref[[#This Row],[Serial Prefix]]&amp;IF(New_Xref[[#This Row],[Func Loc]]&lt;&gt;"",New_Xref[[#This Row],[Func Loc]],"NO MATCH")</f>
        <v>6D60MYHD .PUMP.MP12</v>
      </c>
      <c r="S1730" s="3" t="str">
        <f t="shared" si="183"/>
        <v>6D6020R2009Main Hydraulic Pump 1 &amp; 2</v>
      </c>
      <c r="T1730" s="3" t="s">
        <v>371</v>
      </c>
      <c r="U1730" s="3" t="s">
        <v>89</v>
      </c>
      <c r="V1730" t="str">
        <f t="shared" ref="V1730:V1793" si="189">LEFT(T1730,FIND(" -",T1730,1)-1)&amp;LEFT(U1730,FIND(" -",U1730,1)-1)</f>
        <v>5084LF</v>
      </c>
    </row>
    <row r="1731" spans="1:22">
      <c r="A1731" t="s">
        <v>1086</v>
      </c>
      <c r="B1731" t="s">
        <v>1087</v>
      </c>
      <c r="C1731" t="s">
        <v>1378</v>
      </c>
      <c r="D1731" t="s">
        <v>1379</v>
      </c>
      <c r="E1731" t="s">
        <v>6335</v>
      </c>
      <c r="F1731" t="s">
        <v>27</v>
      </c>
      <c r="G1731">
        <v>1</v>
      </c>
      <c r="H1731" t="s">
        <v>6336</v>
      </c>
      <c r="I1731" t="s">
        <v>6343</v>
      </c>
      <c r="J1731" t="s">
        <v>1389</v>
      </c>
      <c r="K1731" t="s">
        <v>1390</v>
      </c>
      <c r="L1731" t="s">
        <v>6344</v>
      </c>
      <c r="M1731" s="1" t="str">
        <f t="shared" si="184"/>
        <v>15B290</v>
      </c>
      <c r="N1731" s="1" t="str">
        <f t="shared" si="185"/>
        <v>C/O</v>
      </c>
      <c r="O1731" s="1" t="str">
        <f t="shared" si="186"/>
        <v>Main Hydraulic Pump 5 &amp; 6</v>
      </c>
      <c r="P1731" s="1" t="str">
        <f t="shared" si="187"/>
        <v>6D60</v>
      </c>
      <c r="Q1731" s="2" t="str">
        <f t="shared" si="188"/>
        <v>6D60Main Hydraulic Pump 5 &amp; 6</v>
      </c>
      <c r="R1731" s="2" t="str">
        <f>New_Xref[[#This Row],[Serial Prefix]]&amp;IF(New_Xref[[#This Row],[Func Loc]]&lt;&gt;"",New_Xref[[#This Row],[Func Loc]],"NO MATCH")</f>
        <v>6D60MYHD .PUMP.MP56</v>
      </c>
      <c r="S1731" s="3" t="str">
        <f t="shared" ref="S1731:S1793" si="190">P1731&amp;D1731&amp;O1731</f>
        <v>6D6020R2009Main Hydraulic Pump 5 &amp; 6</v>
      </c>
      <c r="T1731" s="3" t="s">
        <v>371</v>
      </c>
      <c r="U1731" s="3" t="s">
        <v>99</v>
      </c>
      <c r="V1731" t="str">
        <f t="shared" si="189"/>
        <v>5084RR</v>
      </c>
    </row>
    <row r="1732" spans="1:22">
      <c r="A1732" t="s">
        <v>1086</v>
      </c>
      <c r="B1732" t="s">
        <v>1102</v>
      </c>
      <c r="C1732" t="s">
        <v>1378</v>
      </c>
      <c r="D1732" t="s">
        <v>1379</v>
      </c>
      <c r="E1732" t="s">
        <v>6335</v>
      </c>
      <c r="F1732" t="s">
        <v>27</v>
      </c>
      <c r="G1732">
        <v>1</v>
      </c>
      <c r="H1732" t="s">
        <v>6336</v>
      </c>
      <c r="I1732" t="s">
        <v>6345</v>
      </c>
      <c r="J1732" t="s">
        <v>1395</v>
      </c>
      <c r="K1732" t="s">
        <v>1396</v>
      </c>
      <c r="L1732" t="s">
        <v>6342</v>
      </c>
      <c r="M1732" s="1" t="str">
        <f t="shared" ref="M1732:M1793" si="191">LEFT(K1732,FIND(" ",K1732,1)-1)</f>
        <v>15B405</v>
      </c>
      <c r="N1732" s="1" t="str">
        <f t="shared" ref="N1732:N1793" si="192">MID(K1732,LEN(M1732)+2,FIND(" ",K1732,LEN(M1732)+2)-LEN(M1732)-2)</f>
        <v>C/O</v>
      </c>
      <c r="O1732" s="1" t="str">
        <f t="shared" ref="O1732:O1793" si="193">MID(K1732,FIND(N1732,K1732,1)+LEN(N1732)+1, 150)</f>
        <v>Main Hydraulic Pump 1 &amp; 2</v>
      </c>
      <c r="P1732" s="1" t="str">
        <f t="shared" ref="P1732:P1793" si="194">LEFT(B1732,4)</f>
        <v>6P60</v>
      </c>
      <c r="Q1732" s="2" t="str">
        <f t="shared" ref="Q1732:Q1793" si="195">P1732&amp;O1732</f>
        <v>6P60Main Hydraulic Pump 1 &amp; 2</v>
      </c>
      <c r="R1732" s="2" t="str">
        <f>New_Xref[[#This Row],[Serial Prefix]]&amp;IF(New_Xref[[#This Row],[Func Loc]]&lt;&gt;"",New_Xref[[#This Row],[Func Loc]],"NO MATCH")</f>
        <v>6P60MYHD .PUMP.MP12</v>
      </c>
      <c r="S1732" s="3" t="str">
        <f t="shared" si="190"/>
        <v>6P6020R2009Main Hydraulic Pump 1 &amp; 2</v>
      </c>
      <c r="T1732" s="3" t="s">
        <v>371</v>
      </c>
      <c r="U1732" s="3" t="s">
        <v>89</v>
      </c>
      <c r="V1732" t="str">
        <f t="shared" si="189"/>
        <v>5084LF</v>
      </c>
    </row>
    <row r="1733" spans="1:22">
      <c r="A1733" t="s">
        <v>1086</v>
      </c>
      <c r="B1733" t="s">
        <v>1102</v>
      </c>
      <c r="C1733" t="s">
        <v>1378</v>
      </c>
      <c r="D1733" t="s">
        <v>1379</v>
      </c>
      <c r="E1733" t="s">
        <v>6335</v>
      </c>
      <c r="F1733" t="s">
        <v>27</v>
      </c>
      <c r="G1733">
        <v>1</v>
      </c>
      <c r="H1733" t="s">
        <v>6336</v>
      </c>
      <c r="I1733" t="s">
        <v>6346</v>
      </c>
      <c r="J1733" t="s">
        <v>1398</v>
      </c>
      <c r="K1733" t="s">
        <v>1399</v>
      </c>
      <c r="L1733" t="s">
        <v>6338</v>
      </c>
      <c r="M1733" s="1" t="str">
        <f t="shared" si="191"/>
        <v>15B405</v>
      </c>
      <c r="N1733" s="1" t="str">
        <f t="shared" si="192"/>
        <v>C/O</v>
      </c>
      <c r="O1733" s="1" t="str">
        <f t="shared" si="193"/>
        <v>Main Hydraulic Pump 3 &amp; 4</v>
      </c>
      <c r="P1733" s="1" t="str">
        <f t="shared" si="194"/>
        <v>6P60</v>
      </c>
      <c r="Q1733" s="2" t="str">
        <f t="shared" si="195"/>
        <v>6P60Main Hydraulic Pump 3 &amp; 4</v>
      </c>
      <c r="R1733" s="2" t="str">
        <f>New_Xref[[#This Row],[Serial Prefix]]&amp;IF(New_Xref[[#This Row],[Func Loc]]&lt;&gt;"",New_Xref[[#This Row],[Func Loc]],"NO MATCH")</f>
        <v>6P60MYHD .PUMP.MP34</v>
      </c>
      <c r="S1733" s="3" t="str">
        <f t="shared" si="190"/>
        <v>6P6020R2009Main Hydraulic Pump 3 &amp; 4</v>
      </c>
      <c r="T1733" s="3" t="s">
        <v>371</v>
      </c>
      <c r="U1733" s="3" t="s">
        <v>92</v>
      </c>
      <c r="V1733" t="str">
        <f t="shared" si="189"/>
        <v>5084RF</v>
      </c>
    </row>
    <row r="1734" spans="1:22">
      <c r="A1734" t="s">
        <v>1086</v>
      </c>
      <c r="B1734" t="s">
        <v>1102</v>
      </c>
      <c r="C1734" t="s">
        <v>1378</v>
      </c>
      <c r="D1734" t="s">
        <v>1379</v>
      </c>
      <c r="E1734" t="s">
        <v>6335</v>
      </c>
      <c r="F1734" t="s">
        <v>27</v>
      </c>
      <c r="G1734">
        <v>1</v>
      </c>
      <c r="H1734" t="s">
        <v>6336</v>
      </c>
      <c r="I1734" t="s">
        <v>6347</v>
      </c>
      <c r="J1734" t="s">
        <v>1401</v>
      </c>
      <c r="K1734" t="s">
        <v>1402</v>
      </c>
      <c r="L1734" t="s">
        <v>6344</v>
      </c>
      <c r="M1734" s="1" t="str">
        <f t="shared" si="191"/>
        <v>15B405</v>
      </c>
      <c r="N1734" s="1" t="str">
        <f t="shared" si="192"/>
        <v>C/O</v>
      </c>
      <c r="O1734" s="1" t="str">
        <f t="shared" si="193"/>
        <v>Main Hydraulic Pump 5 &amp; 6</v>
      </c>
      <c r="P1734" s="1" t="str">
        <f t="shared" si="194"/>
        <v>6P60</v>
      </c>
      <c r="Q1734" s="2" t="str">
        <f t="shared" si="195"/>
        <v>6P60Main Hydraulic Pump 5 &amp; 6</v>
      </c>
      <c r="R1734" s="2" t="str">
        <f>New_Xref[[#This Row],[Serial Prefix]]&amp;IF(New_Xref[[#This Row],[Func Loc]]&lt;&gt;"",New_Xref[[#This Row],[Func Loc]],"NO MATCH")</f>
        <v>6P60MYHD .PUMP.MP56</v>
      </c>
      <c r="S1734" s="3" t="str">
        <f t="shared" si="190"/>
        <v>6P6020R2009Main Hydraulic Pump 5 &amp; 6</v>
      </c>
      <c r="T1734" s="3" t="s">
        <v>371</v>
      </c>
      <c r="U1734" s="3" t="s">
        <v>99</v>
      </c>
      <c r="V1734" t="str">
        <f t="shared" si="189"/>
        <v>5084RR</v>
      </c>
    </row>
    <row r="1735" spans="1:22">
      <c r="A1735" t="s">
        <v>1086</v>
      </c>
      <c r="B1735" t="s">
        <v>1102</v>
      </c>
      <c r="C1735" t="s">
        <v>1378</v>
      </c>
      <c r="D1735" t="s">
        <v>1379</v>
      </c>
      <c r="E1735" t="s">
        <v>6335</v>
      </c>
      <c r="F1735" t="s">
        <v>27</v>
      </c>
      <c r="G1735">
        <v>1</v>
      </c>
      <c r="H1735" t="s">
        <v>6336</v>
      </c>
      <c r="I1735" t="s">
        <v>6348</v>
      </c>
      <c r="J1735" t="s">
        <v>1404</v>
      </c>
      <c r="K1735" t="s">
        <v>1405</v>
      </c>
      <c r="L1735" t="s">
        <v>6340</v>
      </c>
      <c r="M1735" s="1" t="str">
        <f t="shared" si="191"/>
        <v>15B405</v>
      </c>
      <c r="N1735" s="1" t="str">
        <f t="shared" si="192"/>
        <v>C/O</v>
      </c>
      <c r="O1735" s="1" t="str">
        <f t="shared" si="193"/>
        <v>Main Hydraulic Pump 7 &amp; 8</v>
      </c>
      <c r="P1735" s="1" t="str">
        <f t="shared" si="194"/>
        <v>6P60</v>
      </c>
      <c r="Q1735" s="2" t="str">
        <f t="shared" si="195"/>
        <v>6P60Main Hydraulic Pump 7 &amp; 8</v>
      </c>
      <c r="R1735" s="2" t="str">
        <f>New_Xref[[#This Row],[Serial Prefix]]&amp;IF(New_Xref[[#This Row],[Func Loc]]&lt;&gt;"",New_Xref[[#This Row],[Func Loc]],"NO MATCH")</f>
        <v>6P60MYHD .PUMP.MP78</v>
      </c>
      <c r="S1735" s="3" t="str">
        <f t="shared" si="190"/>
        <v>6P6020R2009Main Hydraulic Pump 7 &amp; 8</v>
      </c>
      <c r="T1735" s="3" t="s">
        <v>371</v>
      </c>
      <c r="U1735" s="3" t="s">
        <v>96</v>
      </c>
      <c r="V1735" t="str">
        <f t="shared" si="189"/>
        <v>5084LR</v>
      </c>
    </row>
    <row r="1736" spans="1:22">
      <c r="A1736" t="s">
        <v>2204</v>
      </c>
      <c r="B1736" t="s">
        <v>2344</v>
      </c>
      <c r="I1736" t="s">
        <v>6349</v>
      </c>
      <c r="K1736" t="s">
        <v>6349</v>
      </c>
      <c r="L1736" t="s">
        <v>739</v>
      </c>
      <c r="M1736" s="1" t="str">
        <f t="shared" si="191"/>
        <v>06H59</v>
      </c>
      <c r="N1736" s="1" t="str">
        <f t="shared" si="192"/>
        <v>C/O</v>
      </c>
      <c r="O1736" s="1" t="str">
        <f t="shared" si="193"/>
        <v>Water Pump Main</v>
      </c>
      <c r="P1736" s="1" t="str">
        <f t="shared" si="194"/>
        <v>JXP0</v>
      </c>
      <c r="Q1736" s="2" t="str">
        <f t="shared" si="195"/>
        <v>JXP0Water Pump Main</v>
      </c>
      <c r="R1736" s="2" t="str">
        <f>New_Xref[[#This Row],[Serial Prefix]]&amp;IF(New_Xref[[#This Row],[Func Loc]]&lt;&gt;"",New_Xref[[#This Row],[Func Loc]],"NO MATCH")</f>
        <v>JXP0ENGD .WAPU.WP01</v>
      </c>
      <c r="S1736" s="3" t="str">
        <f t="shared" si="190"/>
        <v>JXP0Water Pump Main</v>
      </c>
      <c r="T1736" t="s">
        <v>183</v>
      </c>
      <c r="U1736" t="s">
        <v>34</v>
      </c>
      <c r="V1736" t="str">
        <f t="shared" si="189"/>
        <v>136100</v>
      </c>
    </row>
    <row r="1737" spans="1:22">
      <c r="A1737" t="s">
        <v>1086</v>
      </c>
      <c r="B1737" t="s">
        <v>1087</v>
      </c>
      <c r="C1737" t="s">
        <v>2697</v>
      </c>
      <c r="D1737" t="s">
        <v>2698</v>
      </c>
      <c r="E1737" t="s">
        <v>6350</v>
      </c>
      <c r="F1737" t="s">
        <v>27</v>
      </c>
      <c r="G1737">
        <v>1</v>
      </c>
      <c r="H1737" t="s">
        <v>6351</v>
      </c>
      <c r="I1737" t="s">
        <v>6352</v>
      </c>
      <c r="J1737" t="s">
        <v>6353</v>
      </c>
      <c r="K1737" t="s">
        <v>6354</v>
      </c>
      <c r="L1737" t="s">
        <v>6355</v>
      </c>
      <c r="M1737" s="1" t="str">
        <f t="shared" si="191"/>
        <v>15B290</v>
      </c>
      <c r="N1737" s="1" t="str">
        <f t="shared" si="192"/>
        <v>C/O</v>
      </c>
      <c r="O1737" s="1" t="str">
        <f t="shared" si="193"/>
        <v>Engine RH Water Pump</v>
      </c>
      <c r="P1737" s="1" t="str">
        <f t="shared" si="194"/>
        <v>6D60</v>
      </c>
      <c r="Q1737" s="2" t="str">
        <f t="shared" si="195"/>
        <v>6D60Engine RH Water Pump</v>
      </c>
      <c r="R1737" s="2" t="str">
        <f>New_Xref[[#This Row],[Serial Prefix]]&amp;IF(New_Xref[[#This Row],[Func Loc]]&lt;&gt;"",New_Xref[[#This Row],[Func Loc]],"NO MATCH")</f>
        <v>6D60ENG2 .WAPU.WAPM</v>
      </c>
      <c r="S1737" s="3" t="str">
        <f t="shared" si="190"/>
        <v>6D6010R1669Engine RH Water Pump</v>
      </c>
      <c r="T1737" s="3" t="s">
        <v>183</v>
      </c>
      <c r="U1737" s="3" t="s">
        <v>115</v>
      </c>
      <c r="V1737" t="str">
        <f t="shared" si="189"/>
        <v>1361RI</v>
      </c>
    </row>
    <row r="1738" spans="1:22">
      <c r="A1738" t="s">
        <v>1086</v>
      </c>
      <c r="B1738" t="s">
        <v>1087</v>
      </c>
      <c r="C1738" t="s">
        <v>2697</v>
      </c>
      <c r="D1738" t="s">
        <v>2698</v>
      </c>
      <c r="E1738" t="s">
        <v>6350</v>
      </c>
      <c r="F1738" t="s">
        <v>27</v>
      </c>
      <c r="G1738">
        <v>1</v>
      </c>
      <c r="H1738" t="s">
        <v>6351</v>
      </c>
      <c r="I1738" t="s">
        <v>6356</v>
      </c>
      <c r="J1738" t="s">
        <v>6357</v>
      </c>
      <c r="K1738" t="s">
        <v>6358</v>
      </c>
      <c r="L1738" t="s">
        <v>6359</v>
      </c>
      <c r="M1738" s="1" t="str">
        <f t="shared" si="191"/>
        <v>15B290</v>
      </c>
      <c r="N1738" s="1" t="str">
        <f t="shared" si="192"/>
        <v>C/O</v>
      </c>
      <c r="O1738" s="1" t="str">
        <f t="shared" si="193"/>
        <v>Engine LH Water Pump</v>
      </c>
      <c r="P1738" s="1" t="str">
        <f t="shared" si="194"/>
        <v>6D60</v>
      </c>
      <c r="Q1738" s="2" t="str">
        <f t="shared" si="195"/>
        <v>6D60Engine LH Water Pump</v>
      </c>
      <c r="R1738" s="2" t="str">
        <f>New_Xref[[#This Row],[Serial Prefix]]&amp;IF(New_Xref[[#This Row],[Func Loc]]&lt;&gt;"",New_Xref[[#This Row],[Func Loc]],"NO MATCH")</f>
        <v>6D60ENG1 .WAPU.WAPM</v>
      </c>
      <c r="S1738" s="3" t="str">
        <f t="shared" si="190"/>
        <v>6D6010R1669Engine LH Water Pump</v>
      </c>
      <c r="T1738" s="3" t="s">
        <v>183</v>
      </c>
      <c r="U1738" s="3" t="s">
        <v>108</v>
      </c>
      <c r="V1738" t="str">
        <f t="shared" si="189"/>
        <v>1361LT</v>
      </c>
    </row>
    <row r="1739" spans="1:22">
      <c r="A1739" t="s">
        <v>1086</v>
      </c>
      <c r="B1739" t="s">
        <v>1102</v>
      </c>
      <c r="C1739" t="s">
        <v>2697</v>
      </c>
      <c r="D1739" t="s">
        <v>2698</v>
      </c>
      <c r="E1739" t="s">
        <v>6350</v>
      </c>
      <c r="F1739" t="s">
        <v>27</v>
      </c>
      <c r="G1739">
        <v>1</v>
      </c>
      <c r="H1739" t="s">
        <v>6351</v>
      </c>
      <c r="I1739" t="s">
        <v>6360</v>
      </c>
      <c r="J1739" t="s">
        <v>6361</v>
      </c>
      <c r="K1739" t="s">
        <v>6362</v>
      </c>
      <c r="L1739" t="s">
        <v>6359</v>
      </c>
      <c r="M1739" s="1" t="str">
        <f t="shared" si="191"/>
        <v>15B405</v>
      </c>
      <c r="N1739" s="1" t="str">
        <f t="shared" si="192"/>
        <v>C/O</v>
      </c>
      <c r="O1739" s="1" t="str">
        <f t="shared" si="193"/>
        <v>Engine LH Water Pump</v>
      </c>
      <c r="P1739" s="1" t="str">
        <f t="shared" si="194"/>
        <v>6P60</v>
      </c>
      <c r="Q1739" s="2" t="str">
        <f t="shared" si="195"/>
        <v>6P60Engine LH Water Pump</v>
      </c>
      <c r="R1739" s="2" t="str">
        <f>New_Xref[[#This Row],[Serial Prefix]]&amp;IF(New_Xref[[#This Row],[Func Loc]]&lt;&gt;"",New_Xref[[#This Row],[Func Loc]],"NO MATCH")</f>
        <v>6P60ENG1 .WAPU.WAPM</v>
      </c>
      <c r="S1739" s="3" t="str">
        <f t="shared" si="190"/>
        <v>6P6010R1669Engine LH Water Pump</v>
      </c>
      <c r="T1739" s="3" t="s">
        <v>183</v>
      </c>
      <c r="U1739" s="3" t="s">
        <v>108</v>
      </c>
      <c r="V1739" t="str">
        <f t="shared" si="189"/>
        <v>1361LT</v>
      </c>
    </row>
    <row r="1740" spans="1:22">
      <c r="A1740" t="s">
        <v>1086</v>
      </c>
      <c r="B1740" t="s">
        <v>1102</v>
      </c>
      <c r="C1740" t="s">
        <v>2697</v>
      </c>
      <c r="D1740" t="s">
        <v>2698</v>
      </c>
      <c r="E1740" t="s">
        <v>6350</v>
      </c>
      <c r="F1740" t="s">
        <v>27</v>
      </c>
      <c r="G1740">
        <v>1</v>
      </c>
      <c r="H1740" t="s">
        <v>6351</v>
      </c>
      <c r="I1740" t="s">
        <v>6363</v>
      </c>
      <c r="J1740" t="s">
        <v>6364</v>
      </c>
      <c r="K1740" t="s">
        <v>6365</v>
      </c>
      <c r="L1740" t="s">
        <v>6355</v>
      </c>
      <c r="M1740" s="1" t="str">
        <f t="shared" si="191"/>
        <v>15B405</v>
      </c>
      <c r="N1740" s="1" t="str">
        <f t="shared" si="192"/>
        <v>C/O</v>
      </c>
      <c r="O1740" s="1" t="str">
        <f t="shared" si="193"/>
        <v>Engine RH Water Pump</v>
      </c>
      <c r="P1740" s="1" t="str">
        <f t="shared" si="194"/>
        <v>6P60</v>
      </c>
      <c r="Q1740" s="2" t="str">
        <f t="shared" si="195"/>
        <v>6P60Engine RH Water Pump</v>
      </c>
      <c r="R1740" s="2" t="str">
        <f>New_Xref[[#This Row],[Serial Prefix]]&amp;IF(New_Xref[[#This Row],[Func Loc]]&lt;&gt;"",New_Xref[[#This Row],[Func Loc]],"NO MATCH")</f>
        <v>6P60ENG2 .WAPU.WAPM</v>
      </c>
      <c r="S1740" s="3" t="str">
        <f t="shared" si="190"/>
        <v>6P6010R1669Engine RH Water Pump</v>
      </c>
      <c r="T1740" s="3" t="s">
        <v>183</v>
      </c>
      <c r="U1740" s="3" t="s">
        <v>115</v>
      </c>
      <c r="V1740" t="str">
        <f t="shared" si="189"/>
        <v>1361RI</v>
      </c>
    </row>
    <row r="1741" spans="1:22">
      <c r="A1741" t="s">
        <v>4941</v>
      </c>
      <c r="B1741" t="s">
        <v>4942</v>
      </c>
      <c r="H1741" t="s">
        <v>6366</v>
      </c>
      <c r="I1741" t="s">
        <v>6367</v>
      </c>
      <c r="J1741" t="s">
        <v>6368</v>
      </c>
      <c r="K1741" t="s">
        <v>6369</v>
      </c>
      <c r="L1741" t="s">
        <v>219</v>
      </c>
      <c r="M1741" s="1" t="str">
        <f t="shared" si="191"/>
        <v>08D367</v>
      </c>
      <c r="N1741" s="1" t="str">
        <f t="shared" si="192"/>
        <v>C/O</v>
      </c>
      <c r="O1741" s="1" t="str">
        <f t="shared" si="193"/>
        <v>Main Hydraulic Pump</v>
      </c>
      <c r="P1741" s="1" t="str">
        <f t="shared" si="194"/>
        <v>KSN0</v>
      </c>
      <c r="Q1741" s="2" t="str">
        <f t="shared" si="195"/>
        <v>KSN0Main Hydraulic Pump</v>
      </c>
      <c r="R1741" s="2" t="str">
        <f>New_Xref[[#This Row],[Serial Prefix]]&amp;IF(New_Xref[[#This Row],[Func Loc]]&lt;&gt;"",New_Xref[[#This Row],[Func Loc]],"NO MATCH")</f>
        <v>KSN0MYHD .PUMP.MAHP</v>
      </c>
      <c r="S1741" s="3" t="str">
        <f t="shared" si="190"/>
        <v>KSN0Main Hydraulic Pump</v>
      </c>
      <c r="T1741" s="3" t="s">
        <v>503</v>
      </c>
      <c r="U1741" s="3" t="s">
        <v>34</v>
      </c>
      <c r="V1741" t="str">
        <f t="shared" si="189"/>
        <v>507300</v>
      </c>
    </row>
    <row r="1742" spans="1:22">
      <c r="A1742" t="s">
        <v>22</v>
      </c>
      <c r="B1742" t="s">
        <v>23</v>
      </c>
      <c r="I1742" t="s">
        <v>6370</v>
      </c>
      <c r="K1742" t="s">
        <v>6370</v>
      </c>
      <c r="L1742" t="s">
        <v>129</v>
      </c>
      <c r="M1742" s="1" t="str">
        <f t="shared" si="191"/>
        <v>12W566</v>
      </c>
      <c r="N1742" s="1" t="str">
        <f t="shared" si="192"/>
        <v>C/O</v>
      </c>
      <c r="O1742" s="1" t="str">
        <f t="shared" si="193"/>
        <v>Blade Lift Cylinder LH</v>
      </c>
      <c r="P1742" s="1" t="str">
        <f t="shared" si="194"/>
        <v>F520</v>
      </c>
      <c r="Q1742" s="2" t="str">
        <f t="shared" si="195"/>
        <v>F520Blade Lift Cylinder LH</v>
      </c>
      <c r="R1742" s="2" t="str">
        <f>New_Xref[[#This Row],[Serial Prefix]]&amp;IF(New_Xref[[#This Row],[Func Loc]]&lt;&gt;"",New_Xref[[#This Row],[Func Loc]],"NO MATCH")</f>
        <v>F520MYHD .CYLI.BLLL</v>
      </c>
      <c r="S1742" s="3" t="str">
        <f t="shared" si="190"/>
        <v>F520Blade Lift Cylinder LH</v>
      </c>
      <c r="T1742" t="s">
        <v>130</v>
      </c>
      <c r="U1742" t="s">
        <v>108</v>
      </c>
      <c r="V1742" t="str">
        <f t="shared" si="189"/>
        <v>5102LT</v>
      </c>
    </row>
    <row r="1743" spans="1:22">
      <c r="A1743" t="s">
        <v>22</v>
      </c>
      <c r="B1743" t="s">
        <v>23</v>
      </c>
      <c r="I1743" t="s">
        <v>6371</v>
      </c>
      <c r="K1743" t="s">
        <v>6371</v>
      </c>
      <c r="L1743" t="s">
        <v>133</v>
      </c>
      <c r="M1743" s="1" t="str">
        <f t="shared" si="191"/>
        <v>12W566</v>
      </c>
      <c r="N1743" s="1" t="str">
        <f t="shared" si="192"/>
        <v>C/O</v>
      </c>
      <c r="O1743" s="1" t="str">
        <f t="shared" si="193"/>
        <v>Blade Lift Cylinder RH</v>
      </c>
      <c r="P1743" s="1" t="str">
        <f t="shared" si="194"/>
        <v>F520</v>
      </c>
      <c r="Q1743" s="2" t="str">
        <f t="shared" si="195"/>
        <v>F520Blade Lift Cylinder RH</v>
      </c>
      <c r="R1743" s="2" t="str">
        <f>New_Xref[[#This Row],[Serial Prefix]]&amp;IF(New_Xref[[#This Row],[Func Loc]]&lt;&gt;"",New_Xref[[#This Row],[Func Loc]],"NO MATCH")</f>
        <v>F520MYHD .CYLI.BLLR</v>
      </c>
      <c r="S1743" s="3" t="str">
        <f t="shared" si="190"/>
        <v>F520Blade Lift Cylinder RH</v>
      </c>
      <c r="T1743" t="s">
        <v>130</v>
      </c>
      <c r="U1743" t="s">
        <v>115</v>
      </c>
      <c r="V1743" t="str">
        <f t="shared" si="189"/>
        <v>5102RI</v>
      </c>
    </row>
    <row r="1744" spans="1:22">
      <c r="A1744" t="s">
        <v>155</v>
      </c>
      <c r="B1744" t="s">
        <v>156</v>
      </c>
      <c r="I1744" t="s">
        <v>6372</v>
      </c>
      <c r="K1744" t="s">
        <v>6372</v>
      </c>
      <c r="L1744" t="s">
        <v>129</v>
      </c>
      <c r="M1744" s="1" t="str">
        <f t="shared" si="191"/>
        <v>12B501</v>
      </c>
      <c r="N1744" s="1" t="str">
        <f t="shared" si="192"/>
        <v>C/O</v>
      </c>
      <c r="O1744" s="1" t="str">
        <f t="shared" si="193"/>
        <v>Blade Lift Cylinder LH</v>
      </c>
      <c r="P1744" s="1" t="str">
        <f t="shared" si="194"/>
        <v>NN60</v>
      </c>
      <c r="Q1744" s="2" t="str">
        <f t="shared" si="195"/>
        <v>NN60Blade Lift Cylinder LH</v>
      </c>
      <c r="R1744" s="2" t="str">
        <f>New_Xref[[#This Row],[Serial Prefix]]&amp;IF(New_Xref[[#This Row],[Func Loc]]&lt;&gt;"",New_Xref[[#This Row],[Func Loc]],"NO MATCH")</f>
        <v>NN60MYHD .CYLI.BLLL</v>
      </c>
      <c r="S1744" s="3" t="str">
        <f t="shared" si="190"/>
        <v>NN60Blade Lift Cylinder LH</v>
      </c>
      <c r="T1744" t="s">
        <v>130</v>
      </c>
      <c r="U1744" t="s">
        <v>108</v>
      </c>
      <c r="V1744" t="str">
        <f t="shared" si="189"/>
        <v>5102LT</v>
      </c>
    </row>
    <row r="1745" spans="1:22">
      <c r="A1745" t="s">
        <v>155</v>
      </c>
      <c r="B1745" t="s">
        <v>156</v>
      </c>
      <c r="I1745" t="s">
        <v>6373</v>
      </c>
      <c r="K1745" t="s">
        <v>6373</v>
      </c>
      <c r="L1745" t="s">
        <v>133</v>
      </c>
      <c r="M1745" s="1" t="str">
        <f t="shared" si="191"/>
        <v>12B501</v>
      </c>
      <c r="N1745" s="1" t="str">
        <f t="shared" si="192"/>
        <v>C/O</v>
      </c>
      <c r="O1745" s="1" t="str">
        <f t="shared" si="193"/>
        <v>Blade Lift Cylinder RH</v>
      </c>
      <c r="P1745" s="1" t="str">
        <f t="shared" si="194"/>
        <v>NN60</v>
      </c>
      <c r="Q1745" s="2" t="str">
        <f t="shared" si="195"/>
        <v>NN60Blade Lift Cylinder RH</v>
      </c>
      <c r="R1745" s="2" t="str">
        <f>New_Xref[[#This Row],[Serial Prefix]]&amp;IF(New_Xref[[#This Row],[Func Loc]]&lt;&gt;"",New_Xref[[#This Row],[Func Loc]],"NO MATCH")</f>
        <v>NN60MYHD .CYLI.BLLR</v>
      </c>
      <c r="S1745" s="3" t="str">
        <f t="shared" si="190"/>
        <v>NN60Blade Lift Cylinder RH</v>
      </c>
      <c r="T1745" t="s">
        <v>130</v>
      </c>
      <c r="U1745" t="s">
        <v>115</v>
      </c>
      <c r="V1745" t="str">
        <f t="shared" si="189"/>
        <v>5102RI</v>
      </c>
    </row>
    <row r="1746" spans="1:22">
      <c r="A1746" t="s">
        <v>1086</v>
      </c>
      <c r="B1746" t="s">
        <v>6374</v>
      </c>
      <c r="C1746" t="s">
        <v>1228</v>
      </c>
      <c r="D1746" t="s">
        <v>1229</v>
      </c>
      <c r="E1746" t="s">
        <v>6375</v>
      </c>
      <c r="F1746" t="s">
        <v>27</v>
      </c>
      <c r="G1746">
        <v>1</v>
      </c>
      <c r="H1746" t="s">
        <v>6376</v>
      </c>
      <c r="I1746" t="s">
        <v>6377</v>
      </c>
      <c r="J1746" t="s">
        <v>6378</v>
      </c>
      <c r="K1746" t="s">
        <v>6379</v>
      </c>
      <c r="L1746" t="s">
        <v>6380</v>
      </c>
      <c r="M1746" s="1" t="str">
        <f t="shared" si="191"/>
        <v>15B362</v>
      </c>
      <c r="N1746" s="1" t="str">
        <f t="shared" si="192"/>
        <v>C/O</v>
      </c>
      <c r="O1746" s="1" t="str">
        <f t="shared" si="193"/>
        <v>Main Pump Drive Trans LH</v>
      </c>
      <c r="P1746" s="1" t="str">
        <f t="shared" si="194"/>
        <v>6D60</v>
      </c>
      <c r="Q1746" s="2" t="str">
        <f t="shared" si="195"/>
        <v>6D60Main Pump Drive Trans LH</v>
      </c>
      <c r="R1746" s="2" t="str">
        <f>New_Xref[[#This Row],[Serial Prefix]]&amp;IF(New_Xref[[#This Row],[Func Loc]]&lt;&gt;"",New_Xref[[#This Row],[Func Loc]],"NO MATCH")</f>
        <v>6D60TRAN .MPDT.MPDL</v>
      </c>
      <c r="S1746" s="3" t="str">
        <f t="shared" si="190"/>
        <v>6D605091024XMain Pump Drive Trans LH</v>
      </c>
      <c r="T1746" t="s">
        <v>1234</v>
      </c>
      <c r="U1746" t="s">
        <v>108</v>
      </c>
      <c r="V1746" t="str">
        <f t="shared" si="189"/>
        <v>3108LT</v>
      </c>
    </row>
    <row r="1747" spans="1:22">
      <c r="A1747" t="s">
        <v>1086</v>
      </c>
      <c r="B1747" t="s">
        <v>6374</v>
      </c>
      <c r="C1747" t="s">
        <v>1228</v>
      </c>
      <c r="D1747" t="s">
        <v>1229</v>
      </c>
      <c r="E1747" t="s">
        <v>6375</v>
      </c>
      <c r="F1747" t="s">
        <v>27</v>
      </c>
      <c r="G1747">
        <v>1</v>
      </c>
      <c r="H1747" t="s">
        <v>6376</v>
      </c>
      <c r="I1747" t="s">
        <v>6381</v>
      </c>
      <c r="J1747" t="s">
        <v>6382</v>
      </c>
      <c r="K1747" t="s">
        <v>6383</v>
      </c>
      <c r="L1747" t="s">
        <v>6384</v>
      </c>
      <c r="M1747" s="1" t="str">
        <f t="shared" si="191"/>
        <v>15B362</v>
      </c>
      <c r="N1747" s="1" t="str">
        <f t="shared" si="192"/>
        <v>C/O</v>
      </c>
      <c r="O1747" s="1" t="str">
        <f t="shared" si="193"/>
        <v>Main Pump Drive Trans RH</v>
      </c>
      <c r="P1747" s="1" t="str">
        <f t="shared" si="194"/>
        <v>6D60</v>
      </c>
      <c r="Q1747" s="2" t="str">
        <f t="shared" si="195"/>
        <v>6D60Main Pump Drive Trans RH</v>
      </c>
      <c r="R1747" s="2" t="str">
        <f>New_Xref[[#This Row],[Serial Prefix]]&amp;IF(New_Xref[[#This Row],[Func Loc]]&lt;&gt;"",New_Xref[[#This Row],[Func Loc]],"NO MATCH")</f>
        <v>6D60TRAN .MPDT.MPDR</v>
      </c>
      <c r="S1747" s="3" t="str">
        <f t="shared" si="190"/>
        <v>6D605091024XMain Pump Drive Trans RH</v>
      </c>
      <c r="T1747" t="s">
        <v>1234</v>
      </c>
      <c r="U1747" t="s">
        <v>115</v>
      </c>
      <c r="V1747" t="str">
        <f t="shared" si="189"/>
        <v>3108RI</v>
      </c>
    </row>
    <row r="1748" spans="1:22">
      <c r="A1748" t="s">
        <v>1086</v>
      </c>
      <c r="B1748" t="s">
        <v>1102</v>
      </c>
      <c r="C1748" t="s">
        <v>1228</v>
      </c>
      <c r="D1748" t="s">
        <v>1229</v>
      </c>
      <c r="E1748" t="s">
        <v>6375</v>
      </c>
      <c r="F1748" t="s">
        <v>27</v>
      </c>
      <c r="G1748">
        <v>1</v>
      </c>
      <c r="H1748" t="s">
        <v>6376</v>
      </c>
      <c r="I1748" t="s">
        <v>6385</v>
      </c>
      <c r="J1748" t="s">
        <v>1239</v>
      </c>
      <c r="K1748" t="s">
        <v>1238</v>
      </c>
      <c r="L1748" t="s">
        <v>6380</v>
      </c>
      <c r="M1748" s="1" t="str">
        <f t="shared" si="191"/>
        <v>15B405</v>
      </c>
      <c r="N1748" s="1" t="str">
        <f t="shared" si="192"/>
        <v>C/O</v>
      </c>
      <c r="O1748" s="1" t="str">
        <f t="shared" si="193"/>
        <v>Main Pump Drive Trans LH</v>
      </c>
      <c r="P1748" s="1" t="str">
        <f t="shared" si="194"/>
        <v>6P60</v>
      </c>
      <c r="Q1748" s="2" t="str">
        <f t="shared" si="195"/>
        <v>6P60Main Pump Drive Trans LH</v>
      </c>
      <c r="R1748" s="2" t="str">
        <f>New_Xref[[#This Row],[Serial Prefix]]&amp;IF(New_Xref[[#This Row],[Func Loc]]&lt;&gt;"",New_Xref[[#This Row],[Func Loc]],"NO MATCH")</f>
        <v>6P60TRAN .MPDT.MPDL</v>
      </c>
      <c r="S1748" s="3" t="str">
        <f t="shared" si="190"/>
        <v>6P605091024XMain Pump Drive Trans LH</v>
      </c>
      <c r="T1748" t="s">
        <v>1234</v>
      </c>
      <c r="U1748" t="s">
        <v>108</v>
      </c>
      <c r="V1748" t="str">
        <f t="shared" si="189"/>
        <v>3108LT</v>
      </c>
    </row>
    <row r="1749" spans="1:22">
      <c r="A1749" t="s">
        <v>1086</v>
      </c>
      <c r="B1749" t="s">
        <v>1102</v>
      </c>
      <c r="C1749" t="s">
        <v>1228</v>
      </c>
      <c r="D1749" t="s">
        <v>1229</v>
      </c>
      <c r="E1749" t="s">
        <v>6375</v>
      </c>
      <c r="F1749" t="s">
        <v>27</v>
      </c>
      <c r="G1749">
        <v>1</v>
      </c>
      <c r="H1749" t="s">
        <v>6376</v>
      </c>
      <c r="I1749" t="s">
        <v>6386</v>
      </c>
      <c r="J1749" t="s">
        <v>1241</v>
      </c>
      <c r="K1749" t="s">
        <v>1240</v>
      </c>
      <c r="L1749" t="s">
        <v>6384</v>
      </c>
      <c r="M1749" s="1" t="str">
        <f t="shared" si="191"/>
        <v>15B405</v>
      </c>
      <c r="N1749" s="1" t="str">
        <f t="shared" si="192"/>
        <v>C/O</v>
      </c>
      <c r="O1749" s="1" t="str">
        <f t="shared" si="193"/>
        <v>Main Pump Drive Trans RH</v>
      </c>
      <c r="P1749" s="1" t="str">
        <f t="shared" si="194"/>
        <v>6P60</v>
      </c>
      <c r="Q1749" s="2" t="str">
        <f t="shared" si="195"/>
        <v>6P60Main Pump Drive Trans RH</v>
      </c>
      <c r="R1749" s="2" t="str">
        <f>New_Xref[[#This Row],[Serial Prefix]]&amp;IF(New_Xref[[#This Row],[Func Loc]]&lt;&gt;"",New_Xref[[#This Row],[Func Loc]],"NO MATCH")</f>
        <v>6P60TRAN .MPDT.MPDR</v>
      </c>
      <c r="S1749" s="3" t="str">
        <f t="shared" si="190"/>
        <v>6P605091024XMain Pump Drive Trans RH</v>
      </c>
      <c r="T1749" t="s">
        <v>1234</v>
      </c>
      <c r="U1749" t="s">
        <v>115</v>
      </c>
      <c r="V1749" t="str">
        <f t="shared" si="189"/>
        <v>3108RI</v>
      </c>
    </row>
    <row r="1750" spans="1:22">
      <c r="A1750" t="s">
        <v>1542</v>
      </c>
      <c r="B1750" t="s">
        <v>1548</v>
      </c>
      <c r="C1750" t="s">
        <v>6387</v>
      </c>
      <c r="D1750" t="s">
        <v>6388</v>
      </c>
      <c r="E1750" t="s">
        <v>6389</v>
      </c>
      <c r="F1750" t="s">
        <v>27</v>
      </c>
      <c r="G1750">
        <v>1</v>
      </c>
      <c r="H1750" t="s">
        <v>6390</v>
      </c>
      <c r="I1750" t="s">
        <v>6391</v>
      </c>
      <c r="J1750" t="s">
        <v>6392</v>
      </c>
      <c r="K1750" t="s">
        <v>6393</v>
      </c>
      <c r="L1750" t="s">
        <v>1588</v>
      </c>
      <c r="M1750" s="1" t="str">
        <f t="shared" si="191"/>
        <v>12D1</v>
      </c>
      <c r="N1750" s="1" t="str">
        <f t="shared" si="192"/>
        <v>C/O</v>
      </c>
      <c r="O1750" s="1" t="str">
        <f t="shared" si="193"/>
        <v>Brake Tandem LHF</v>
      </c>
      <c r="P1750" s="1" t="str">
        <f t="shared" si="194"/>
        <v>ATS0</v>
      </c>
      <c r="Q1750" s="2" t="str">
        <f t="shared" si="195"/>
        <v>ATS0Brake Tandem LHF</v>
      </c>
      <c r="R1750" s="2" t="str">
        <f>New_Xref[[#This Row],[Serial Prefix]]&amp;IF(New_Xref[[#This Row],[Func Loc]]&lt;&gt;"",New_Xref[[#This Row],[Func Loc]],"NO MATCH")</f>
        <v>ATS0BRAK .SEBR.SB01</v>
      </c>
      <c r="S1750" s="3" t="str">
        <f t="shared" si="190"/>
        <v>ATS02M9780Brake Tandem LHF</v>
      </c>
      <c r="T1750" s="3" t="s">
        <v>88</v>
      </c>
      <c r="U1750" s="3" t="s">
        <v>89</v>
      </c>
      <c r="V1750" t="str">
        <f t="shared" si="189"/>
        <v>4006LF</v>
      </c>
    </row>
    <row r="1751" spans="1:22">
      <c r="A1751" t="s">
        <v>1542</v>
      </c>
      <c r="B1751" t="s">
        <v>1548</v>
      </c>
      <c r="C1751" t="s">
        <v>6387</v>
      </c>
      <c r="D1751" t="s">
        <v>6388</v>
      </c>
      <c r="E1751" t="s">
        <v>6389</v>
      </c>
      <c r="F1751" t="s">
        <v>27</v>
      </c>
      <c r="G1751">
        <v>1</v>
      </c>
      <c r="H1751" t="s">
        <v>6390</v>
      </c>
      <c r="I1751" t="s">
        <v>6394</v>
      </c>
      <c r="J1751" t="s">
        <v>6395</v>
      </c>
      <c r="K1751" t="s">
        <v>6396</v>
      </c>
      <c r="L1751" t="s">
        <v>1582</v>
      </c>
      <c r="M1751" s="1" t="str">
        <f t="shared" si="191"/>
        <v>12D1</v>
      </c>
      <c r="N1751" s="1" t="str">
        <f t="shared" si="192"/>
        <v>C/O</v>
      </c>
      <c r="O1751" s="1" t="str">
        <f t="shared" si="193"/>
        <v>Brake Tandem RHF</v>
      </c>
      <c r="P1751" s="1" t="str">
        <f t="shared" si="194"/>
        <v>ATS0</v>
      </c>
      <c r="Q1751" s="2" t="str">
        <f t="shared" si="195"/>
        <v>ATS0Brake Tandem RHF</v>
      </c>
      <c r="R1751" s="2" t="str">
        <f>New_Xref[[#This Row],[Serial Prefix]]&amp;IF(New_Xref[[#This Row],[Func Loc]]&lt;&gt;"",New_Xref[[#This Row],[Func Loc]],"NO MATCH")</f>
        <v>ATS0BRAK .SEBR.SB02</v>
      </c>
      <c r="S1751" s="3" t="str">
        <f t="shared" si="190"/>
        <v>ATS02M9780Brake Tandem RHF</v>
      </c>
      <c r="T1751" s="3" t="s">
        <v>88</v>
      </c>
      <c r="U1751" s="3" t="s">
        <v>92</v>
      </c>
      <c r="V1751" t="str">
        <f t="shared" si="189"/>
        <v>4006RF</v>
      </c>
    </row>
    <row r="1752" spans="1:22">
      <c r="A1752" t="s">
        <v>1542</v>
      </c>
      <c r="B1752" t="s">
        <v>1548</v>
      </c>
      <c r="C1752" t="s">
        <v>6387</v>
      </c>
      <c r="D1752" t="s">
        <v>6388</v>
      </c>
      <c r="E1752" t="s">
        <v>6389</v>
      </c>
      <c r="F1752" t="s">
        <v>27</v>
      </c>
      <c r="G1752">
        <v>1</v>
      </c>
      <c r="H1752" t="s">
        <v>6390</v>
      </c>
      <c r="I1752" t="s">
        <v>6397</v>
      </c>
      <c r="J1752" t="s">
        <v>6398</v>
      </c>
      <c r="K1752" t="s">
        <v>6399</v>
      </c>
      <c r="L1752" t="s">
        <v>1579</v>
      </c>
      <c r="M1752" s="1" t="str">
        <f t="shared" si="191"/>
        <v>12D1</v>
      </c>
      <c r="N1752" s="1" t="str">
        <f t="shared" si="192"/>
        <v>C/O</v>
      </c>
      <c r="O1752" s="1" t="str">
        <f t="shared" si="193"/>
        <v>Brake Tandem LHR</v>
      </c>
      <c r="P1752" s="1" t="str">
        <f t="shared" si="194"/>
        <v>ATS0</v>
      </c>
      <c r="Q1752" s="2" t="str">
        <f t="shared" si="195"/>
        <v>ATS0Brake Tandem LHR</v>
      </c>
      <c r="R1752" s="2" t="str">
        <f>New_Xref[[#This Row],[Serial Prefix]]&amp;IF(New_Xref[[#This Row],[Func Loc]]&lt;&gt;"",New_Xref[[#This Row],[Func Loc]],"NO MATCH")</f>
        <v>ATS0BRAK .SEBR.SB03</v>
      </c>
      <c r="S1752" s="3" t="str">
        <f t="shared" si="190"/>
        <v>ATS02M9780Brake Tandem LHR</v>
      </c>
      <c r="T1752" s="3" t="s">
        <v>88</v>
      </c>
      <c r="U1752" s="3" t="s">
        <v>96</v>
      </c>
      <c r="V1752" t="str">
        <f t="shared" si="189"/>
        <v>4006LR</v>
      </c>
    </row>
    <row r="1753" spans="1:22">
      <c r="A1753" t="s">
        <v>1542</v>
      </c>
      <c r="B1753" t="s">
        <v>1548</v>
      </c>
      <c r="C1753" t="s">
        <v>6387</v>
      </c>
      <c r="D1753" t="s">
        <v>6388</v>
      </c>
      <c r="E1753" t="s">
        <v>6389</v>
      </c>
      <c r="F1753" t="s">
        <v>27</v>
      </c>
      <c r="G1753">
        <v>1</v>
      </c>
      <c r="H1753" t="s">
        <v>6390</v>
      </c>
      <c r="I1753" t="s">
        <v>6400</v>
      </c>
      <c r="J1753" t="s">
        <v>6401</v>
      </c>
      <c r="K1753" t="s">
        <v>6402</v>
      </c>
      <c r="L1753" t="s">
        <v>1585</v>
      </c>
      <c r="M1753" s="1" t="str">
        <f t="shared" si="191"/>
        <v>12D1</v>
      </c>
      <c r="N1753" s="1" t="str">
        <f t="shared" si="192"/>
        <v>C/O</v>
      </c>
      <c r="O1753" s="1" t="str">
        <f t="shared" si="193"/>
        <v>Brake Tandem RHR</v>
      </c>
      <c r="P1753" s="1" t="str">
        <f t="shared" si="194"/>
        <v>ATS0</v>
      </c>
      <c r="Q1753" s="2" t="str">
        <f t="shared" si="195"/>
        <v>ATS0Brake Tandem RHR</v>
      </c>
      <c r="R1753" s="2" t="str">
        <f>New_Xref[[#This Row],[Serial Prefix]]&amp;IF(New_Xref[[#This Row],[Func Loc]]&lt;&gt;"",New_Xref[[#This Row],[Func Loc]],"NO MATCH")</f>
        <v>ATS0BRAK .SEBR.SB04</v>
      </c>
      <c r="S1753" s="3" t="str">
        <f t="shared" si="190"/>
        <v>ATS02M9780Brake Tandem RHR</v>
      </c>
      <c r="T1753" s="3" t="s">
        <v>88</v>
      </c>
      <c r="U1753" s="3" t="s">
        <v>99</v>
      </c>
      <c r="V1753" t="str">
        <f t="shared" si="189"/>
        <v>4006RR</v>
      </c>
    </row>
    <row r="1754" spans="1:22">
      <c r="A1754" t="s">
        <v>5890</v>
      </c>
      <c r="B1754" t="s">
        <v>5905</v>
      </c>
      <c r="H1754" t="s">
        <v>6403</v>
      </c>
      <c r="I1754" t="s">
        <v>6404</v>
      </c>
      <c r="J1754" t="s">
        <v>6405</v>
      </c>
      <c r="K1754" t="s">
        <v>6406</v>
      </c>
      <c r="L1754" t="s">
        <v>5614</v>
      </c>
      <c r="M1754" s="1" t="str">
        <f t="shared" si="191"/>
        <v>21D08</v>
      </c>
      <c r="N1754" s="1" t="str">
        <f t="shared" si="192"/>
        <v>C/O</v>
      </c>
      <c r="O1754" s="1" t="str">
        <f t="shared" si="193"/>
        <v>Rotary Head Gearbox</v>
      </c>
      <c r="P1754" s="1" t="str">
        <f t="shared" si="194"/>
        <v>DT20</v>
      </c>
      <c r="Q1754" s="2" t="str">
        <f t="shared" si="195"/>
        <v>DT20Rotary Head Gearbox</v>
      </c>
      <c r="R1754" s="2" t="str">
        <f>New_Xref[[#This Row],[Serial Prefix]]&amp;IF(New_Xref[[#This Row],[Func Loc]]&lt;&gt;"",New_Xref[[#This Row],[Func Loc]],"NO MATCH")</f>
        <v>DT20TRAN .RHGB</v>
      </c>
      <c r="S1754" s="3" t="str">
        <f t="shared" si="190"/>
        <v>DT20Rotary Head Gearbox</v>
      </c>
      <c r="T1754" t="s">
        <v>5615</v>
      </c>
      <c r="U1754" t="s">
        <v>34</v>
      </c>
      <c r="V1754" t="str">
        <f t="shared" si="189"/>
        <v>79P300</v>
      </c>
    </row>
    <row r="1755" spans="1:22">
      <c r="A1755" t="s">
        <v>3199</v>
      </c>
      <c r="B1755" t="s">
        <v>3200</v>
      </c>
      <c r="I1755" t="s">
        <v>6407</v>
      </c>
      <c r="K1755" t="s">
        <v>6407</v>
      </c>
      <c r="L1755" t="s">
        <v>6408</v>
      </c>
      <c r="M1755" s="1" t="str">
        <f t="shared" si="191"/>
        <v>11H1018</v>
      </c>
      <c r="N1755" s="1" t="str">
        <f t="shared" si="192"/>
        <v>C/O</v>
      </c>
      <c r="O1755" s="1" t="str">
        <f t="shared" si="193"/>
        <v>Apron Cylinder LH</v>
      </c>
      <c r="P1755" s="1" t="str">
        <f t="shared" si="194"/>
        <v>FDB0</v>
      </c>
      <c r="Q1755" s="2" t="str">
        <f t="shared" si="195"/>
        <v>FDB0Apron Cylinder LH</v>
      </c>
      <c r="R1755" s="2" t="str">
        <f>New_Xref[[#This Row],[Serial Prefix]]&amp;IF(New_Xref[[#This Row],[Func Loc]]&lt;&gt;"",New_Xref[[#This Row],[Func Loc]],"NO MATCH")</f>
        <v>FDB0MYHD .CYLI.APRL</v>
      </c>
      <c r="S1755" s="3" t="str">
        <f t="shared" si="190"/>
        <v>FDB0Apron Cylinder LH</v>
      </c>
      <c r="T1755" t="s">
        <v>130</v>
      </c>
      <c r="U1755" t="s">
        <v>108</v>
      </c>
      <c r="V1755" t="str">
        <f t="shared" si="189"/>
        <v>5102LT</v>
      </c>
    </row>
    <row r="1756" spans="1:22">
      <c r="A1756" t="s">
        <v>3199</v>
      </c>
      <c r="B1756" t="s">
        <v>3200</v>
      </c>
      <c r="I1756" t="s">
        <v>6409</v>
      </c>
      <c r="K1756" t="s">
        <v>6409</v>
      </c>
      <c r="L1756" t="s">
        <v>6410</v>
      </c>
      <c r="M1756" s="1" t="str">
        <f t="shared" si="191"/>
        <v>11H1018</v>
      </c>
      <c r="N1756" s="1" t="str">
        <f t="shared" si="192"/>
        <v>C/O</v>
      </c>
      <c r="O1756" s="1" t="str">
        <f t="shared" si="193"/>
        <v>Apron Cylinder RH</v>
      </c>
      <c r="P1756" s="1" t="str">
        <f t="shared" si="194"/>
        <v>FDB0</v>
      </c>
      <c r="Q1756" s="2" t="str">
        <f t="shared" si="195"/>
        <v>FDB0Apron Cylinder RH</v>
      </c>
      <c r="R1756" s="2" t="str">
        <f>New_Xref[[#This Row],[Serial Prefix]]&amp;IF(New_Xref[[#This Row],[Func Loc]]&lt;&gt;"",New_Xref[[#This Row],[Func Loc]],"NO MATCH")</f>
        <v>FDB0MYHD .CYLI.APRR</v>
      </c>
      <c r="S1756" s="3" t="str">
        <f t="shared" si="190"/>
        <v>FDB0Apron Cylinder RH</v>
      </c>
      <c r="T1756" t="s">
        <v>130</v>
      </c>
      <c r="U1756" t="s">
        <v>115</v>
      </c>
      <c r="V1756" t="str">
        <f t="shared" si="189"/>
        <v>5102RI</v>
      </c>
    </row>
    <row r="1757" spans="1:22">
      <c r="A1757" t="s">
        <v>5081</v>
      </c>
      <c r="B1757" t="s">
        <v>6411</v>
      </c>
      <c r="F1757" t="s">
        <v>27</v>
      </c>
      <c r="G1757">
        <v>1</v>
      </c>
      <c r="H1757" t="s">
        <v>5083</v>
      </c>
      <c r="I1757" t="s">
        <v>6412</v>
      </c>
      <c r="J1757" t="s">
        <v>5085</v>
      </c>
      <c r="K1757" t="s">
        <v>6413</v>
      </c>
      <c r="L1757" t="s">
        <v>32</v>
      </c>
      <c r="M1757" s="1" t="str">
        <f t="shared" si="191"/>
        <v>08H1064</v>
      </c>
      <c r="N1757" s="1" t="str">
        <f t="shared" si="192"/>
        <v>C/O</v>
      </c>
      <c r="O1757" s="1" t="str">
        <f t="shared" si="193"/>
        <v>Engine</v>
      </c>
      <c r="P1757" s="1" t="str">
        <f t="shared" si="194"/>
        <v>7PZ7</v>
      </c>
      <c r="Q1757" s="2" t="str">
        <f t="shared" si="195"/>
        <v>7PZ7Engine</v>
      </c>
      <c r="R1757" s="2" t="str">
        <f>New_Xref[[#This Row],[Serial Prefix]]&amp;IF(New_Xref[[#This Row],[Func Loc]]&lt;&gt;"",New_Xref[[#This Row],[Func Loc]],"NO MATCH")</f>
        <v>7PZ7ENGD</v>
      </c>
      <c r="S1757" s="3" t="str">
        <f t="shared" si="190"/>
        <v>7PZ7Engine</v>
      </c>
      <c r="T1757" s="3" t="s">
        <v>33</v>
      </c>
      <c r="U1757" s="3" t="s">
        <v>34</v>
      </c>
      <c r="V1757" t="str">
        <f t="shared" si="189"/>
        <v>100000</v>
      </c>
    </row>
    <row r="1758" spans="1:22">
      <c r="A1758" t="s">
        <v>5081</v>
      </c>
      <c r="B1758" t="s">
        <v>6411</v>
      </c>
      <c r="C1758" t="s">
        <v>5087</v>
      </c>
      <c r="D1758" t="s">
        <v>5088</v>
      </c>
      <c r="E1758" t="s">
        <v>5089</v>
      </c>
      <c r="F1758" t="s">
        <v>27</v>
      </c>
      <c r="G1758">
        <v>1</v>
      </c>
      <c r="H1758" t="s">
        <v>5090</v>
      </c>
      <c r="I1758" t="s">
        <v>6412</v>
      </c>
      <c r="J1758" t="s">
        <v>5091</v>
      </c>
      <c r="K1758" t="s">
        <v>6414</v>
      </c>
      <c r="L1758" t="s">
        <v>719</v>
      </c>
      <c r="M1758" s="1" t="str">
        <f t="shared" si="191"/>
        <v>08H1064</v>
      </c>
      <c r="N1758" s="1" t="str">
        <f t="shared" si="192"/>
        <v>C/O</v>
      </c>
      <c r="O1758" s="1" t="str">
        <f t="shared" si="193"/>
        <v>Turbocharger LH</v>
      </c>
      <c r="P1758" s="1" t="str">
        <f t="shared" si="194"/>
        <v>7PZ7</v>
      </c>
      <c r="Q1758" s="2" t="str">
        <f t="shared" si="195"/>
        <v>7PZ7Turbocharger LH</v>
      </c>
      <c r="R1758" s="2" t="str">
        <f>New_Xref[[#This Row],[Serial Prefix]]&amp;IF(New_Xref[[#This Row],[Func Loc]]&lt;&gt;"",New_Xref[[#This Row],[Func Loc]],"NO MATCH")</f>
        <v>7PZ7ENGD .TURB.TC01</v>
      </c>
      <c r="S1758" s="3" t="str">
        <f t="shared" si="190"/>
        <v>7PZ710R2844Turbocharger LH</v>
      </c>
      <c r="T1758" s="3" t="s">
        <v>47</v>
      </c>
      <c r="U1758" s="3" t="s">
        <v>108</v>
      </c>
      <c r="V1758" t="str">
        <f t="shared" si="189"/>
        <v>1052LT</v>
      </c>
    </row>
    <row r="1759" spans="1:22">
      <c r="A1759" t="s">
        <v>5081</v>
      </c>
      <c r="B1759" t="s">
        <v>6411</v>
      </c>
      <c r="C1759" t="s">
        <v>5087</v>
      </c>
      <c r="D1759" t="s">
        <v>5088</v>
      </c>
      <c r="E1759" t="s">
        <v>5089</v>
      </c>
      <c r="F1759" t="s">
        <v>27</v>
      </c>
      <c r="G1759">
        <v>1</v>
      </c>
      <c r="H1759" t="s">
        <v>5090</v>
      </c>
      <c r="I1759" t="s">
        <v>6412</v>
      </c>
      <c r="J1759" t="s">
        <v>5093</v>
      </c>
      <c r="K1759" t="s">
        <v>6415</v>
      </c>
      <c r="L1759" t="s">
        <v>722</v>
      </c>
      <c r="M1759" s="1" t="str">
        <f t="shared" si="191"/>
        <v>08H1064</v>
      </c>
      <c r="N1759" s="1" t="str">
        <f t="shared" si="192"/>
        <v>C/O</v>
      </c>
      <c r="O1759" s="1" t="str">
        <f t="shared" si="193"/>
        <v>Turbocharger RH</v>
      </c>
      <c r="P1759" s="1" t="str">
        <f t="shared" si="194"/>
        <v>7PZ7</v>
      </c>
      <c r="Q1759" s="2" t="str">
        <f t="shared" si="195"/>
        <v>7PZ7Turbocharger RH</v>
      </c>
      <c r="R1759" s="2" t="str">
        <f>New_Xref[[#This Row],[Serial Prefix]]&amp;IF(New_Xref[[#This Row],[Func Loc]]&lt;&gt;"",New_Xref[[#This Row],[Func Loc]],"NO MATCH")</f>
        <v>7PZ7ENGD .TURB.TC02</v>
      </c>
      <c r="S1759" s="3" t="str">
        <f t="shared" si="190"/>
        <v>7PZ710R2844Turbocharger RH</v>
      </c>
      <c r="T1759" s="3" t="s">
        <v>47</v>
      </c>
      <c r="U1759" s="3" t="s">
        <v>115</v>
      </c>
      <c r="V1759" t="str">
        <f t="shared" si="189"/>
        <v>1052RI</v>
      </c>
    </row>
    <row r="1760" spans="1:22">
      <c r="A1760" t="s">
        <v>5081</v>
      </c>
      <c r="B1760" t="s">
        <v>6411</v>
      </c>
      <c r="C1760" t="s">
        <v>2152</v>
      </c>
      <c r="D1760" t="s">
        <v>2153</v>
      </c>
      <c r="E1760" t="s">
        <v>58</v>
      </c>
      <c r="F1760" t="s">
        <v>27</v>
      </c>
      <c r="G1760">
        <v>8</v>
      </c>
      <c r="H1760" t="s">
        <v>5095</v>
      </c>
      <c r="I1760" t="s">
        <v>6412</v>
      </c>
      <c r="J1760" t="s">
        <v>5096</v>
      </c>
      <c r="K1760" t="s">
        <v>6416</v>
      </c>
      <c r="L1760" t="s">
        <v>62</v>
      </c>
      <c r="M1760" s="1" t="str">
        <f t="shared" si="191"/>
        <v>08H1064</v>
      </c>
      <c r="N1760" s="1" t="str">
        <f t="shared" si="192"/>
        <v>C/O</v>
      </c>
      <c r="O1760" s="1" t="str">
        <f t="shared" si="193"/>
        <v>Fuel Injectors</v>
      </c>
      <c r="P1760" s="1" t="str">
        <f t="shared" si="194"/>
        <v>7PZ7</v>
      </c>
      <c r="Q1760" s="2" t="str">
        <f t="shared" si="195"/>
        <v>7PZ7Fuel Injectors</v>
      </c>
      <c r="R1760" s="2" t="str">
        <f>New_Xref[[#This Row],[Serial Prefix]]&amp;IF(New_Xref[[#This Row],[Func Loc]]&lt;&gt;"",New_Xref[[#This Row],[Func Loc]],"NO MATCH")</f>
        <v>7PZ7ENGD .FUEL.INJE</v>
      </c>
      <c r="S1760" s="3" t="str">
        <f t="shared" si="190"/>
        <v>7PZ720R0849Fuel Injectors</v>
      </c>
      <c r="T1760" s="3" t="s">
        <v>63</v>
      </c>
      <c r="U1760" s="3" t="s">
        <v>34</v>
      </c>
      <c r="V1760" t="str">
        <f t="shared" si="189"/>
        <v>125100</v>
      </c>
    </row>
    <row r="1761" spans="1:22">
      <c r="A1761" t="s">
        <v>5081</v>
      </c>
      <c r="B1761" t="s">
        <v>6411</v>
      </c>
      <c r="H1761" t="s">
        <v>5098</v>
      </c>
      <c r="I1761" t="s">
        <v>6417</v>
      </c>
      <c r="J1761" t="s">
        <v>5100</v>
      </c>
      <c r="K1761" t="s">
        <v>6417</v>
      </c>
      <c r="L1761" t="s">
        <v>67</v>
      </c>
      <c r="M1761" s="1" t="str">
        <f t="shared" si="191"/>
        <v>08H1064</v>
      </c>
      <c r="N1761" s="1" t="str">
        <f t="shared" si="192"/>
        <v>C/O</v>
      </c>
      <c r="O1761" s="1" t="str">
        <f t="shared" si="193"/>
        <v>Engine Radiator</v>
      </c>
      <c r="P1761" s="1" t="str">
        <f t="shared" si="194"/>
        <v>7PZ7</v>
      </c>
      <c r="Q1761" s="2" t="str">
        <f t="shared" si="195"/>
        <v>7PZ7Engine Radiator</v>
      </c>
      <c r="R1761" s="2" t="str">
        <f>New_Xref[[#This Row],[Serial Prefix]]&amp;IF(New_Xref[[#This Row],[Func Loc]]&lt;&gt;"",New_Xref[[#This Row],[Func Loc]],"NO MATCH")</f>
        <v>7PZ7ENGD .ENCS.RADI</v>
      </c>
      <c r="S1761" s="3" t="str">
        <f t="shared" si="190"/>
        <v>7PZ7Engine Radiator</v>
      </c>
      <c r="T1761" s="3" t="s">
        <v>68</v>
      </c>
      <c r="U1761" s="3" t="s">
        <v>34</v>
      </c>
      <c r="V1761" t="str">
        <f t="shared" si="189"/>
        <v>135300</v>
      </c>
    </row>
    <row r="1762" spans="1:22">
      <c r="A1762" t="s">
        <v>5081</v>
      </c>
      <c r="B1762" t="s">
        <v>6411</v>
      </c>
      <c r="C1762" t="s">
        <v>5101</v>
      </c>
      <c r="D1762" t="s">
        <v>5102</v>
      </c>
      <c r="E1762" t="s">
        <v>832</v>
      </c>
      <c r="F1762" t="s">
        <v>27</v>
      </c>
      <c r="G1762">
        <v>1</v>
      </c>
      <c r="H1762" t="s">
        <v>5103</v>
      </c>
      <c r="I1762" t="s">
        <v>6412</v>
      </c>
      <c r="J1762" t="s">
        <v>5104</v>
      </c>
      <c r="K1762" t="s">
        <v>6418</v>
      </c>
      <c r="L1762" t="s">
        <v>739</v>
      </c>
      <c r="M1762" s="1" t="str">
        <f t="shared" si="191"/>
        <v>08H1064</v>
      </c>
      <c r="N1762" s="1" t="str">
        <f t="shared" si="192"/>
        <v>C/O</v>
      </c>
      <c r="O1762" s="1" t="str">
        <f t="shared" si="193"/>
        <v>Water Pump Main</v>
      </c>
      <c r="P1762" s="1" t="str">
        <f t="shared" si="194"/>
        <v>7PZ7</v>
      </c>
      <c r="Q1762" s="2" t="str">
        <f t="shared" si="195"/>
        <v>7PZ7Water Pump Main</v>
      </c>
      <c r="R1762" s="2" t="str">
        <f>New_Xref[[#This Row],[Serial Prefix]]&amp;IF(New_Xref[[#This Row],[Func Loc]]&lt;&gt;"",New_Xref[[#This Row],[Func Loc]],"NO MATCH")</f>
        <v>7PZ7ENGD .WAPU.WP01</v>
      </c>
      <c r="S1762" s="3" t="str">
        <f t="shared" si="190"/>
        <v>7PZ710R1668Water Pump Main</v>
      </c>
      <c r="T1762" s="3" t="s">
        <v>183</v>
      </c>
      <c r="U1762" s="3" t="s">
        <v>34</v>
      </c>
      <c r="V1762" t="str">
        <f t="shared" si="189"/>
        <v>136100</v>
      </c>
    </row>
    <row r="1763" spans="1:22">
      <c r="A1763" t="s">
        <v>5081</v>
      </c>
      <c r="B1763" t="s">
        <v>6411</v>
      </c>
      <c r="C1763" t="s">
        <v>5106</v>
      </c>
      <c r="D1763" t="s">
        <v>5107</v>
      </c>
      <c r="E1763" t="s">
        <v>5108</v>
      </c>
      <c r="F1763" t="s">
        <v>27</v>
      </c>
      <c r="G1763">
        <v>1</v>
      </c>
      <c r="H1763" t="s">
        <v>5109</v>
      </c>
      <c r="I1763" t="s">
        <v>6419</v>
      </c>
      <c r="J1763" t="s">
        <v>5111</v>
      </c>
      <c r="K1763" t="s">
        <v>6419</v>
      </c>
      <c r="L1763" t="s">
        <v>4994</v>
      </c>
      <c r="M1763" s="1" t="str">
        <f t="shared" si="191"/>
        <v>08H1064</v>
      </c>
      <c r="N1763" s="1" t="str">
        <f t="shared" si="192"/>
        <v>C/O</v>
      </c>
      <c r="O1763" s="1" t="str">
        <f t="shared" si="193"/>
        <v>Transfer &amp; Bevel Gears</v>
      </c>
      <c r="P1763" s="1" t="str">
        <f t="shared" si="194"/>
        <v>7PZ7</v>
      </c>
      <c r="Q1763" s="2" t="str">
        <f t="shared" si="195"/>
        <v>7PZ7Transfer &amp; Bevel Gears</v>
      </c>
      <c r="R1763" s="2" t="str">
        <f>New_Xref[[#This Row],[Serial Prefix]]&amp;IF(New_Xref[[#This Row],[Func Loc]]&lt;&gt;"",New_Xref[[#This Row],[Func Loc]],"NO MATCH")</f>
        <v>7PZ7TRAN .TRAN.BEGE</v>
      </c>
      <c r="S1763" s="3" t="str">
        <f t="shared" si="190"/>
        <v>7PZ73523191XTransfer &amp; Bevel Gears</v>
      </c>
      <c r="T1763" s="3" t="s">
        <v>4995</v>
      </c>
      <c r="U1763" s="3" t="s">
        <v>34</v>
      </c>
      <c r="V1763" t="str">
        <f t="shared" si="189"/>
        <v>301100</v>
      </c>
    </row>
    <row r="1764" spans="1:22">
      <c r="A1764" t="s">
        <v>5081</v>
      </c>
      <c r="B1764" t="s">
        <v>6411</v>
      </c>
      <c r="C1764" t="s">
        <v>4996</v>
      </c>
      <c r="D1764" t="s">
        <v>4997</v>
      </c>
      <c r="E1764" t="s">
        <v>191</v>
      </c>
      <c r="F1764" t="s">
        <v>27</v>
      </c>
      <c r="G1764">
        <v>1</v>
      </c>
      <c r="H1764" t="s">
        <v>5113</v>
      </c>
      <c r="I1764" t="s">
        <v>6420</v>
      </c>
      <c r="J1764" t="s">
        <v>5115</v>
      </c>
      <c r="K1764" t="s">
        <v>6420</v>
      </c>
      <c r="L1764" t="s">
        <v>72</v>
      </c>
      <c r="M1764" s="1" t="str">
        <f t="shared" si="191"/>
        <v>08H1064</v>
      </c>
      <c r="N1764" s="1" t="str">
        <f t="shared" si="192"/>
        <v>C/O</v>
      </c>
      <c r="O1764" s="1" t="str">
        <f t="shared" si="193"/>
        <v>Transmission</v>
      </c>
      <c r="P1764" s="1" t="str">
        <f t="shared" si="194"/>
        <v>7PZ7</v>
      </c>
      <c r="Q1764" s="2" t="str">
        <f t="shared" si="195"/>
        <v>7PZ7Transmission</v>
      </c>
      <c r="R1764" s="2" t="str">
        <f>New_Xref[[#This Row],[Serial Prefix]]&amp;IF(New_Xref[[#This Row],[Func Loc]]&lt;&gt;"",New_Xref[[#This Row],[Func Loc]],"NO MATCH")</f>
        <v>7PZ7TRAN .TRAN</v>
      </c>
      <c r="S1764" s="3" t="str">
        <f t="shared" si="190"/>
        <v>7PZ75726451XTransmission</v>
      </c>
      <c r="T1764" s="3" t="s">
        <v>73</v>
      </c>
      <c r="U1764" s="3" t="s">
        <v>34</v>
      </c>
      <c r="V1764" t="str">
        <f t="shared" si="189"/>
        <v>303000</v>
      </c>
    </row>
    <row r="1765" spans="1:22">
      <c r="A1765" t="s">
        <v>5081</v>
      </c>
      <c r="B1765" t="s">
        <v>6411</v>
      </c>
      <c r="C1765" t="s">
        <v>5116</v>
      </c>
      <c r="D1765" t="s">
        <v>5117</v>
      </c>
      <c r="E1765" t="s">
        <v>191</v>
      </c>
      <c r="F1765" t="s">
        <v>27</v>
      </c>
      <c r="G1765">
        <v>1</v>
      </c>
      <c r="H1765" t="s">
        <v>5113</v>
      </c>
      <c r="I1765" t="s">
        <v>6420</v>
      </c>
      <c r="J1765" t="s">
        <v>5119</v>
      </c>
      <c r="K1765" t="s">
        <v>6420</v>
      </c>
      <c r="L1765" t="s">
        <v>72</v>
      </c>
      <c r="M1765" s="1" t="str">
        <f t="shared" si="191"/>
        <v>08H1064</v>
      </c>
      <c r="N1765" s="1" t="str">
        <f t="shared" si="192"/>
        <v>C/O</v>
      </c>
      <c r="O1765" s="1" t="str">
        <f t="shared" si="193"/>
        <v>Transmission</v>
      </c>
      <c r="P1765" s="1" t="str">
        <f t="shared" si="194"/>
        <v>7PZ7</v>
      </c>
      <c r="Q1765" s="2" t="str">
        <f t="shared" si="195"/>
        <v>7PZ7Transmission</v>
      </c>
      <c r="R1765" s="2" t="str">
        <f>New_Xref[[#This Row],[Serial Prefix]]&amp;IF(New_Xref[[#This Row],[Func Loc]]&lt;&gt;"",New_Xref[[#This Row],[Func Loc]],"NO MATCH")</f>
        <v>7PZ7TRAN .TRAN</v>
      </c>
      <c r="S1765" s="3" t="str">
        <f t="shared" si="190"/>
        <v>7PZ71943805XTransmission</v>
      </c>
      <c r="T1765" s="3" t="s">
        <v>73</v>
      </c>
      <c r="U1765" s="3" t="s">
        <v>34</v>
      </c>
      <c r="V1765" t="str">
        <f t="shared" si="189"/>
        <v>303000</v>
      </c>
    </row>
    <row r="1766" spans="1:22">
      <c r="A1766" t="s">
        <v>5081</v>
      </c>
      <c r="B1766" t="s">
        <v>6411</v>
      </c>
      <c r="C1766" t="s">
        <v>5121</v>
      </c>
      <c r="D1766" t="s">
        <v>5122</v>
      </c>
      <c r="E1766" t="s">
        <v>4592</v>
      </c>
      <c r="F1766" t="s">
        <v>27</v>
      </c>
      <c r="G1766">
        <v>1</v>
      </c>
      <c r="H1766" t="s">
        <v>5123</v>
      </c>
      <c r="I1766" t="s">
        <v>5124</v>
      </c>
      <c r="J1766" t="s">
        <v>5125</v>
      </c>
      <c r="K1766" t="s">
        <v>5124</v>
      </c>
      <c r="L1766" t="s">
        <v>2275</v>
      </c>
      <c r="M1766" s="1" t="str">
        <f t="shared" si="191"/>
        <v>08H1064</v>
      </c>
      <c r="N1766" s="1" t="str">
        <f t="shared" si="192"/>
        <v>C/O</v>
      </c>
      <c r="O1766" s="1" t="str">
        <f t="shared" si="193"/>
        <v>Power Train Oil Pump</v>
      </c>
      <c r="P1766" s="1" t="str">
        <f t="shared" si="194"/>
        <v>7PZ7</v>
      </c>
      <c r="Q1766" s="2" t="str">
        <f t="shared" si="195"/>
        <v>7PZ7Power Train Oil Pump</v>
      </c>
      <c r="R1766" s="2" t="str">
        <f>New_Xref[[#This Row],[Serial Prefix]]&amp;IF(New_Xref[[#This Row],[Func Loc]]&lt;&gt;"",New_Xref[[#This Row],[Func Loc]],"NO MATCH")</f>
        <v>7PZ7TRAN .PUMP.DP01</v>
      </c>
      <c r="S1766" s="3" t="str">
        <f t="shared" si="190"/>
        <v>7PZ730R0357Power Train Oil Pump</v>
      </c>
      <c r="T1766" s="3" t="s">
        <v>584</v>
      </c>
      <c r="U1766" s="3" t="s">
        <v>34</v>
      </c>
      <c r="V1766" t="str">
        <f t="shared" si="189"/>
        <v>306600</v>
      </c>
    </row>
    <row r="1767" spans="1:22">
      <c r="A1767" t="s">
        <v>5081</v>
      </c>
      <c r="B1767" t="s">
        <v>6411</v>
      </c>
      <c r="C1767" t="s">
        <v>5126</v>
      </c>
      <c r="D1767" t="s">
        <v>5127</v>
      </c>
      <c r="E1767" t="s">
        <v>1992</v>
      </c>
      <c r="F1767" t="s">
        <v>27</v>
      </c>
      <c r="G1767">
        <v>1</v>
      </c>
      <c r="H1767" t="s">
        <v>5128</v>
      </c>
      <c r="I1767" t="s">
        <v>6421</v>
      </c>
      <c r="J1767" t="s">
        <v>5130</v>
      </c>
      <c r="K1767" t="s">
        <v>6421</v>
      </c>
      <c r="L1767" t="s">
        <v>304</v>
      </c>
      <c r="M1767" s="1" t="str">
        <f t="shared" si="191"/>
        <v>08H1064</v>
      </c>
      <c r="N1767" s="1" t="str">
        <f t="shared" si="192"/>
        <v>C/O</v>
      </c>
      <c r="O1767" s="1" t="str">
        <f t="shared" si="193"/>
        <v>Torque Converter</v>
      </c>
      <c r="P1767" s="1" t="str">
        <f t="shared" si="194"/>
        <v>7PZ7</v>
      </c>
      <c r="Q1767" s="2" t="str">
        <f t="shared" si="195"/>
        <v>7PZ7Torque Converter</v>
      </c>
      <c r="R1767" s="2" t="str">
        <f>New_Xref[[#This Row],[Serial Prefix]]&amp;IF(New_Xref[[#This Row],[Func Loc]]&lt;&gt;"",New_Xref[[#This Row],[Func Loc]],"NO MATCH")</f>
        <v>7PZ7TRAN .TOCO</v>
      </c>
      <c r="S1767" s="3" t="str">
        <f t="shared" si="190"/>
        <v>7PZ71210030XTorque Converter</v>
      </c>
      <c r="T1767" s="3" t="s">
        <v>305</v>
      </c>
      <c r="U1767" s="3" t="s">
        <v>34</v>
      </c>
      <c r="V1767" t="str">
        <f t="shared" si="189"/>
        <v>310100</v>
      </c>
    </row>
    <row r="1768" spans="1:22">
      <c r="A1768" t="s">
        <v>5081</v>
      </c>
      <c r="B1768" t="s">
        <v>6411</v>
      </c>
      <c r="C1768" t="s">
        <v>5012</v>
      </c>
      <c r="D1768" t="s">
        <v>5013</v>
      </c>
      <c r="E1768" t="s">
        <v>5014</v>
      </c>
      <c r="F1768" t="s">
        <v>27</v>
      </c>
      <c r="G1768">
        <v>1</v>
      </c>
      <c r="H1768" t="s">
        <v>5131</v>
      </c>
      <c r="I1768" t="s">
        <v>6422</v>
      </c>
      <c r="J1768" t="s">
        <v>5133</v>
      </c>
      <c r="K1768" t="s">
        <v>6422</v>
      </c>
      <c r="L1768" t="s">
        <v>907</v>
      </c>
      <c r="M1768" s="1" t="str">
        <f t="shared" si="191"/>
        <v>08H1064</v>
      </c>
      <c r="N1768" s="1" t="str">
        <f t="shared" si="192"/>
        <v>C/O</v>
      </c>
      <c r="O1768" s="1" t="str">
        <f t="shared" si="193"/>
        <v>Final Drive LH</v>
      </c>
      <c r="P1768" s="1" t="str">
        <f t="shared" si="194"/>
        <v>7PZ7</v>
      </c>
      <c r="Q1768" s="2" t="str">
        <f t="shared" si="195"/>
        <v>7PZ7Final Drive LH</v>
      </c>
      <c r="R1768" s="2" t="str">
        <f>New_Xref[[#This Row],[Serial Prefix]]&amp;IF(New_Xref[[#This Row],[Func Loc]]&lt;&gt;"",New_Xref[[#This Row],[Func Loc]],"NO MATCH")</f>
        <v>7PZ7FDRV .FIDR.FDLH</v>
      </c>
      <c r="S1768" s="3" t="str">
        <f t="shared" si="190"/>
        <v>7PZ70R8956Final Drive LH</v>
      </c>
      <c r="T1768" s="3" t="s">
        <v>908</v>
      </c>
      <c r="U1768" s="3" t="s">
        <v>108</v>
      </c>
      <c r="V1768" t="str">
        <f t="shared" si="189"/>
        <v>4050LT</v>
      </c>
    </row>
    <row r="1769" spans="1:22">
      <c r="A1769" t="s">
        <v>5081</v>
      </c>
      <c r="B1769" t="s">
        <v>6411</v>
      </c>
      <c r="C1769" t="s">
        <v>5012</v>
      </c>
      <c r="D1769" t="s">
        <v>5013</v>
      </c>
      <c r="E1769" t="s">
        <v>5014</v>
      </c>
      <c r="F1769" t="s">
        <v>27</v>
      </c>
      <c r="G1769">
        <v>1</v>
      </c>
      <c r="H1769" t="s">
        <v>5131</v>
      </c>
      <c r="I1769" t="s">
        <v>6423</v>
      </c>
      <c r="J1769" t="s">
        <v>5135</v>
      </c>
      <c r="K1769" t="s">
        <v>6423</v>
      </c>
      <c r="L1769" t="s">
        <v>911</v>
      </c>
      <c r="M1769" s="1" t="str">
        <f t="shared" si="191"/>
        <v>08H1064</v>
      </c>
      <c r="N1769" s="1" t="str">
        <f t="shared" si="192"/>
        <v>C/O</v>
      </c>
      <c r="O1769" s="1" t="str">
        <f t="shared" si="193"/>
        <v>Final Drive RH</v>
      </c>
      <c r="P1769" s="1" t="str">
        <f t="shared" si="194"/>
        <v>7PZ7</v>
      </c>
      <c r="Q1769" s="2" t="str">
        <f t="shared" si="195"/>
        <v>7PZ7Final Drive RH</v>
      </c>
      <c r="R1769" s="2" t="str">
        <f>New_Xref[[#This Row],[Serial Prefix]]&amp;IF(New_Xref[[#This Row],[Func Loc]]&lt;&gt;"",New_Xref[[#This Row],[Func Loc]],"NO MATCH")</f>
        <v>7PZ7FDRV .FIDR.FDRH</v>
      </c>
      <c r="S1769" s="3" t="str">
        <f t="shared" si="190"/>
        <v>7PZ70R8956Final Drive RH</v>
      </c>
      <c r="T1769" s="3" t="s">
        <v>908</v>
      </c>
      <c r="U1769" s="3" t="s">
        <v>115</v>
      </c>
      <c r="V1769" t="str">
        <f t="shared" si="189"/>
        <v>4050RI</v>
      </c>
    </row>
    <row r="1770" spans="1:22">
      <c r="A1770" t="s">
        <v>5081</v>
      </c>
      <c r="B1770" t="s">
        <v>6411</v>
      </c>
      <c r="C1770" t="s">
        <v>5020</v>
      </c>
      <c r="D1770" t="s">
        <v>5021</v>
      </c>
      <c r="E1770" t="s">
        <v>5136</v>
      </c>
      <c r="F1770" t="s">
        <v>27</v>
      </c>
      <c r="G1770">
        <v>1</v>
      </c>
      <c r="H1770" t="s">
        <v>5137</v>
      </c>
      <c r="I1770" t="s">
        <v>6424</v>
      </c>
      <c r="J1770" t="s">
        <v>5139</v>
      </c>
      <c r="K1770" t="s">
        <v>6424</v>
      </c>
      <c r="L1770" t="s">
        <v>4615</v>
      </c>
      <c r="M1770" s="1" t="str">
        <f t="shared" si="191"/>
        <v>08H1064</v>
      </c>
      <c r="N1770" s="1" t="str">
        <f t="shared" si="192"/>
        <v>C/O</v>
      </c>
      <c r="O1770" s="1" t="str">
        <f t="shared" si="193"/>
        <v>Steering Clutch &amp; Brake LH</v>
      </c>
      <c r="P1770" s="1" t="str">
        <f t="shared" si="194"/>
        <v>7PZ7</v>
      </c>
      <c r="Q1770" s="2" t="str">
        <f t="shared" si="195"/>
        <v>7PZ7Steering Clutch &amp; Brake LH</v>
      </c>
      <c r="R1770" s="2" t="str">
        <f>New_Xref[[#This Row],[Serial Prefix]]&amp;IF(New_Xref[[#This Row],[Func Loc]]&lt;&gt;"",New_Xref[[#This Row],[Func Loc]],"NO MATCH")</f>
        <v>7PZ7BRSS .SCBA.SCLH</v>
      </c>
      <c r="S1770" s="3" t="str">
        <f t="shared" si="190"/>
        <v>7PZ75085837XSteering Clutch &amp; Brake LH</v>
      </c>
      <c r="T1770" s="3" t="s">
        <v>4616</v>
      </c>
      <c r="U1770" s="3" t="s">
        <v>108</v>
      </c>
      <c r="V1770" t="str">
        <f t="shared" si="189"/>
        <v>4100LT</v>
      </c>
    </row>
    <row r="1771" spans="1:22">
      <c r="A1771" t="s">
        <v>5081</v>
      </c>
      <c r="B1771" t="s">
        <v>6411</v>
      </c>
      <c r="C1771" t="s">
        <v>5020</v>
      </c>
      <c r="D1771" t="s">
        <v>5021</v>
      </c>
      <c r="E1771" t="s">
        <v>5136</v>
      </c>
      <c r="F1771" t="s">
        <v>27</v>
      </c>
      <c r="G1771">
        <v>1</v>
      </c>
      <c r="H1771" t="s">
        <v>5137</v>
      </c>
      <c r="I1771" t="s">
        <v>6424</v>
      </c>
      <c r="J1771" t="s">
        <v>5139</v>
      </c>
      <c r="K1771" t="s">
        <v>6425</v>
      </c>
      <c r="L1771" t="s">
        <v>4620</v>
      </c>
      <c r="M1771" s="1" t="str">
        <f t="shared" si="191"/>
        <v>08H1064</v>
      </c>
      <c r="N1771" s="1" t="str">
        <f t="shared" si="192"/>
        <v>C/O</v>
      </c>
      <c r="O1771" s="1" t="str">
        <f t="shared" si="193"/>
        <v>Steering Clutch &amp; Brake RH</v>
      </c>
      <c r="P1771" s="1" t="str">
        <f t="shared" si="194"/>
        <v>7PZ7</v>
      </c>
      <c r="Q1771" s="2" t="str">
        <f t="shared" si="195"/>
        <v>7PZ7Steering Clutch &amp; Brake RH</v>
      </c>
      <c r="R1771" s="2" t="str">
        <f>New_Xref[[#This Row],[Serial Prefix]]&amp;IF(New_Xref[[#This Row],[Func Loc]]&lt;&gt;"",New_Xref[[#This Row],[Func Loc]],"NO MATCH")</f>
        <v>7PZ7BRSS .SCBA.SCRH</v>
      </c>
      <c r="S1771" s="3" t="str">
        <f t="shared" si="190"/>
        <v>7PZ75085837XSteering Clutch &amp; Brake RH</v>
      </c>
      <c r="T1771" s="3" t="s">
        <v>4616</v>
      </c>
      <c r="U1771" s="3" t="s">
        <v>115</v>
      </c>
      <c r="V1771" t="str">
        <f t="shared" si="189"/>
        <v>4100RI</v>
      </c>
    </row>
    <row r="1772" spans="1:22">
      <c r="A1772" t="s">
        <v>5081</v>
      </c>
      <c r="B1772" t="s">
        <v>6411</v>
      </c>
      <c r="C1772" t="s">
        <v>5141</v>
      </c>
      <c r="D1772" t="s">
        <v>5142</v>
      </c>
      <c r="E1772" t="s">
        <v>5143</v>
      </c>
      <c r="F1772" t="s">
        <v>27</v>
      </c>
      <c r="G1772">
        <v>1</v>
      </c>
      <c r="H1772" t="s">
        <v>5137</v>
      </c>
      <c r="I1772" t="s">
        <v>6424</v>
      </c>
      <c r="J1772" t="s">
        <v>5145</v>
      </c>
      <c r="K1772" t="s">
        <v>6424</v>
      </c>
      <c r="L1772" t="s">
        <v>4615</v>
      </c>
      <c r="M1772" s="1" t="str">
        <f t="shared" si="191"/>
        <v>08H1064</v>
      </c>
      <c r="N1772" s="1" t="str">
        <f t="shared" si="192"/>
        <v>C/O</v>
      </c>
      <c r="O1772" s="1" t="str">
        <f t="shared" si="193"/>
        <v>Steering Clutch &amp; Brake LH</v>
      </c>
      <c r="P1772" s="1" t="str">
        <f t="shared" si="194"/>
        <v>7PZ7</v>
      </c>
      <c r="Q1772" s="2" t="str">
        <f t="shared" si="195"/>
        <v>7PZ7Steering Clutch &amp; Brake LH</v>
      </c>
      <c r="R1772" s="2" t="str">
        <f>New_Xref[[#This Row],[Serial Prefix]]&amp;IF(New_Xref[[#This Row],[Func Loc]]&lt;&gt;"",New_Xref[[#This Row],[Func Loc]],"NO MATCH")</f>
        <v>7PZ7BRSS .SCBA.SCLH</v>
      </c>
      <c r="S1772" s="3" t="str">
        <f t="shared" si="190"/>
        <v>7PZ71189628XSteering Clutch &amp; Brake LH</v>
      </c>
      <c r="T1772" s="3" t="s">
        <v>4616</v>
      </c>
      <c r="U1772" s="3" t="s">
        <v>108</v>
      </c>
      <c r="V1772" t="str">
        <f t="shared" si="189"/>
        <v>4100LT</v>
      </c>
    </row>
    <row r="1773" spans="1:22">
      <c r="A1773" t="s">
        <v>5081</v>
      </c>
      <c r="B1773" t="s">
        <v>6411</v>
      </c>
      <c r="C1773" t="s">
        <v>5141</v>
      </c>
      <c r="D1773" t="s">
        <v>5142</v>
      </c>
      <c r="E1773" t="s">
        <v>5143</v>
      </c>
      <c r="F1773" t="s">
        <v>27</v>
      </c>
      <c r="G1773">
        <v>1</v>
      </c>
      <c r="H1773" t="s">
        <v>5137</v>
      </c>
      <c r="I1773" t="s">
        <v>6425</v>
      </c>
      <c r="J1773" t="s">
        <v>5147</v>
      </c>
      <c r="K1773" t="s">
        <v>6425</v>
      </c>
      <c r="L1773" t="s">
        <v>4620</v>
      </c>
      <c r="M1773" s="1" t="str">
        <f t="shared" si="191"/>
        <v>08H1064</v>
      </c>
      <c r="N1773" s="1" t="str">
        <f t="shared" si="192"/>
        <v>C/O</v>
      </c>
      <c r="O1773" s="1" t="str">
        <f t="shared" si="193"/>
        <v>Steering Clutch &amp; Brake RH</v>
      </c>
      <c r="P1773" s="1" t="str">
        <f t="shared" si="194"/>
        <v>7PZ7</v>
      </c>
      <c r="Q1773" s="2" t="str">
        <f t="shared" si="195"/>
        <v>7PZ7Steering Clutch &amp; Brake RH</v>
      </c>
      <c r="R1773" s="2" t="str">
        <f>New_Xref[[#This Row],[Serial Prefix]]&amp;IF(New_Xref[[#This Row],[Func Loc]]&lt;&gt;"",New_Xref[[#This Row],[Func Loc]],"NO MATCH")</f>
        <v>7PZ7BRSS .SCBA.SCRH</v>
      </c>
      <c r="S1773" s="3" t="str">
        <f t="shared" si="190"/>
        <v>7PZ71189628XSteering Clutch &amp; Brake RH</v>
      </c>
      <c r="T1773" s="3" t="s">
        <v>4616</v>
      </c>
      <c r="U1773" s="3" t="s">
        <v>115</v>
      </c>
      <c r="V1773" t="str">
        <f t="shared" si="189"/>
        <v>4100RI</v>
      </c>
    </row>
    <row r="1774" spans="1:22">
      <c r="A1774" t="s">
        <v>5081</v>
      </c>
      <c r="B1774" t="s">
        <v>6411</v>
      </c>
      <c r="C1774" t="s">
        <v>5149</v>
      </c>
      <c r="D1774" t="s">
        <v>5150</v>
      </c>
      <c r="E1774" t="s">
        <v>5151</v>
      </c>
      <c r="F1774" t="s">
        <v>125</v>
      </c>
      <c r="G1774">
        <v>1</v>
      </c>
      <c r="H1774" t="s">
        <v>5152</v>
      </c>
      <c r="I1774" t="s">
        <v>6426</v>
      </c>
      <c r="J1774" t="s">
        <v>5154</v>
      </c>
      <c r="K1774" t="s">
        <v>6426</v>
      </c>
      <c r="L1774" t="s">
        <v>4627</v>
      </c>
      <c r="M1774" s="1" t="str">
        <f t="shared" si="191"/>
        <v>08H1064</v>
      </c>
      <c r="N1774" s="1" t="str">
        <f t="shared" si="192"/>
        <v>C/O</v>
      </c>
      <c r="O1774" s="1" t="str">
        <f t="shared" si="193"/>
        <v>Track Frame LH</v>
      </c>
      <c r="P1774" s="1" t="str">
        <f t="shared" si="194"/>
        <v>7PZ7</v>
      </c>
      <c r="Q1774" s="2" t="str">
        <f t="shared" si="195"/>
        <v>7PZ7Track Frame LH</v>
      </c>
      <c r="R1774" s="2" t="str">
        <f>New_Xref[[#This Row],[Serial Prefix]]&amp;IF(New_Xref[[#This Row],[Func Loc]]&lt;&gt;"",New_Xref[[#This Row],[Func Loc]],"NO MATCH")</f>
        <v>7PZ7STRU .TFLH</v>
      </c>
      <c r="S1774" s="3" t="str">
        <f t="shared" si="190"/>
        <v>7PZ71792517FTrack Frame LH</v>
      </c>
      <c r="T1774" s="3" t="s">
        <v>4628</v>
      </c>
      <c r="U1774" s="3" t="s">
        <v>108</v>
      </c>
      <c r="V1774" t="str">
        <f t="shared" si="189"/>
        <v>4150LT</v>
      </c>
    </row>
    <row r="1775" spans="1:22">
      <c r="A1775" t="s">
        <v>5081</v>
      </c>
      <c r="B1775" t="s">
        <v>6411</v>
      </c>
      <c r="C1775" t="s">
        <v>5155</v>
      </c>
      <c r="D1775" t="s">
        <v>5156</v>
      </c>
      <c r="E1775" t="s">
        <v>5151</v>
      </c>
      <c r="F1775" t="s">
        <v>125</v>
      </c>
      <c r="G1775">
        <v>1</v>
      </c>
      <c r="H1775" t="s">
        <v>5157</v>
      </c>
      <c r="I1775" t="s">
        <v>6427</v>
      </c>
      <c r="J1775" t="s">
        <v>5159</v>
      </c>
      <c r="K1775" t="s">
        <v>6427</v>
      </c>
      <c r="L1775" t="s">
        <v>4634</v>
      </c>
      <c r="M1775" s="1" t="str">
        <f t="shared" si="191"/>
        <v>08H1064</v>
      </c>
      <c r="N1775" s="1" t="str">
        <f t="shared" si="192"/>
        <v>C/O</v>
      </c>
      <c r="O1775" s="1" t="str">
        <f t="shared" si="193"/>
        <v>Track Frame RH</v>
      </c>
      <c r="P1775" s="1" t="str">
        <f t="shared" si="194"/>
        <v>7PZ7</v>
      </c>
      <c r="Q1775" s="2" t="str">
        <f t="shared" si="195"/>
        <v>7PZ7Track Frame RH</v>
      </c>
      <c r="R1775" s="2" t="str">
        <f>New_Xref[[#This Row],[Serial Prefix]]&amp;IF(New_Xref[[#This Row],[Func Loc]]&lt;&gt;"",New_Xref[[#This Row],[Func Loc]],"NO MATCH")</f>
        <v>7PZ7STRU .TFRH</v>
      </c>
      <c r="S1775" s="3" t="str">
        <f t="shared" si="190"/>
        <v>7PZ71792516FTrack Frame RH</v>
      </c>
      <c r="T1775" s="3" t="s">
        <v>4628</v>
      </c>
      <c r="U1775" s="3" t="s">
        <v>115</v>
      </c>
      <c r="V1775" t="str">
        <f t="shared" si="189"/>
        <v>4150RI</v>
      </c>
    </row>
    <row r="1776" spans="1:22">
      <c r="A1776" t="s">
        <v>5081</v>
      </c>
      <c r="B1776" t="s">
        <v>6411</v>
      </c>
      <c r="C1776" t="s">
        <v>5028</v>
      </c>
      <c r="D1776" t="s">
        <v>5029</v>
      </c>
      <c r="E1776" t="s">
        <v>5030</v>
      </c>
      <c r="F1776" t="s">
        <v>27</v>
      </c>
      <c r="G1776">
        <v>1</v>
      </c>
      <c r="H1776" t="s">
        <v>5160</v>
      </c>
      <c r="I1776" t="s">
        <v>6426</v>
      </c>
      <c r="J1776" t="s">
        <v>5162</v>
      </c>
      <c r="K1776" t="s">
        <v>6426</v>
      </c>
      <c r="L1776" t="s">
        <v>4627</v>
      </c>
      <c r="M1776" s="1" t="str">
        <f t="shared" si="191"/>
        <v>08H1064</v>
      </c>
      <c r="N1776" s="1" t="str">
        <f t="shared" si="192"/>
        <v>C/O</v>
      </c>
      <c r="O1776" s="1" t="str">
        <f t="shared" si="193"/>
        <v>Track Frame LH</v>
      </c>
      <c r="P1776" s="1" t="str">
        <f t="shared" si="194"/>
        <v>7PZ7</v>
      </c>
      <c r="Q1776" s="2" t="str">
        <f t="shared" si="195"/>
        <v>7PZ7Track Frame LH</v>
      </c>
      <c r="R1776" s="2" t="str">
        <f>New_Xref[[#This Row],[Serial Prefix]]&amp;IF(New_Xref[[#This Row],[Func Loc]]&lt;&gt;"",New_Xref[[#This Row],[Func Loc]],"NO MATCH")</f>
        <v>7PZ7STRU .TFLH</v>
      </c>
      <c r="S1776" s="3" t="str">
        <f t="shared" si="190"/>
        <v>7PZ73370989FTrack Frame LH</v>
      </c>
      <c r="T1776" s="3" t="s">
        <v>4628</v>
      </c>
      <c r="U1776" s="3" t="s">
        <v>108</v>
      </c>
      <c r="V1776" t="str">
        <f t="shared" si="189"/>
        <v>4150LT</v>
      </c>
    </row>
    <row r="1777" spans="1:22">
      <c r="A1777" t="s">
        <v>5081</v>
      </c>
      <c r="B1777" t="s">
        <v>6411</v>
      </c>
      <c r="C1777" t="s">
        <v>5034</v>
      </c>
      <c r="D1777" t="s">
        <v>5035</v>
      </c>
      <c r="E1777" t="s">
        <v>5036</v>
      </c>
      <c r="F1777" t="s">
        <v>27</v>
      </c>
      <c r="G1777">
        <v>1</v>
      </c>
      <c r="H1777" t="s">
        <v>5163</v>
      </c>
      <c r="I1777" t="s">
        <v>6427</v>
      </c>
      <c r="J1777" t="s">
        <v>5165</v>
      </c>
      <c r="K1777" t="s">
        <v>6427</v>
      </c>
      <c r="L1777" t="s">
        <v>4634</v>
      </c>
      <c r="M1777" s="1" t="str">
        <f t="shared" si="191"/>
        <v>08H1064</v>
      </c>
      <c r="N1777" s="1" t="str">
        <f t="shared" si="192"/>
        <v>C/O</v>
      </c>
      <c r="O1777" s="1" t="str">
        <f t="shared" si="193"/>
        <v>Track Frame RH</v>
      </c>
      <c r="P1777" s="1" t="str">
        <f t="shared" si="194"/>
        <v>7PZ7</v>
      </c>
      <c r="Q1777" s="2" t="str">
        <f t="shared" si="195"/>
        <v>7PZ7Track Frame RH</v>
      </c>
      <c r="R1777" s="2" t="str">
        <f>New_Xref[[#This Row],[Serial Prefix]]&amp;IF(New_Xref[[#This Row],[Func Loc]]&lt;&gt;"",New_Xref[[#This Row],[Func Loc]],"NO MATCH")</f>
        <v>7PZ7STRU .TFRH</v>
      </c>
      <c r="S1777" s="3" t="str">
        <f t="shared" si="190"/>
        <v>7PZ73370988FTrack Frame RH</v>
      </c>
      <c r="T1777" s="3" t="s">
        <v>4628</v>
      </c>
      <c r="U1777" s="3" t="s">
        <v>115</v>
      </c>
      <c r="V1777" t="str">
        <f t="shared" si="189"/>
        <v>4150RI</v>
      </c>
    </row>
    <row r="1778" spans="1:22">
      <c r="A1778" t="s">
        <v>5081</v>
      </c>
      <c r="B1778" t="s">
        <v>6411</v>
      </c>
      <c r="C1778" t="s">
        <v>5041</v>
      </c>
      <c r="D1778" t="s">
        <v>5042</v>
      </c>
      <c r="E1778" t="s">
        <v>5043</v>
      </c>
      <c r="F1778" t="s">
        <v>27</v>
      </c>
      <c r="G1778">
        <v>1</v>
      </c>
      <c r="H1778" t="s">
        <v>5167</v>
      </c>
      <c r="I1778" t="s">
        <v>6428</v>
      </c>
      <c r="J1778" t="s">
        <v>5169</v>
      </c>
      <c r="K1778" t="s">
        <v>6428</v>
      </c>
      <c r="L1778" t="s">
        <v>4641</v>
      </c>
      <c r="M1778" s="1" t="str">
        <f t="shared" si="191"/>
        <v>08H1064</v>
      </c>
      <c r="N1778" s="1" t="str">
        <f t="shared" si="192"/>
        <v>C/O</v>
      </c>
      <c r="O1778" s="1" t="str">
        <f t="shared" si="193"/>
        <v>Pivot Shaft</v>
      </c>
      <c r="P1778" s="1" t="str">
        <f t="shared" si="194"/>
        <v>7PZ7</v>
      </c>
      <c r="Q1778" s="2" t="str">
        <f t="shared" si="195"/>
        <v>7PZ7Pivot Shaft</v>
      </c>
      <c r="R1778" s="2" t="str">
        <f>New_Xref[[#This Row],[Serial Prefix]]&amp;IF(New_Xref[[#This Row],[Func Loc]]&lt;&gt;"",New_Xref[[#This Row],[Func Loc]],"NO MATCH")</f>
        <v>7PZ7STRU .CHAS.PISH</v>
      </c>
      <c r="S1778" s="3" t="str">
        <f t="shared" si="190"/>
        <v>7PZ710R9168Pivot Shaft</v>
      </c>
      <c r="T1778" s="3" t="s">
        <v>4642</v>
      </c>
      <c r="U1778" s="3" t="s">
        <v>34</v>
      </c>
      <c r="V1778" t="str">
        <f t="shared" si="189"/>
        <v>415300</v>
      </c>
    </row>
    <row r="1779" spans="1:22">
      <c r="A1779" t="s">
        <v>5081</v>
      </c>
      <c r="B1779" t="s">
        <v>6411</v>
      </c>
      <c r="C1779" t="s">
        <v>614</v>
      </c>
      <c r="D1779" t="s">
        <v>615</v>
      </c>
      <c r="E1779" t="s">
        <v>616</v>
      </c>
      <c r="F1779" t="s">
        <v>27</v>
      </c>
      <c r="G1779">
        <v>1</v>
      </c>
      <c r="H1779" t="s">
        <v>5170</v>
      </c>
      <c r="I1779" t="s">
        <v>6429</v>
      </c>
      <c r="J1779" t="s">
        <v>5172</v>
      </c>
      <c r="K1779" t="s">
        <v>6429</v>
      </c>
      <c r="L1779" t="s">
        <v>2453</v>
      </c>
      <c r="M1779" s="1" t="str">
        <f t="shared" si="191"/>
        <v>08H1064</v>
      </c>
      <c r="N1779" s="1" t="str">
        <f t="shared" si="192"/>
        <v>C/O</v>
      </c>
      <c r="O1779" s="1" t="str">
        <f t="shared" si="193"/>
        <v>Main Hydraulic Pump</v>
      </c>
      <c r="P1779" s="1" t="str">
        <f t="shared" si="194"/>
        <v>7PZ7</v>
      </c>
      <c r="Q1779" s="2" t="str">
        <f t="shared" si="195"/>
        <v>7PZ7Main Hydraulic Pump</v>
      </c>
      <c r="R1779" s="2" t="str">
        <f>New_Xref[[#This Row],[Serial Prefix]]&amp;IF(New_Xref[[#This Row],[Func Loc]]&lt;&gt;"",New_Xref[[#This Row],[Func Loc]],"NO MATCH")</f>
        <v>7PZ7MYHD .PUMP.HP01</v>
      </c>
      <c r="S1779" s="3" t="str">
        <f t="shared" si="190"/>
        <v>7PZ710R7974Main Hydraulic Pump</v>
      </c>
      <c r="T1779" s="3" t="s">
        <v>503</v>
      </c>
      <c r="U1779" s="3" t="s">
        <v>34</v>
      </c>
      <c r="V1779" t="str">
        <f t="shared" si="189"/>
        <v>507300</v>
      </c>
    </row>
    <row r="1780" spans="1:22">
      <c r="A1780" t="s">
        <v>5081</v>
      </c>
      <c r="B1780" t="s">
        <v>6411</v>
      </c>
      <c r="H1780" t="s">
        <v>5173</v>
      </c>
      <c r="I1780" t="s">
        <v>6430</v>
      </c>
      <c r="J1780" t="s">
        <v>5175</v>
      </c>
      <c r="K1780" t="s">
        <v>6430</v>
      </c>
      <c r="L1780" t="s">
        <v>375</v>
      </c>
      <c r="M1780" s="1" t="str">
        <f t="shared" si="191"/>
        <v>08H1064</v>
      </c>
      <c r="N1780" s="1" t="str">
        <f t="shared" si="192"/>
        <v>C/O</v>
      </c>
      <c r="O1780" s="1" t="str">
        <f t="shared" si="193"/>
        <v>Blade Tilt Cylinder LH</v>
      </c>
      <c r="P1780" s="1" t="str">
        <f t="shared" si="194"/>
        <v>7PZ7</v>
      </c>
      <c r="Q1780" s="2" t="str">
        <f t="shared" si="195"/>
        <v>7PZ7Blade Tilt Cylinder LH</v>
      </c>
      <c r="R1780" s="2" t="str">
        <f>New_Xref[[#This Row],[Serial Prefix]]&amp;IF(New_Xref[[#This Row],[Func Loc]]&lt;&gt;"",New_Xref[[#This Row],[Func Loc]],"NO MATCH")</f>
        <v>7PZ7MYHD .CYLI.BLTL</v>
      </c>
      <c r="S1780" s="3" t="str">
        <f t="shared" si="190"/>
        <v>7PZ7Blade Tilt Cylinder LH</v>
      </c>
      <c r="T1780" s="3" t="s">
        <v>638</v>
      </c>
      <c r="U1780" s="3" t="s">
        <v>108</v>
      </c>
      <c r="V1780" t="str">
        <f t="shared" si="189"/>
        <v>5104LT</v>
      </c>
    </row>
    <row r="1781" spans="1:22">
      <c r="A1781" t="s">
        <v>5081</v>
      </c>
      <c r="B1781" t="s">
        <v>6411</v>
      </c>
      <c r="H1781" t="s">
        <v>5176</v>
      </c>
      <c r="I1781" t="s">
        <v>6431</v>
      </c>
      <c r="J1781" t="s">
        <v>5178</v>
      </c>
      <c r="K1781" t="s">
        <v>6431</v>
      </c>
      <c r="L1781" t="s">
        <v>378</v>
      </c>
      <c r="M1781" s="1" t="str">
        <f t="shared" si="191"/>
        <v>08H1064</v>
      </c>
      <c r="N1781" s="1" t="str">
        <f t="shared" si="192"/>
        <v>C/O</v>
      </c>
      <c r="O1781" s="1" t="str">
        <f t="shared" si="193"/>
        <v>Blade Tilt Cylinder RH</v>
      </c>
      <c r="P1781" s="1" t="str">
        <f t="shared" si="194"/>
        <v>7PZ7</v>
      </c>
      <c r="Q1781" s="2" t="str">
        <f t="shared" si="195"/>
        <v>7PZ7Blade Tilt Cylinder RH</v>
      </c>
      <c r="R1781" s="2" t="str">
        <f>New_Xref[[#This Row],[Serial Prefix]]&amp;IF(New_Xref[[#This Row],[Func Loc]]&lt;&gt;"",New_Xref[[#This Row],[Func Loc]],"NO MATCH")</f>
        <v>7PZ7MYHD .CYLI.BLTR</v>
      </c>
      <c r="S1781" s="3" t="str">
        <f t="shared" si="190"/>
        <v>7PZ7Blade Tilt Cylinder RH</v>
      </c>
      <c r="T1781" s="3" t="s">
        <v>638</v>
      </c>
      <c r="U1781" s="3" t="s">
        <v>115</v>
      </c>
      <c r="V1781" t="str">
        <f t="shared" si="189"/>
        <v>5104RI</v>
      </c>
    </row>
    <row r="1782" spans="1:22">
      <c r="A1782" t="s">
        <v>5081</v>
      </c>
      <c r="B1782" t="s">
        <v>6411</v>
      </c>
      <c r="H1782" t="s">
        <v>5179</v>
      </c>
      <c r="I1782" t="s">
        <v>6432</v>
      </c>
      <c r="J1782" t="s">
        <v>5181</v>
      </c>
      <c r="K1782" t="s">
        <v>6432</v>
      </c>
      <c r="L1782" t="s">
        <v>129</v>
      </c>
      <c r="M1782" s="1" t="str">
        <f t="shared" si="191"/>
        <v>08H1064</v>
      </c>
      <c r="N1782" s="1" t="str">
        <f t="shared" si="192"/>
        <v>C/O</v>
      </c>
      <c r="O1782" s="1" t="str">
        <f t="shared" si="193"/>
        <v>Blade Lift Cylinder LH</v>
      </c>
      <c r="P1782" s="1" t="str">
        <f t="shared" si="194"/>
        <v>7PZ7</v>
      </c>
      <c r="Q1782" s="2" t="str">
        <f t="shared" si="195"/>
        <v>7PZ7Blade Lift Cylinder LH</v>
      </c>
      <c r="R1782" s="2" t="str">
        <f>New_Xref[[#This Row],[Serial Prefix]]&amp;IF(New_Xref[[#This Row],[Func Loc]]&lt;&gt;"",New_Xref[[#This Row],[Func Loc]],"NO MATCH")</f>
        <v>7PZ7MYHD .CYLI.BLLL</v>
      </c>
      <c r="S1782" s="3" t="str">
        <f t="shared" si="190"/>
        <v>7PZ7Blade Lift Cylinder LH</v>
      </c>
      <c r="T1782" s="3" t="s">
        <v>4783</v>
      </c>
      <c r="U1782" s="3" t="s">
        <v>108</v>
      </c>
      <c r="V1782" t="str">
        <f t="shared" si="189"/>
        <v>5113LT</v>
      </c>
    </row>
    <row r="1783" spans="1:22">
      <c r="A1783" t="s">
        <v>5081</v>
      </c>
      <c r="B1783" t="s">
        <v>6411</v>
      </c>
      <c r="H1783" t="s">
        <v>5179</v>
      </c>
      <c r="I1783" t="s">
        <v>6433</v>
      </c>
      <c r="J1783" t="s">
        <v>5183</v>
      </c>
      <c r="K1783" t="s">
        <v>6433</v>
      </c>
      <c r="L1783" t="s">
        <v>133</v>
      </c>
      <c r="M1783" s="1" t="str">
        <f t="shared" si="191"/>
        <v>08H1064</v>
      </c>
      <c r="N1783" s="1" t="str">
        <f t="shared" si="192"/>
        <v>C/O</v>
      </c>
      <c r="O1783" s="1" t="str">
        <f t="shared" si="193"/>
        <v>Blade Lift Cylinder RH</v>
      </c>
      <c r="P1783" s="1" t="str">
        <f t="shared" si="194"/>
        <v>7PZ7</v>
      </c>
      <c r="Q1783" s="2" t="str">
        <f t="shared" si="195"/>
        <v>7PZ7Blade Lift Cylinder RH</v>
      </c>
      <c r="R1783" s="2" t="str">
        <f>New_Xref[[#This Row],[Serial Prefix]]&amp;IF(New_Xref[[#This Row],[Func Loc]]&lt;&gt;"",New_Xref[[#This Row],[Func Loc]],"NO MATCH")</f>
        <v>7PZ7MYHD .CYLI.BLLR</v>
      </c>
      <c r="S1783" s="3" t="str">
        <f t="shared" si="190"/>
        <v>7PZ7Blade Lift Cylinder RH</v>
      </c>
      <c r="T1783" s="3" t="s">
        <v>4783</v>
      </c>
      <c r="U1783" s="3" t="s">
        <v>115</v>
      </c>
      <c r="V1783" t="str">
        <f t="shared" si="189"/>
        <v>5113RI</v>
      </c>
    </row>
    <row r="1784" spans="1:22">
      <c r="A1784" t="s">
        <v>5081</v>
      </c>
      <c r="B1784" t="s">
        <v>6411</v>
      </c>
      <c r="H1784" t="s">
        <v>5184</v>
      </c>
      <c r="I1784" t="s">
        <v>6434</v>
      </c>
      <c r="J1784" t="s">
        <v>5186</v>
      </c>
      <c r="K1784" t="s">
        <v>6434</v>
      </c>
      <c r="L1784" t="s">
        <v>1923</v>
      </c>
      <c r="M1784" s="1" t="str">
        <f t="shared" si="191"/>
        <v>08H1064</v>
      </c>
      <c r="N1784" s="1" t="str">
        <f t="shared" si="192"/>
        <v>C/O</v>
      </c>
      <c r="O1784" s="1" t="str">
        <f t="shared" si="193"/>
        <v>Ripper Lift Cylinder RH</v>
      </c>
      <c r="P1784" s="1" t="str">
        <f t="shared" si="194"/>
        <v>7PZ7</v>
      </c>
      <c r="Q1784" s="2" t="str">
        <f t="shared" si="195"/>
        <v>7PZ7Ripper Lift Cylinder RH</v>
      </c>
      <c r="R1784" s="2" t="str">
        <f>New_Xref[[#This Row],[Serial Prefix]]&amp;IF(New_Xref[[#This Row],[Func Loc]]&lt;&gt;"",New_Xref[[#This Row],[Func Loc]],"NO MATCH")</f>
        <v>7PZ7MYHD .CYLI.RILR</v>
      </c>
      <c r="S1784" s="3" t="str">
        <f t="shared" si="190"/>
        <v>7PZ7Ripper Lift Cylinder RH</v>
      </c>
      <c r="T1784" s="3" t="s">
        <v>246</v>
      </c>
      <c r="U1784" s="3" t="s">
        <v>115</v>
      </c>
      <c r="V1784" t="str">
        <f t="shared" si="189"/>
        <v>5352RI</v>
      </c>
    </row>
    <row r="1785" spans="1:22">
      <c r="A1785" t="s">
        <v>5081</v>
      </c>
      <c r="B1785" t="s">
        <v>6411</v>
      </c>
      <c r="H1785" t="s">
        <v>5188</v>
      </c>
      <c r="I1785" t="s">
        <v>6435</v>
      </c>
      <c r="J1785" t="s">
        <v>5190</v>
      </c>
      <c r="K1785" t="s">
        <v>6435</v>
      </c>
      <c r="L1785" t="s">
        <v>2092</v>
      </c>
      <c r="M1785" s="1" t="str">
        <f t="shared" si="191"/>
        <v>08H1064</v>
      </c>
      <c r="N1785" s="1" t="str">
        <f t="shared" si="192"/>
        <v>C/O</v>
      </c>
      <c r="O1785" s="1" t="str">
        <f t="shared" si="193"/>
        <v>Ripper Lift Cylinder LH</v>
      </c>
      <c r="P1785" s="1" t="str">
        <f t="shared" si="194"/>
        <v>7PZ7</v>
      </c>
      <c r="Q1785" s="2" t="str">
        <f t="shared" si="195"/>
        <v>7PZ7Ripper Lift Cylinder LH</v>
      </c>
      <c r="R1785" s="2" t="str">
        <f>New_Xref[[#This Row],[Serial Prefix]]&amp;IF(New_Xref[[#This Row],[Func Loc]]&lt;&gt;"",New_Xref[[#This Row],[Func Loc]],"NO MATCH")</f>
        <v>7PZ7MYHD .CYLI.RILL</v>
      </c>
      <c r="S1785" s="3" t="str">
        <f t="shared" si="190"/>
        <v>7PZ7Ripper Lift Cylinder LH</v>
      </c>
      <c r="T1785" s="3" t="s">
        <v>246</v>
      </c>
      <c r="U1785" s="3" t="s">
        <v>108</v>
      </c>
      <c r="V1785" t="str">
        <f t="shared" si="189"/>
        <v>5352LT</v>
      </c>
    </row>
    <row r="1786" spans="1:22">
      <c r="A1786" t="s">
        <v>5081</v>
      </c>
      <c r="B1786" t="s">
        <v>6411</v>
      </c>
      <c r="H1786" t="s">
        <v>5191</v>
      </c>
      <c r="I1786" t="s">
        <v>6436</v>
      </c>
      <c r="J1786" t="s">
        <v>5193</v>
      </c>
      <c r="K1786" t="s">
        <v>6436</v>
      </c>
      <c r="L1786" t="s">
        <v>4684</v>
      </c>
      <c r="M1786" s="1" t="str">
        <f t="shared" si="191"/>
        <v>08H1064</v>
      </c>
      <c r="N1786" s="1" t="str">
        <f t="shared" si="192"/>
        <v>C/O</v>
      </c>
      <c r="O1786" s="1" t="str">
        <f t="shared" si="193"/>
        <v>Ripper Tilt Cylinder LH</v>
      </c>
      <c r="P1786" s="1" t="str">
        <f t="shared" si="194"/>
        <v>7PZ7</v>
      </c>
      <c r="Q1786" s="2" t="str">
        <f t="shared" si="195"/>
        <v>7PZ7Ripper Tilt Cylinder LH</v>
      </c>
      <c r="R1786" s="2" t="str">
        <f>New_Xref[[#This Row],[Serial Prefix]]&amp;IF(New_Xref[[#This Row],[Func Loc]]&lt;&gt;"",New_Xref[[#This Row],[Func Loc]],"NO MATCH")</f>
        <v>7PZ7MYHD .CYLI.RITL</v>
      </c>
      <c r="S1786" s="3" t="str">
        <f t="shared" si="190"/>
        <v>7PZ7Ripper Tilt Cylinder LH</v>
      </c>
      <c r="T1786" s="3" t="s">
        <v>4685</v>
      </c>
      <c r="U1786" s="3" t="s">
        <v>108</v>
      </c>
      <c r="V1786" t="str">
        <f t="shared" si="189"/>
        <v>5356LT</v>
      </c>
    </row>
    <row r="1787" spans="1:22">
      <c r="A1787" t="s">
        <v>5081</v>
      </c>
      <c r="B1787" t="s">
        <v>6411</v>
      </c>
      <c r="H1787" t="s">
        <v>5194</v>
      </c>
      <c r="I1787" t="s">
        <v>6437</v>
      </c>
      <c r="J1787" t="s">
        <v>5196</v>
      </c>
      <c r="K1787" t="s">
        <v>6437</v>
      </c>
      <c r="L1787" t="s">
        <v>4688</v>
      </c>
      <c r="M1787" s="1" t="str">
        <f t="shared" si="191"/>
        <v>08H1064</v>
      </c>
      <c r="N1787" s="1" t="str">
        <f t="shared" si="192"/>
        <v>C/O</v>
      </c>
      <c r="O1787" s="1" t="str">
        <f t="shared" si="193"/>
        <v>Ripper Tilt Cylinder RH</v>
      </c>
      <c r="P1787" s="1" t="str">
        <f t="shared" si="194"/>
        <v>7PZ7</v>
      </c>
      <c r="Q1787" s="2" t="str">
        <f t="shared" si="195"/>
        <v>7PZ7Ripper Tilt Cylinder RH</v>
      </c>
      <c r="R1787" s="2" t="str">
        <f>New_Xref[[#This Row],[Serial Prefix]]&amp;IF(New_Xref[[#This Row],[Func Loc]]&lt;&gt;"",New_Xref[[#This Row],[Func Loc]],"NO MATCH")</f>
        <v>7PZ7MYHD .CYLI.RITR</v>
      </c>
      <c r="S1787" s="3" t="str">
        <f t="shared" si="190"/>
        <v>7PZ7Ripper Tilt Cylinder RH</v>
      </c>
      <c r="T1787" s="3" t="s">
        <v>4685</v>
      </c>
      <c r="U1787" s="3" t="s">
        <v>115</v>
      </c>
      <c r="V1787" t="str">
        <f t="shared" si="189"/>
        <v>5356RI</v>
      </c>
    </row>
    <row r="1788" spans="1:22">
      <c r="A1788" t="s">
        <v>5197</v>
      </c>
      <c r="B1788" t="s">
        <v>5225</v>
      </c>
      <c r="I1788" t="s">
        <v>6438</v>
      </c>
      <c r="K1788" t="s">
        <v>6439</v>
      </c>
      <c r="L1788" t="s">
        <v>4615</v>
      </c>
      <c r="M1788" s="1" t="str">
        <f t="shared" si="191"/>
        <v>08R231</v>
      </c>
      <c r="N1788" s="1" t="str">
        <f t="shared" si="192"/>
        <v>C/O</v>
      </c>
      <c r="O1788" s="1" t="str">
        <f t="shared" si="193"/>
        <v>Steering Clutch &amp; Brake LH</v>
      </c>
      <c r="P1788" s="1" t="str">
        <f t="shared" si="194"/>
        <v>JEL0</v>
      </c>
      <c r="Q1788" s="2" t="str">
        <f t="shared" si="195"/>
        <v>JEL0Steering Clutch &amp; Brake LH</v>
      </c>
      <c r="R1788" s="2" t="str">
        <f>New_Xref[[#This Row],[Serial Prefix]]&amp;IF(New_Xref[[#This Row],[Func Loc]]&lt;&gt;"",New_Xref[[#This Row],[Func Loc]],"NO MATCH")</f>
        <v>JEL0BRSS .SCBA.SCLH</v>
      </c>
      <c r="S1788" s="3" t="str">
        <f t="shared" si="190"/>
        <v>JEL0Steering Clutch &amp; Brake LH</v>
      </c>
      <c r="T1788" t="s">
        <v>4616</v>
      </c>
      <c r="U1788" t="s">
        <v>108</v>
      </c>
      <c r="V1788" t="str">
        <f t="shared" si="189"/>
        <v>4100LT</v>
      </c>
    </row>
    <row r="1789" spans="1:22">
      <c r="A1789" t="s">
        <v>5197</v>
      </c>
      <c r="B1789" t="s">
        <v>5225</v>
      </c>
      <c r="I1789" t="s">
        <v>6440</v>
      </c>
      <c r="K1789" t="s">
        <v>6441</v>
      </c>
      <c r="L1789" t="s">
        <v>4620</v>
      </c>
      <c r="M1789" s="1" t="str">
        <f t="shared" si="191"/>
        <v>08R231</v>
      </c>
      <c r="N1789" s="1" t="str">
        <f t="shared" si="192"/>
        <v>C/O</v>
      </c>
      <c r="O1789" s="1" t="str">
        <f t="shared" si="193"/>
        <v>Steering Clutch &amp; Brake RH</v>
      </c>
      <c r="P1789" s="1" t="str">
        <f t="shared" si="194"/>
        <v>JEL0</v>
      </c>
      <c r="Q1789" s="2" t="str">
        <f t="shared" si="195"/>
        <v>JEL0Steering Clutch &amp; Brake RH</v>
      </c>
      <c r="R1789" s="2" t="str">
        <f>New_Xref[[#This Row],[Serial Prefix]]&amp;IF(New_Xref[[#This Row],[Func Loc]]&lt;&gt;"",New_Xref[[#This Row],[Func Loc]],"NO MATCH")</f>
        <v>JEL0BRSS .SCBA.SCRH</v>
      </c>
      <c r="S1789" s="3" t="str">
        <f t="shared" si="190"/>
        <v>JEL0Steering Clutch &amp; Brake RH</v>
      </c>
      <c r="T1789" t="s">
        <v>4616</v>
      </c>
      <c r="U1789" t="s">
        <v>115</v>
      </c>
      <c r="V1789" t="str">
        <f t="shared" si="189"/>
        <v>4100RI</v>
      </c>
    </row>
    <row r="1790" spans="1:22">
      <c r="A1790" t="s">
        <v>22</v>
      </c>
      <c r="B1790" t="s">
        <v>23</v>
      </c>
      <c r="I1790" t="s">
        <v>6442</v>
      </c>
      <c r="K1790" t="s">
        <v>6443</v>
      </c>
      <c r="L1790" t="s">
        <v>140</v>
      </c>
      <c r="M1790" s="1" t="str">
        <f t="shared" si="191"/>
        <v>12W566C/O</v>
      </c>
      <c r="N1790" s="1" t="str">
        <f t="shared" si="192"/>
        <v>Circle</v>
      </c>
      <c r="O1790" s="1" t="str">
        <f t="shared" si="193"/>
        <v>Drive Gearbox</v>
      </c>
      <c r="P1790" s="1" t="str">
        <f t="shared" si="194"/>
        <v>F520</v>
      </c>
      <c r="Q1790" s="2" t="str">
        <f t="shared" si="195"/>
        <v>F520Drive Gearbox</v>
      </c>
      <c r="R1790" s="2" t="str">
        <f>New_Xref[[#This Row],[Serial Prefix]]&amp;IF(New_Xref[[#This Row],[Func Loc]]&lt;&gt;"",New_Xref[[#This Row],[Func Loc]],"NO MATCH")</f>
        <v>F520STRU .CHAS.CDGB</v>
      </c>
      <c r="S1790" s="3" t="str">
        <f t="shared" si="190"/>
        <v>F520Drive Gearbox</v>
      </c>
      <c r="T1790" s="3" t="s">
        <v>141</v>
      </c>
      <c r="U1790" s="3" t="s">
        <v>34</v>
      </c>
      <c r="V1790" t="str">
        <f t="shared" si="189"/>
        <v>520700</v>
      </c>
    </row>
    <row r="1791" spans="1:22">
      <c r="A1791" t="s">
        <v>5197</v>
      </c>
      <c r="B1791" t="s">
        <v>5225</v>
      </c>
      <c r="I1791" t="s">
        <v>6444</v>
      </c>
      <c r="K1791" t="s">
        <v>6445</v>
      </c>
      <c r="L1791" t="s">
        <v>2092</v>
      </c>
      <c r="M1791" s="1" t="str">
        <f t="shared" si="191"/>
        <v>08R231</v>
      </c>
      <c r="N1791" s="1" t="str">
        <f t="shared" si="192"/>
        <v>C/O</v>
      </c>
      <c r="O1791" s="1" t="str">
        <f t="shared" si="193"/>
        <v>Ripper Lift Cylinder LH</v>
      </c>
      <c r="P1791" s="1" t="str">
        <f t="shared" si="194"/>
        <v>JEL0</v>
      </c>
      <c r="Q1791" s="2" t="str">
        <f t="shared" si="195"/>
        <v>JEL0Ripper Lift Cylinder LH</v>
      </c>
      <c r="R1791" s="2" t="str">
        <f>New_Xref[[#This Row],[Serial Prefix]]&amp;IF(New_Xref[[#This Row],[Func Loc]]&lt;&gt;"",New_Xref[[#This Row],[Func Loc]],"NO MATCH")</f>
        <v>JEL0MYHD .CYLI.RILL</v>
      </c>
      <c r="S1791" s="3" t="str">
        <f t="shared" si="190"/>
        <v>JEL0Ripper Lift Cylinder LH</v>
      </c>
      <c r="T1791" t="s">
        <v>4685</v>
      </c>
      <c r="U1791" t="s">
        <v>108</v>
      </c>
      <c r="V1791" t="str">
        <f t="shared" si="189"/>
        <v>5356LT</v>
      </c>
    </row>
    <row r="1792" spans="1:22">
      <c r="A1792" t="s">
        <v>5197</v>
      </c>
      <c r="B1792" t="s">
        <v>5225</v>
      </c>
      <c r="I1792" t="s">
        <v>6446</v>
      </c>
      <c r="K1792" t="s">
        <v>6447</v>
      </c>
      <c r="L1792" t="s">
        <v>1923</v>
      </c>
      <c r="M1792" s="1" t="str">
        <f t="shared" si="191"/>
        <v>08R231</v>
      </c>
      <c r="N1792" s="1" t="str">
        <f t="shared" si="192"/>
        <v>C/O</v>
      </c>
      <c r="O1792" s="1" t="str">
        <f t="shared" si="193"/>
        <v>Ripper Lift Cylinder RH</v>
      </c>
      <c r="P1792" s="1" t="str">
        <f t="shared" si="194"/>
        <v>JEL0</v>
      </c>
      <c r="Q1792" s="2" t="str">
        <f t="shared" si="195"/>
        <v>JEL0Ripper Lift Cylinder RH</v>
      </c>
      <c r="R1792" s="2" t="str">
        <f>New_Xref[[#This Row],[Serial Prefix]]&amp;IF(New_Xref[[#This Row],[Func Loc]]&lt;&gt;"",New_Xref[[#This Row],[Func Loc]],"NO MATCH")</f>
        <v>JEL0MYHD .CYLI.RILR</v>
      </c>
      <c r="S1792" s="3" t="str">
        <f t="shared" si="190"/>
        <v>JEL0Ripper Lift Cylinder RH</v>
      </c>
      <c r="T1792" t="s">
        <v>4685</v>
      </c>
      <c r="U1792" t="s">
        <v>115</v>
      </c>
      <c r="V1792" t="str">
        <f t="shared" si="189"/>
        <v>5356RI</v>
      </c>
    </row>
    <row r="1793" spans="1:22">
      <c r="A1793" t="s">
        <v>5197</v>
      </c>
      <c r="B1793" t="s">
        <v>5225</v>
      </c>
      <c r="I1793" t="s">
        <v>6448</v>
      </c>
      <c r="K1793" t="s">
        <v>6448</v>
      </c>
      <c r="L1793" t="s">
        <v>72</v>
      </c>
      <c r="M1793" s="1" t="str">
        <f t="shared" si="191"/>
        <v>08R231</v>
      </c>
      <c r="N1793" s="1" t="str">
        <f t="shared" si="192"/>
        <v>C/O</v>
      </c>
      <c r="O1793" s="1" t="str">
        <f t="shared" si="193"/>
        <v>Transmission</v>
      </c>
      <c r="P1793" s="1" t="str">
        <f t="shared" si="194"/>
        <v>JEL0</v>
      </c>
      <c r="Q1793" s="2" t="str">
        <f t="shared" si="195"/>
        <v>JEL0Transmission</v>
      </c>
      <c r="R1793" s="2" t="str">
        <f>New_Xref[[#This Row],[Serial Prefix]]&amp;IF(New_Xref[[#This Row],[Func Loc]]&lt;&gt;"",New_Xref[[#This Row],[Func Loc]],"NO MATCH")</f>
        <v>JEL0TRAN .TRAN</v>
      </c>
      <c r="S1793" s="3" t="str">
        <f t="shared" si="190"/>
        <v>JEL0Transmission</v>
      </c>
      <c r="T1793" t="s">
        <v>73</v>
      </c>
      <c r="U1793" t="s">
        <v>34</v>
      </c>
      <c r="V1793" t="str">
        <f t="shared" si="189"/>
        <v>303000</v>
      </c>
    </row>
  </sheetData>
  <conditionalFormatting sqref="Q2:R1793">
    <cfRule type="duplicateValues" dxfId="34" priority="32"/>
  </conditionalFormatting>
  <conditionalFormatting sqref="Q1705:R1705">
    <cfRule type="duplicateValues" dxfId="33" priority="31"/>
  </conditionalFormatting>
  <conditionalFormatting sqref="Q1706:R1707">
    <cfRule type="duplicateValues" dxfId="32" priority="30"/>
  </conditionalFormatting>
  <conditionalFormatting sqref="Q1708:R1708">
    <cfRule type="duplicateValues" dxfId="31" priority="29"/>
  </conditionalFormatting>
  <conditionalFormatting sqref="Q1709:R1710">
    <cfRule type="duplicateValues" dxfId="30" priority="28"/>
  </conditionalFormatting>
  <conditionalFormatting sqref="Q1711:R1711">
    <cfRule type="duplicateValues" dxfId="29" priority="27"/>
  </conditionalFormatting>
  <conditionalFormatting sqref="Q1712:R1712">
    <cfRule type="duplicateValues" dxfId="28" priority="26"/>
  </conditionalFormatting>
  <conditionalFormatting sqref="Q1713:R1714">
    <cfRule type="duplicateValues" dxfId="27" priority="25"/>
  </conditionalFormatting>
  <conditionalFormatting sqref="Q1715:R1716">
    <cfRule type="duplicateValues" dxfId="26" priority="24"/>
  </conditionalFormatting>
  <conditionalFormatting sqref="Q1717:R1717">
    <cfRule type="duplicateValues" dxfId="25" priority="23"/>
  </conditionalFormatting>
  <conditionalFormatting sqref="Q1718:R1719">
    <cfRule type="duplicateValues" dxfId="24" priority="22"/>
  </conditionalFormatting>
  <conditionalFormatting sqref="Q1720:R1721">
    <cfRule type="duplicateValues" dxfId="23" priority="21"/>
  </conditionalFormatting>
  <conditionalFormatting sqref="Q1722:R1723">
    <cfRule type="duplicateValues" dxfId="22" priority="20"/>
  </conditionalFormatting>
  <conditionalFormatting sqref="Q1724:R1725">
    <cfRule type="duplicateValues" dxfId="21" priority="19"/>
  </conditionalFormatting>
  <conditionalFormatting sqref="Q1726:R1727">
    <cfRule type="duplicateValues" dxfId="20" priority="18"/>
  </conditionalFormatting>
  <conditionalFormatting sqref="Q1728:R1735">
    <cfRule type="duplicateValues" dxfId="19" priority="17"/>
  </conditionalFormatting>
  <conditionalFormatting sqref="Q1736:R1736">
    <cfRule type="duplicateValues" dxfId="18" priority="16"/>
  </conditionalFormatting>
  <conditionalFormatting sqref="Q1737:R1737">
    <cfRule type="duplicateValues" dxfId="17" priority="15"/>
  </conditionalFormatting>
  <conditionalFormatting sqref="Q1738:R1738">
    <cfRule type="duplicateValues" dxfId="16" priority="14"/>
  </conditionalFormatting>
  <conditionalFormatting sqref="Q1739:R1739">
    <cfRule type="duplicateValues" dxfId="15" priority="13"/>
  </conditionalFormatting>
  <conditionalFormatting sqref="Q1740:R1740">
    <cfRule type="duplicateValues" dxfId="14" priority="12"/>
  </conditionalFormatting>
  <conditionalFormatting sqref="Q1742:R1743">
    <cfRule type="duplicateValues" dxfId="13" priority="11"/>
  </conditionalFormatting>
  <conditionalFormatting sqref="Q1744:R1749">
    <cfRule type="duplicateValues" dxfId="12" priority="10"/>
  </conditionalFormatting>
  <conditionalFormatting sqref="Q1755:R1756">
    <cfRule type="duplicateValues" dxfId="11" priority="9"/>
  </conditionalFormatting>
  <conditionalFormatting sqref="Q1757:R1787">
    <cfRule type="duplicateValues" dxfId="10" priority="8"/>
  </conditionalFormatting>
  <conditionalFormatting sqref="Q1788:R1789">
    <cfRule type="duplicateValues" dxfId="9" priority="7"/>
  </conditionalFormatting>
  <conditionalFormatting sqref="Q1790:R1790">
    <cfRule type="duplicateValues" dxfId="8" priority="6"/>
  </conditionalFormatting>
  <conditionalFormatting sqref="Q1791:R1792">
    <cfRule type="duplicateValues" dxfId="7" priority="4"/>
    <cfRule type="duplicateValues" dxfId="6" priority="5"/>
  </conditionalFormatting>
  <conditionalFormatting sqref="Q1793:R1793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3" ma:contentTypeDescription="Create a new document." ma:contentTypeScope="" ma:versionID="8ea40f3f6c3aeb28ba7d9b19a8a69250">
  <xsd:schema xmlns:xsd="http://www.w3.org/2001/XMLSchema" xmlns:xs="http://www.w3.org/2001/XMLSchema" xmlns:p="http://schemas.microsoft.com/office/2006/metadata/properties" xmlns:ns2="3071b982-c7c7-4053-a145-35b96820305b" targetNamespace="http://schemas.microsoft.com/office/2006/metadata/properties" ma:root="true" ma:fieldsID="4959e565a134347f05904f2a142aecdc" ns2:_="">
    <xsd:import namespace="3071b982-c7c7-4053-a145-35b968203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93B0EE-C4BF-4B83-85AB-9F450C268B0A}"/>
</file>

<file path=customXml/itemProps2.xml><?xml version="1.0" encoding="utf-8"?>
<ds:datastoreItem xmlns:ds="http://schemas.openxmlformats.org/officeDocument/2006/customXml" ds:itemID="{251B3B3C-EFC6-442A-B360-FD62B8EB1C40}"/>
</file>

<file path=customXml/itemProps3.xml><?xml version="1.0" encoding="utf-8"?>
<ds:datastoreItem xmlns:ds="http://schemas.openxmlformats.org/officeDocument/2006/customXml" ds:itemID="{3C9663B9-7055-4921-8F93-4945943F4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Diaz Castro</dc:creator>
  <cp:keywords/>
  <dc:description/>
  <cp:lastModifiedBy>Rafidzal Rafiq</cp:lastModifiedBy>
  <cp:revision/>
  <dcterms:created xsi:type="dcterms:W3CDTF">2026-08-24T08:15:26Z</dcterms:created>
  <dcterms:modified xsi:type="dcterms:W3CDTF">2026-08-25T03:36:48Z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